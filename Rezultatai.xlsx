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eitis" sheetId="1" state="visible" r:id="rId1"/>
    <sheet name="H2O" sheetId="2" state="visible" r:id="rId2"/>
    <sheet name="Paėmimas" sheetId="3" state="visible" r:id="rId3"/>
    <sheet name="Aerodinamika" sheetId="4" state="visible" r:id="rId4"/>
    <sheet name="Koncentracija" sheetId="5" state="visible" r:id="rId5"/>
    <sheet name="Svėrimas" sheetId="6" state="visible" r:id="rId6"/>
    <sheet name="Koncentracijos ribinės vertė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4">
    <font>
      <name val="Calibri"/>
      <family val="2"/>
      <color theme="1"/>
      <sz val="11"/>
      <scheme val="minor"/>
    </font>
    <font>
      <b val="1"/>
      <sz val="12"/>
    </font>
    <font/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165" fontId="0" fillId="0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customXml" Target="../customXml/item3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/xl/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/xl/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H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</cols>
  <sheetData>
    <row r="3">
      <c r="A3" s="2" t="inlineStr">
        <is>
          <t>Debitas pagal matuotą diferencinį slėgį</t>
        </is>
      </c>
    </row>
    <row r="5" ht="130" customHeight="1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Matavimo taškai ortakyje nuo vidinės sienelės, cm</t>
        </is>
      </c>
      <c r="E5" s="3" t="inlineStr">
        <is>
          <t>Išmatuotas diferencinis slėgis taškuose 1 linija, Pdi, hPa</t>
        </is>
      </c>
      <c r="F5" s="3" t="inlineStr">
        <is>
          <t>Išmatuotas diferencinis slėgis taškuose 2 linija, Pdi, hPa</t>
        </is>
      </c>
      <c r="G5" s="3" t="inlineStr">
        <is>
          <t>Išmatuotas diferencinis slėgis taškuose 3 linija, Pdi, hPa</t>
        </is>
      </c>
      <c r="H5" s="3" t="inlineStr">
        <is>
          <t>Išmatuotas diferencinis slėgis taškuose 4 linija, Pdi, hPa</t>
        </is>
      </c>
      <c r="I5" s="3" t="inlineStr">
        <is>
          <t>Išmatuotas diferencinis slėgis taškuose 5 linija, Pdi, hPa</t>
        </is>
      </c>
      <c r="J5" s="3" t="inlineStr">
        <is>
          <t>Pito vamzdelio koeficientas, K</t>
        </is>
      </c>
      <c r="K5" s="3" t="inlineStr">
        <is>
          <t>Temperatūra ortakyje t, oC</t>
        </is>
      </c>
      <c r="L5" s="3" t="inlineStr">
        <is>
          <t>Atmosferinis slėgis P, hPa</t>
        </is>
      </c>
      <c r="M5" s="3" t="inlineStr">
        <is>
          <t>Statinis slėgis ortakyje ± ΔP, hPa</t>
        </is>
      </c>
      <c r="N5" s="3" t="inlineStr">
        <is>
          <t>Dujų slėgis kamine Pk= P+ ΔP, hPa</t>
        </is>
      </c>
      <c r="O5" s="3" t="inlineStr">
        <is>
          <t>Dujų mol. masė Ms= qn *22.4, kg/</t>
        </is>
      </c>
      <c r="P5" s="3" t="inlineStr">
        <is>
          <t>Dujų srauto greitis matavimo taškuose, 1 linija, wi = K*129 *√t *√Pdi/ √Pk/√Ms, m/s</t>
        </is>
      </c>
      <c r="Q5" s="3" t="inlineStr">
        <is>
          <t>Dujų srauto greitis matavimo taškuose, 2 linija, wi = K*129 *√t *√Pdi/ √Pk/√Ms, m/s</t>
        </is>
      </c>
      <c r="R5" s="3" t="inlineStr">
        <is>
          <t>Dujų srauto greitis matavimo taškuose, 3 linija, wi = K*129 *√t *√Pdi/ √Pk/√Ms, m/s</t>
        </is>
      </c>
      <c r="S5" s="3" t="inlineStr">
        <is>
          <t>Dujų srauto greitis matavimo taškuose, 4 linija, wi = K*129 *√t *√Pdi/ √Pk/√Ms, m/s</t>
        </is>
      </c>
      <c r="T5" s="3" t="inlineStr">
        <is>
          <t>Dujų srauto greitis matavimo taškuose, 5 linija, wi = K*129 *√t *√Pdi/ √Pk/√Ms, m/s</t>
        </is>
      </c>
      <c r="U5" s="3" t="inlineStr">
        <is>
          <t>Vidutinis dujų srauto greitis ortakyje w, m/s</t>
        </is>
      </c>
      <c r="V5" s="3" t="inlineStr">
        <is>
          <t>Ortakio diametras, matmenys, m</t>
        </is>
      </c>
      <c r="W5" s="3" t="inlineStr">
        <is>
          <t>Ortakio skerspjūvio plotas F, m2</t>
        </is>
      </c>
      <c r="X5" s="3" t="inlineStr">
        <is>
          <t>Dujų tūrio debitas realiomis sąlygomis Vk = wvid × F, m3/s</t>
        </is>
      </c>
      <c r="Y5" s="3" t="inlineStr">
        <is>
          <t>Dujų tūrio debitas normaliosiomis sąlygomis Vdr n.s =Vk *0,269*(P±ΔP)/(273+t), m3/s</t>
        </is>
      </c>
      <c r="Z5" s="3" t="inlineStr">
        <is>
          <t>Vandens kondensato masė m H2O, kg</t>
        </is>
      </c>
      <c r="AA5" s="3" t="inlineStr">
        <is>
          <t>Vandens garų konc. dujose x=mH2O/Vmn*qn, kg/kg</t>
        </is>
      </c>
      <c r="AB5" s="3" t="inlineStr">
        <is>
          <t>Sausų dujų tūrio debitas normaliosiomis sąlygomis Vn= Vdr n.s *((1/(1+(x*qn/0.8038)))</t>
        </is>
      </c>
      <c r="AC5" s="3" t="inlineStr">
        <is>
          <t>Prasiurbtas dujų tūris normaliosiomis sąlygomis Vmn, Nm3</t>
        </is>
      </c>
      <c r="AD5" s="3" t="inlineStr">
        <is>
          <t>Išplėstinės neapibrėžties koef. A</t>
        </is>
      </c>
      <c r="AE5" s="3" t="inlineStr">
        <is>
          <t>Išplėstinė neapibrėžtis (dujų tūrio debitas) Uv</t>
        </is>
      </c>
      <c r="AF5" s="3" t="inlineStr">
        <is>
          <t>Išplėstinė neapibrėžtis (dujų srauto greitis) Uw</t>
        </is>
      </c>
      <c r="AG5" s="3" t="inlineStr">
        <is>
          <t>Sausų dujų tankis normaliosioms sąlygomis qn, (kg/m3)</t>
        </is>
      </c>
      <c r="AH5" s="3" t="inlineStr">
        <is>
          <t>Skaičiavimus atliko (inicialai, data)</t>
        </is>
      </c>
    </row>
    <row r="6">
      <c r="A6" s="1" t="n"/>
      <c r="B6" s="1" t="n"/>
      <c r="C6" s="1" t="n"/>
      <c r="D6" s="1" t="n">
        <v>19</v>
      </c>
      <c r="J6" s="6" t="n">
        <v>0.827</v>
      </c>
      <c r="AD6" s="6" t="n">
        <v>0.079</v>
      </c>
    </row>
    <row r="7">
      <c r="D7" s="1" t="n">
        <v>58</v>
      </c>
      <c r="J7" s="6" t="n">
        <v>0.827</v>
      </c>
      <c r="V7" s="1" t="inlineStr">
        <is>
          <t>1,58</t>
        </is>
      </c>
      <c r="W7" s="7">
        <f>V7*V8</f>
        <v/>
      </c>
      <c r="AD7" s="6" t="n">
        <v>0.079</v>
      </c>
    </row>
    <row r="8">
      <c r="D8" s="1" t="n">
        <v>97</v>
      </c>
      <c r="J8" s="6" t="n">
        <v>0.827</v>
      </c>
      <c r="V8" s="1" t="inlineStr">
        <is>
          <t>1,59</t>
        </is>
      </c>
    </row>
    <row r="9">
      <c r="D9" s="1" t="n">
        <v>136</v>
      </c>
      <c r="J9" s="6" t="n">
        <v>0.827</v>
      </c>
    </row>
  </sheetData>
  <mergeCells count="4">
    <mergeCell ref="A3:AH3"/>
    <mergeCell ref="B6:B9"/>
    <mergeCell ref="C6:C9"/>
    <mergeCell ref="A6:A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L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3">
      <c r="A3" s="8" t="inlineStr">
        <is>
          <t>Skaičiuoklė kietųjų dalelių koncentracijai nustatyti. H2O skaičiavimas</t>
        </is>
      </c>
    </row>
    <row r="5">
      <c r="A5" s="3" t="inlineStr"/>
      <c r="B5" s="3" t="inlineStr">
        <is>
          <t>Ėminių ėmimo laikas t, min.</t>
        </is>
      </c>
      <c r="C5" s="3" t="inlineStr">
        <is>
          <t>Paėmimo greitis, l/min</t>
        </is>
      </c>
      <c r="D5" s="3" t="inlineStr">
        <is>
          <t>Atmosferinis slėgis, hPa</t>
        </is>
      </c>
      <c r="E5" s="3" t="inlineStr">
        <is>
          <t>Išretėjimas, -hPa</t>
        </is>
      </c>
      <c r="F5" s="3" t="inlineStr">
        <is>
          <t>Temperatūra prie aspiratoriaus, Vtr oC</t>
        </is>
      </c>
      <c r="G5" s="3" t="inlineStr">
        <is>
          <t>Dujų tūris normaliomis sąlygomis, Vn l.</t>
        </is>
      </c>
      <c r="H5" s="3" t="inlineStr">
        <is>
          <t>Prasiurbtas dujų tūris normaliosiomis sąlygomis Vmn, Nm3</t>
        </is>
      </c>
      <c r="I5" s="3" t="inlineStr">
        <is>
          <t>Vandens kondensato masė m H2O, kg</t>
        </is>
      </c>
      <c r="J5" s="3" t="inlineStr">
        <is>
          <t>Sausų dujų tankis normaliosioms sąlygomis qn (kg/m3)</t>
        </is>
      </c>
      <c r="K5" s="3" t="inlineStr">
        <is>
          <t>Drėgmės kiekis X (%) (izokinetinei sistemai)</t>
        </is>
      </c>
      <c r="L5" s="3" t="inlineStr">
        <is>
          <t>Pastabos</t>
        </is>
      </c>
    </row>
  </sheetData>
  <mergeCells count="1">
    <mergeCell ref="A3:L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Y11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2">
      <c r="A2" s="8" t="inlineStr">
        <is>
          <t>Skaičiuoklė kietųjų dalelių koncentracijai nustatyti. Pradinių duomenų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Ortakio matmenys, m</t>
        </is>
      </c>
      <c r="E5" s="3" t="inlineStr">
        <is>
          <t>Skerspjūvio plotas A (m2)</t>
        </is>
      </c>
      <c r="F5" s="3" t="inlineStr">
        <is>
          <t>Temperatūra ortakyje tor (°C)</t>
        </is>
      </c>
      <c r="G5" s="3" t="inlineStr">
        <is>
          <t>Srauto greitis ortakyje wor (m/s)</t>
        </is>
      </c>
      <c r="H5" s="3" t="inlineStr">
        <is>
          <t>Atmosferinis slėgis P (hPa)</t>
        </is>
      </c>
      <c r="I5" s="3" t="inlineStr">
        <is>
          <t>Statinis slėgis ortakyje ΔPor (hPa)</t>
        </is>
      </c>
      <c r="J5" s="3" t="inlineStr">
        <is>
          <t>Slėgis prieš rotametrą ΔPr (±hPa)</t>
        </is>
      </c>
      <c r="K5" s="3" t="inlineStr">
        <is>
          <t>Antgalio diametras da (mm)</t>
        </is>
      </c>
      <c r="L5" s="3" t="inlineStr">
        <is>
          <t>Prasiurbtas dujų tūris Vm (m3)</t>
        </is>
      </c>
      <c r="M5" s="3" t="inlineStr">
        <is>
          <t>Siurbimo laikas t (min)</t>
        </is>
      </c>
      <c r="N5" s="3" t="inlineStr">
        <is>
          <t>Siurbimo greitis Vo (l/min)</t>
        </is>
      </c>
      <c r="O5" s="3" t="inlineStr">
        <is>
          <t>Siurbiamų dujų temperatūra prieš rotametrą tr (°C)</t>
        </is>
      </c>
      <c r="P5" s="3" t="inlineStr">
        <is>
          <t>O2iš (%) (ore 21 %)</t>
        </is>
      </c>
      <c r="Q5" s="3" t="inlineStr">
        <is>
          <t>CO2iš (%) (ore 0,04 %)</t>
        </is>
      </c>
      <c r="R5" s="3" t="inlineStr">
        <is>
          <t>Darbuotojo inicialai, data</t>
        </is>
      </c>
      <c r="S5" s="3" t="inlineStr">
        <is>
          <t>Pastabos</t>
        </is>
      </c>
      <c r="T5" s="3" t="inlineStr">
        <is>
          <t>Išmatuota O2 koncentracija (%)</t>
        </is>
      </c>
      <c r="U5" s="3" t="inlineStr">
        <is>
          <t>Išmatuota CO2 koncentracija (%)</t>
        </is>
      </c>
      <c r="V5" s="3" t="inlineStr">
        <is>
          <t>Temperatūra ortakyje tor (°C)</t>
        </is>
      </c>
      <c r="W5" s="9" t="inlineStr"/>
      <c r="X5" s="3" t="inlineStr">
        <is>
          <t>Išmatuotas diferencinis slėgis taškuose, Pdi, hPa</t>
        </is>
      </c>
      <c r="Y5" s="3" t="inlineStr">
        <is>
          <t>Izokinetiškumas (0,95-1,15)</t>
        </is>
      </c>
    </row>
    <row r="6">
      <c r="D6" s="10" t="inlineStr">
        <is>
          <t>1,58 x 1,59</t>
        </is>
      </c>
      <c r="E6" s="11">
        <f>'Greitis'!W7</f>
        <v/>
      </c>
    </row>
    <row r="14">
      <c r="D14" s="10">
        <f>$D$6</f>
        <v/>
      </c>
      <c r="E14" s="11">
        <f>$E$6</f>
        <v/>
      </c>
    </row>
    <row r="22">
      <c r="D22" s="10">
        <f>$D$6</f>
        <v/>
      </c>
      <c r="E22" s="11">
        <f>$E$6</f>
        <v/>
      </c>
    </row>
    <row r="30">
      <c r="D30" s="10">
        <f>$D$6</f>
        <v/>
      </c>
      <c r="E30" s="11">
        <f>$E$6</f>
        <v/>
      </c>
    </row>
    <row r="38">
      <c r="D38" s="10">
        <f>$D$6</f>
        <v/>
      </c>
      <c r="E38" s="11">
        <f>$E$6</f>
        <v/>
      </c>
    </row>
    <row r="46">
      <c r="D46" s="10">
        <f>$D$6</f>
        <v/>
      </c>
      <c r="E46" s="11">
        <f>$E$6</f>
        <v/>
      </c>
    </row>
    <row r="54">
      <c r="D54" s="10">
        <f>$D$6</f>
        <v/>
      </c>
      <c r="E54" s="11">
        <f>$E$6</f>
        <v/>
      </c>
    </row>
    <row r="62">
      <c r="D62" s="10">
        <f>$D$6</f>
        <v/>
      </c>
      <c r="E62" s="11">
        <f>$E$6</f>
        <v/>
      </c>
    </row>
    <row r="70">
      <c r="D70" s="10">
        <f>$D$6</f>
        <v/>
      </c>
      <c r="E70" s="11">
        <f>$E$6</f>
        <v/>
      </c>
    </row>
    <row r="78">
      <c r="D78" s="10">
        <f>$D$6</f>
        <v/>
      </c>
      <c r="E78" s="11">
        <f>$E$6</f>
        <v/>
      </c>
    </row>
    <row r="86">
      <c r="D86" s="10">
        <f>$D$6</f>
        <v/>
      </c>
      <c r="E86" s="11">
        <f>$E$6</f>
        <v/>
      </c>
    </row>
    <row r="94">
      <c r="D94" s="10">
        <f>$D$6</f>
        <v/>
      </c>
      <c r="E94" s="11">
        <f>$E$6</f>
        <v/>
      </c>
    </row>
    <row r="102">
      <c r="D102" s="10">
        <f>$D$6</f>
        <v/>
      </c>
      <c r="E102" s="11">
        <f>$E$6</f>
        <v/>
      </c>
    </row>
    <row r="110">
      <c r="D110" s="10">
        <f>$D$6</f>
        <v/>
      </c>
      <c r="E110" s="11">
        <f>$E$6</f>
        <v/>
      </c>
    </row>
    <row r="118">
      <c r="D118" s="10">
        <f>$D$6</f>
        <v/>
      </c>
      <c r="E118" s="11">
        <f>$E$6</f>
        <v/>
      </c>
    </row>
  </sheetData>
  <mergeCells count="1">
    <mergeCell ref="A2:V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N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2">
      <c r="A2" s="8" t="inlineStr">
        <is>
          <t>Skaičiuoklė kietųjų dalelių koncentracijai nustatyti. Izokinetiškumo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Prasiurbtas dujų tūris Vm (m3)</t>
        </is>
      </c>
      <c r="E5" s="3" t="inlineStr">
        <is>
          <t>Prasiurbtas dujų tūris normaliosiomis sąlygomis Vmn (Nm3)</t>
        </is>
      </c>
      <c r="F5" s="3" t="inlineStr">
        <is>
          <t>Prasiurbto dujų tūrio normaliosiomis sąlygomis suma Vmn(sum) (Nm3)</t>
        </is>
      </c>
      <c r="G5" s="3" t="inlineStr">
        <is>
          <t>Sausų dujų tankis normaliosioms sąlygomis qn (kg/m3)</t>
        </is>
      </c>
      <c r="H5" s="3" t="inlineStr">
        <is>
          <t>Drėgmės kiekis X (%)</t>
        </is>
      </c>
      <c r="I5" s="3" t="inlineStr">
        <is>
          <t>Pratrauktas drėgnų dujų tūris realiomis sąlygomis Vmk (m3)</t>
        </is>
      </c>
      <c r="J5" s="3" t="inlineStr">
        <is>
          <t>Dujų srauto greitis antgalyje v antg. (m/s)</t>
        </is>
      </c>
      <c r="K5" s="3" t="inlineStr">
        <is>
          <t>Izokinetiškumas (0,95-1,15)</t>
        </is>
      </c>
      <c r="L5" s="3" t="inlineStr">
        <is>
          <t>Izokinetiškumo vidurkis (0,95-1,15)</t>
        </is>
      </c>
      <c r="M5" s="3" t="inlineStr">
        <is>
          <t>Skaičiavimus atlikusio asmens inicialai, data</t>
        </is>
      </c>
      <c r="N5" s="3" t="inlineStr">
        <is>
          <t>Pastabos</t>
        </is>
      </c>
    </row>
  </sheetData>
  <mergeCells count="1">
    <mergeCell ref="A2:N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2">
      <c r="A2" s="8" t="inlineStr">
        <is>
          <t>Skaičiuoklė kietųjų dalelių koncentracijai nustatyti. Kietųjų dalelių koncentracijos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Filtro Nr.</t>
        </is>
      </c>
      <c r="E5" s="3" t="inlineStr">
        <is>
          <t>Filtro svoris prieš KD ėmimą mpr (g)</t>
        </is>
      </c>
      <c r="F5" s="3" t="inlineStr">
        <is>
          <t>Filtro svoris po KD ėmimo mpo (g)</t>
        </is>
      </c>
      <c r="G5" s="3" t="inlineStr">
        <is>
          <t>Tuščiojo ėminio KD svoris mt (g)</t>
        </is>
      </c>
      <c r="H5" s="3" t="inlineStr">
        <is>
          <t>Nuosėdų kiekis mn (g)</t>
        </is>
      </c>
      <c r="I5" s="3" t="inlineStr">
        <is>
          <t>Indų svorių pokytis mIt (g)</t>
        </is>
      </c>
      <c r="J5" s="3" t="inlineStr">
        <is>
          <t>Sausų dujų tūris n.s. Vmn (Nm3)</t>
        </is>
      </c>
      <c r="K5" s="3" t="inlineStr">
        <is>
          <t>Kietų dalelių koncentracija c1 (neįvert. O2) (mg/Nm3)</t>
        </is>
      </c>
      <c r="L5" s="3" t="inlineStr">
        <is>
          <t>Tuščiojo filtro vertė mft (mg/m3) (&lt; 2 mg/m3)</t>
        </is>
      </c>
      <c r="M5" s="3" t="inlineStr">
        <is>
          <t>Surinktų dulkių ir tuščiojo ėminio santykis mFtk (&gt;5)</t>
        </is>
      </c>
      <c r="N5" s="3" t="inlineStr">
        <is>
          <t>Skaičiavimus atlikusio asmens inicialai, data</t>
        </is>
      </c>
      <c r="O5" s="3" t="inlineStr">
        <is>
          <t>Filtrų skaičius Fsk (vnt.)</t>
        </is>
      </c>
      <c r="P5" s="3" t="inlineStr">
        <is>
          <t>Pastabos</t>
        </is>
      </c>
    </row>
  </sheetData>
  <mergeCells count="1"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O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2">
      <c r="A2" s="8" t="inlineStr">
        <is>
          <t>Skaičiuoklė kietųjų dalelių koncentracijai nustatyti. Svėrimas</t>
        </is>
      </c>
    </row>
    <row r="4" ht="60" customHeight="1">
      <c r="A4" s="12" t="inlineStr">
        <is>
          <t>Ėminių registracijos Nr. T-107-2026-E-</t>
        </is>
      </c>
      <c r="B4" s="12" t="inlineStr">
        <is>
          <t>Objekto pavadinimas, adresas, taršos šaltinio Nr.</t>
        </is>
      </c>
      <c r="C4" s="12" t="inlineStr">
        <is>
          <t>Filtro/ indo Nr.</t>
        </is>
      </c>
      <c r="D4" s="12" t="inlineStr">
        <is>
          <t>Tuščio filtro/indo svėrimo data</t>
        </is>
      </c>
      <c r="E4" s="12" t="inlineStr">
        <is>
          <t>Filtro/indo svoris prieš KD ėmimą mpr (g)</t>
        </is>
      </c>
      <c r="F4" s="13" t="n"/>
      <c r="G4" s="13" t="n"/>
      <c r="H4" s="12" t="inlineStr">
        <is>
          <t>Atsakingo asmens inicialai, data</t>
        </is>
      </c>
      <c r="I4" s="12" t="inlineStr">
        <is>
          <t>Filtro/indo su ėminiu svėrimo data</t>
        </is>
      </c>
      <c r="J4" s="12" t="inlineStr">
        <is>
          <t>Filtro/indo svoris po KD ėmimo mpo (g)</t>
        </is>
      </c>
      <c r="K4" s="13" t="n"/>
      <c r="L4" s="13" t="n"/>
      <c r="M4" s="12" t="inlineStr">
        <is>
          <t>Kietųjų dalelių svoris mf/Svorių pokytis (g) (&lt;2,00 g filtro talpumas)</t>
        </is>
      </c>
      <c r="N4" s="12" t="inlineStr">
        <is>
          <t>Atsakingo asmens inicialai, data</t>
        </is>
      </c>
      <c r="O4" s="12" t="inlineStr">
        <is>
          <t>Pastabos</t>
        </is>
      </c>
    </row>
    <row r="5">
      <c r="A5" s="13" t="n"/>
      <c r="B5" s="13" t="n"/>
      <c r="C5" s="13" t="n"/>
      <c r="D5" s="13" t="n"/>
      <c r="E5" s="12" t="inlineStr">
        <is>
          <t>1</t>
        </is>
      </c>
      <c r="F5" s="12" t="inlineStr">
        <is>
          <t>2</t>
        </is>
      </c>
      <c r="G5" s="12" t="inlineStr">
        <is>
          <t>3</t>
        </is>
      </c>
      <c r="H5" s="13" t="n"/>
      <c r="I5" s="13" t="n"/>
      <c r="J5" s="12" t="inlineStr">
        <is>
          <t>1</t>
        </is>
      </c>
      <c r="K5" s="12" t="inlineStr">
        <is>
          <t>2</t>
        </is>
      </c>
      <c r="L5" s="12" t="inlineStr">
        <is>
          <t>3</t>
        </is>
      </c>
      <c r="M5" s="13" t="n"/>
      <c r="N5" s="13" t="n"/>
      <c r="O5" s="13" t="n"/>
    </row>
  </sheetData>
  <mergeCells count="12">
    <mergeCell ref="M4:M5"/>
    <mergeCell ref="B4:B5"/>
    <mergeCell ref="A2:O2"/>
    <mergeCell ref="C4:C5"/>
    <mergeCell ref="A4:A5"/>
    <mergeCell ref="D4:D5"/>
    <mergeCell ref="H4:H5"/>
    <mergeCell ref="I4:I5"/>
    <mergeCell ref="N4:N5"/>
    <mergeCell ref="O4:O5"/>
    <mergeCell ref="E4:G4"/>
    <mergeCell ref="J4:L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3:D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3" ht="45" customHeight="1">
      <c r="A3" s="8" t="inlineStr">
        <is>
          <t>Patikrinimas, ar planuojamas surinkti dulkių kiekis suderinamas su tuščiojo ėminio verte ir ar filtras nebus per daug apkrautas</t>
        </is>
      </c>
    </row>
    <row r="5">
      <c r="A5" s="3" t="inlineStr">
        <is>
          <t>Planuojama surinkti dulkių masė m, g (&lt;2,20 g)</t>
        </is>
      </c>
      <c r="B5" s="3" t="inlineStr">
        <is>
          <t>Mažiausia ėminio ėmimo trukmė t, 30 min</t>
        </is>
      </c>
      <c r="C5" s="3" t="inlineStr">
        <is>
          <t>Tikėtina dulkių koncentracija cexs, mg/Nm3;</t>
        </is>
      </c>
      <c r="D5" s="3" t="inlineStr">
        <is>
          <t>Planuojamas dujų tūrio siurbimo greitis matavimo metu ortakio sąlygomis Vo, l/min.</t>
        </is>
      </c>
    </row>
  </sheetData>
  <mergeCells count="1">
    <mergeCell ref="A3:D3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as" ma:contentTypeID="0x010100BAB57CF81AE55C4698AAD22D302297F0" ma:contentTypeVersion="18" ma:contentTypeDescription="Kurkite naują dokumentą." ma:contentTypeScope="" ma:versionID="49ab401eb4052690d2a2629974c22fd6">
  <xsd:schema xmlns:xsd="http://www.w3.org/2001/XMLSchema" xmlns:xs="http://www.w3.org/2001/XMLSchema" xmlns:p="http://schemas.microsoft.com/office/2006/metadata/properties" xmlns:ns2="453e7e53-5eb2-45cf-b2ab-34c867e554b8" xmlns:ns3="aa0d983d-359a-438c-9953-3af1a8ac0831" targetNamespace="http://schemas.microsoft.com/office/2006/metadata/properties" ma:root="true" ma:fieldsID="ab9969d50e0b13c63bc5bd0499c928dc" ns2:_="" ns3:_="">
    <xsd:import namespace="453e7e53-5eb2-45cf-b2ab-34c867e554b8"/>
    <xsd:import namespace="aa0d983d-359a-438c-9953-3af1a8ac083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3e7e53-5eb2-45cf-b2ab-34c867e554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Vaizdų žymės" ma:readOnly="false" ma:fieldId="{5cf76f15-5ced-4ddc-b409-7134ff3c332f}" ma:taxonomyMulti="true" ma:sspId="993cf2ba-b7a7-49f7-97d1-76e12a88c4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0d983d-359a-438c-9953-3af1a8ac0831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82c4fa3c-500e-4213-91e5-1b9e2014ea63}" ma:internalName="TaxCatchAll" ma:showField="CatchAllData" ma:web="aa0d983d-359a-438c-9953-3af1a8ac083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Bendrinama s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Bendrinta su išsamia informacija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urinio tipas"/>
        <xsd:element ref="dc:title" minOccurs="0" maxOccurs="1" ma:index="4" ma:displayName="Antraštė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53e7e53-5eb2-45cf-b2ab-34c867e554b8">
      <Terms xmlns="http://schemas.microsoft.com/office/infopath/2007/PartnerControls"/>
    </lcf76f155ced4ddcb4097134ff3c332f>
    <TaxCatchAll xmlns="aa0d983d-359a-438c-9953-3af1a8ac0831" xsi:nil="true"/>
  </documentManagement>
</p:properties>
</file>

<file path=customXml/itemProps1.xml><?xml version="1.0" encoding="utf-8"?>
<ds:datastoreItem xmlns:ds="http://schemas.openxmlformats.org/officeDocument/2006/customXml" ds:itemID="{172C4917-E580-4814-A5F2-98480F7BABB1}"/>
</file>

<file path=customXml/itemProps2.xml><?xml version="1.0" encoding="utf-8"?>
<ds:datastoreItem xmlns:ds="http://schemas.openxmlformats.org/officeDocument/2006/customXml" ds:itemID="{26C169B2-0894-4829-B787-3026DE0D396B}"/>
</file>

<file path=customXml/itemProps3.xml><?xml version="1.0" encoding="utf-8"?>
<ds:datastoreItem xmlns:ds="http://schemas.openxmlformats.org/officeDocument/2006/customXml" ds:itemID="{3233F8DF-BF45-43C5-BC14-D85405AB34C2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2026-03-26T09:13:56Z</dcterms:created>
  <dcterms:modified xsi:type="dcterms:W3CDTF">2026-03-26T09:14:04Z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0x010100BAB57CF81AE55C4698AAD22D302297F0</vt:lpwstr>
  </property>
</Properties>
</file>