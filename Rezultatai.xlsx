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Greitis" sheetId="1" state="visible" r:id="rId1"/>
    <sheet name="H2O" sheetId="2" state="visible" r:id="rId2"/>
    <sheet name="Paėmimas" sheetId="3" state="visible" r:id="rId3"/>
    <sheet name="Aerodinamika" sheetId="4" state="visible" r:id="rId4"/>
    <sheet name="Koncentracija" sheetId="5" state="visible" r:id="rId5"/>
    <sheet name="Svėrimas" sheetId="6" state="visible" r:id="rId6"/>
    <sheet name="Koncentracijos ribinės vertė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0.000000"/>
  </numFmts>
  <fonts count="8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0000"/>
      <sz val="11"/>
    </font>
    <font>
      <b val="1"/>
    </font>
    <font>
      <b val="1"/>
      <color rgb="00FF0000"/>
    </font>
    <font/>
  </fonts>
  <fills count="6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00B0F0"/>
        <bgColor rgb="0000B0F0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</border>
    <border>
      <left style="thin"/>
      <right style="thin"/>
    </border>
    <border>
      <left style="thin"/>
      <right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2"/>
  </cellStyleXfs>
  <cellXfs count="1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8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 wrapText="1"/>
    </xf>
    <xf numFmtId="2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top" wrapText="1"/>
    </xf>
    <xf numFmtId="2" fontId="0" fillId="2" borderId="13" applyAlignment="1" pivotButton="0" quotePrefix="0" xfId="0">
      <alignment horizontal="center" vertical="center" wrapText="1"/>
    </xf>
    <xf numFmtId="164" fontId="0" fillId="2" borderId="13" applyAlignment="1" pivotButton="0" quotePrefix="0" xfId="0">
      <alignment horizontal="center" vertical="center"/>
    </xf>
    <xf numFmtId="166" fontId="0" fillId="3" borderId="13" applyAlignment="1" pivotButton="0" quotePrefix="0" xfId="0">
      <alignment horizontal="center"/>
    </xf>
    <xf numFmtId="0" fontId="0" fillId="2" borderId="13" applyAlignment="1" pivotButton="0" quotePrefix="0" xfId="0">
      <alignment horizontal="center" vertical="center" wrapText="1"/>
    </xf>
    <xf numFmtId="166" fontId="0" fillId="4" borderId="13" applyAlignment="1" pivotButton="0" quotePrefix="0" xfId="0">
      <alignment horizontal="center"/>
    </xf>
    <xf numFmtId="165" fontId="0" fillId="4" borderId="13" applyAlignment="1" pivotButton="0" quotePrefix="0" xfId="0">
      <alignment horizontal="center"/>
    </xf>
    <xf numFmtId="2" fontId="0" fillId="4" borderId="13" applyAlignment="1" pivotButton="0" quotePrefix="0" xfId="0">
      <alignment horizontal="center"/>
    </xf>
    <xf numFmtId="0" fontId="0" fillId="2" borderId="13" applyAlignment="1" pivotButton="0" quotePrefix="0" xfId="0">
      <alignment horizontal="center" vertical="center"/>
    </xf>
    <xf numFmtId="165" fontId="0" fillId="4" borderId="13" applyAlignment="1" pivotButton="0" quotePrefix="0" xfId="0">
      <alignment horizontal="center" vertical="center"/>
    </xf>
    <xf numFmtId="164" fontId="0" fillId="4" borderId="13" applyAlignment="1" pivotButton="0" quotePrefix="0" xfId="0">
      <alignment horizontal="center"/>
    </xf>
    <xf numFmtId="164" fontId="0" fillId="3" borderId="13" applyAlignment="1" pivotButton="0" quotePrefix="0" xfId="0">
      <alignment horizontal="center" vertical="center"/>
    </xf>
    <xf numFmtId="167" fontId="0" fillId="3" borderId="13" applyAlignment="1" pivotButton="0" quotePrefix="0" xfId="0">
      <alignment horizontal="center" vertical="center"/>
    </xf>
    <xf numFmtId="2" fontId="0" fillId="3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13" pivotButton="0" quotePrefix="0" xfId="0"/>
    <xf numFmtId="0" fontId="0" fillId="4" borderId="13" pivotButton="0" quotePrefix="0" xfId="0"/>
    <xf numFmtId="0" fontId="0" fillId="3" borderId="13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5" fillId="0" borderId="21" applyAlignment="1" pivotButton="0" quotePrefix="0" xfId="0">
      <alignment horizontal="center" vertical="center"/>
    </xf>
    <xf numFmtId="1" fontId="7" fillId="2" borderId="21" applyAlignment="1" pivotButton="0" quotePrefix="0" xfId="0">
      <alignment horizontal="center" vertical="center"/>
    </xf>
    <xf numFmtId="1" fontId="7" fillId="3" borderId="21" applyAlignment="1" pivotButton="0" quotePrefix="0" xfId="0">
      <alignment horizontal="center" vertical="center"/>
    </xf>
    <xf numFmtId="166" fontId="7" fillId="2" borderId="21" applyAlignment="1" pivotButton="0" quotePrefix="0" xfId="0">
      <alignment horizontal="center" vertical="center"/>
    </xf>
    <xf numFmtId="2" fontId="7" fillId="4" borderId="21" applyAlignment="1" pivotButton="0" quotePrefix="0" xfId="0">
      <alignment horizontal="center" vertical="center"/>
    </xf>
    <xf numFmtId="167" fontId="7" fillId="4" borderId="21" applyAlignment="1" pivotButton="0" quotePrefix="0" xfId="0">
      <alignment horizontal="center" vertical="center"/>
    </xf>
    <xf numFmtId="164" fontId="7" fillId="2" borderId="21" applyAlignment="1" pivotButton="0" quotePrefix="0" xfId="0">
      <alignment horizontal="center" vertical="center"/>
    </xf>
    <xf numFmtId="2" fontId="7" fillId="3" borderId="21" applyAlignment="1" pivotButton="0" quotePrefix="0" xfId="0">
      <alignment horizontal="center" vertical="center"/>
    </xf>
    <xf numFmtId="164" fontId="7" fillId="4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2" borderId="22" applyAlignment="1" pivotButton="0" quotePrefix="0" xfId="0">
      <alignment horizontal="center" vertical="center" wrapText="1"/>
    </xf>
    <xf numFmtId="165" fontId="0" fillId="2" borderId="22" applyAlignment="1" pivotButton="0" quotePrefix="0" xfId="0">
      <alignment horizontal="center" vertical="center" wrapText="1"/>
    </xf>
    <xf numFmtId="2" fontId="0" fillId="4" borderId="13" applyAlignment="1" pivotButton="0" quotePrefix="0" xfId="0">
      <alignment horizontal="center" vertical="center"/>
    </xf>
    <xf numFmtId="1" fontId="0" fillId="3" borderId="13" applyAlignment="1" pivotButton="0" quotePrefix="0" xfId="0">
      <alignment horizontal="center"/>
    </xf>
    <xf numFmtId="2" fontId="0" fillId="3" borderId="13" applyAlignment="1" pivotButton="0" quotePrefix="0" xfId="0">
      <alignment horizontal="center"/>
    </xf>
    <xf numFmtId="166" fontId="0" fillId="2" borderId="1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2" fontId="0" fillId="2" borderId="13" applyAlignment="1" pivotButton="0" quotePrefix="0" xfId="0">
      <alignment horizontal="center" vertical="center"/>
    </xf>
    <xf numFmtId="2" fontId="0" fillId="5" borderId="13" applyAlignment="1" pivotButton="0" quotePrefix="0" xfId="0">
      <alignment horizontal="center" vertical="center" wrapText="1"/>
    </xf>
    <xf numFmtId="0" fontId="0" fillId="3" borderId="13" pivotButton="0" quotePrefix="0" xfId="0"/>
    <xf numFmtId="0" fontId="0" fillId="3" borderId="8" pivotButton="0" quotePrefix="0" xfId="0"/>
    <xf numFmtId="0" fontId="0" fillId="0" borderId="23" pivotButton="0" quotePrefix="0" xfId="0"/>
    <xf numFmtId="166" fontId="0" fillId="3" borderId="13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2" fontId="2" fillId="4" borderId="13" applyAlignment="1" pivotButton="0" quotePrefix="0" xfId="0">
      <alignment horizontal="center" vertical="center"/>
    </xf>
    <xf numFmtId="166" fontId="2" fillId="4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3" borderId="9" pivotButton="0" quotePrefix="0" xfId="0"/>
    <xf numFmtId="0" fontId="0" fillId="0" borderId="24" pivotButton="0" quotePrefix="0" xfId="0"/>
    <xf numFmtId="1" fontId="0" fillId="4" borderId="13" applyAlignment="1" pivotButton="0" quotePrefix="0" xfId="0">
      <alignment horizontal="center"/>
    </xf>
    <xf numFmtId="0" fontId="0" fillId="3" borderId="22" applyAlignment="1" pivotButton="0" quotePrefix="0" xfId="0">
      <alignment horizontal="center" vertical="center" wrapText="1"/>
    </xf>
    <xf numFmtId="165" fontId="0" fillId="3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/>
    </xf>
    <xf numFmtId="1" fontId="5" fillId="4" borderId="13" applyAlignment="1" pivotButton="0" quotePrefix="0" xfId="0">
      <alignment horizontal="center" vertical="center" wrapText="1"/>
    </xf>
    <xf numFmtId="164" fontId="0" fillId="3" borderId="13" applyAlignment="1" pivotButton="0" quotePrefix="0" xfId="0">
      <alignment horizontal="center"/>
    </xf>
    <xf numFmtId="167" fontId="0" fillId="4" borderId="13" applyAlignment="1" pivotButton="0" quotePrefix="0" xfId="0">
      <alignment horizontal="center"/>
    </xf>
    <xf numFmtId="167" fontId="0" fillId="4" borderId="22" applyAlignment="1" pivotButton="0" quotePrefix="0" xfId="0">
      <alignment horizontal="center"/>
    </xf>
    <xf numFmtId="164" fontId="0" fillId="4" borderId="13" applyAlignment="1" pivotButton="0" quotePrefix="0" xfId="0">
      <alignment horizontal="center" vertical="center"/>
    </xf>
    <xf numFmtId="2" fontId="0" fillId="4" borderId="22" applyAlignment="1" pivotButton="0" quotePrefix="0" xfId="0">
      <alignment horizontal="center" vertical="center"/>
    </xf>
    <xf numFmtId="0" fontId="0" fillId="3" borderId="22" applyAlignment="1" pivotButton="0" quotePrefix="0" xfId="0">
      <alignment horizontal="left" vertical="center"/>
    </xf>
    <xf numFmtId="2" fontId="5" fillId="4" borderId="13" applyAlignment="1" pivotButton="0" quotePrefix="0" xfId="0">
      <alignment horizontal="center" vertical="center" wrapText="1"/>
    </xf>
    <xf numFmtId="164" fontId="5" fillId="4" borderId="13" applyAlignment="1" pivotButton="0" quotePrefix="0" xfId="0">
      <alignment horizontal="center" vertical="center" wrapText="1"/>
    </xf>
    <xf numFmtId="167" fontId="5" fillId="4" borderId="13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top" wrapText="1"/>
    </xf>
    <xf numFmtId="0" fontId="0" fillId="3" borderId="21" pivotButton="0" quotePrefix="0" xfId="0"/>
    <xf numFmtId="0" fontId="0" fillId="4" borderId="21" pivotButton="0" quotePrefix="0" xfId="0"/>
    <xf numFmtId="0" fontId="0" fillId="4" borderId="21" applyAlignment="1" pivotButton="0" quotePrefix="0" xfId="0">
      <alignment horizontal="center" vertical="center"/>
    </xf>
    <xf numFmtId="0" fontId="0" fillId="3" borderId="25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3" borderId="21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3" borderId="22" applyAlignment="1" pivotButton="0" quotePrefix="0" xfId="0">
      <alignment horizontal="center" vertical="top" wrapText="1"/>
    </xf>
    <xf numFmtId="0" fontId="0" fillId="3" borderId="22" pivotButton="0" quotePrefix="0" xfId="0"/>
    <xf numFmtId="0" fontId="0" fillId="3" borderId="13" applyAlignment="1" pivotButton="0" quotePrefix="0" xfId="0">
      <alignment horizontal="left" vertical="center"/>
    </xf>
    <xf numFmtId="0" fontId="0" fillId="0" borderId="23" applyAlignment="1" pivotButton="0" quotePrefix="0" xfId="0">
      <alignment horizontal="center" vertical="top" wrapText="1"/>
    </xf>
    <xf numFmtId="0" fontId="0" fillId="0" borderId="13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top" wrapText="1"/>
    </xf>
  </cellXfs>
  <cellStyles count="1">
    <cellStyle name="Įprastas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B14"/>
  <sheetViews>
    <sheetView tabSelected="1" workbookViewId="0">
      <selection activeCell="A1" sqref="A1"/>
    </sheetView>
  </sheetViews>
  <sheetFormatPr baseColWidth="8" defaultRowHeight="14.5"/>
  <cols>
    <col width="15" customWidth="1" style="36" min="1" max="28"/>
  </cols>
  <sheetData>
    <row r="3" ht="15.5" customHeight="1" s="36">
      <c r="A3" s="45" t="inlineStr">
        <is>
          <t>Debitas pagal matuotą diferencinį slėgį</t>
        </is>
      </c>
    </row>
    <row r="5" ht="130" customHeight="1" s="36">
      <c r="A5" s="2" t="inlineStr">
        <is>
          <t>Matavimo data</t>
        </is>
      </c>
      <c r="B5" s="2" t="inlineStr">
        <is>
          <t>Ėminių registracijos Nr. T-107-2026-E-</t>
        </is>
      </c>
      <c r="C5" s="2" t="inlineStr">
        <is>
          <t>Objekto pavadinimas, adresas, taršos šaltinio Nr.</t>
        </is>
      </c>
      <c r="D5" s="2" t="inlineStr">
        <is>
          <t>Matavimo taškai ortakyje nuo vidinės sienelės, cm</t>
        </is>
      </c>
      <c r="E5" s="2" t="inlineStr">
        <is>
          <t>Išmatuotas diferencinis slėgis taškuose 1 linija, Pdi, hPa</t>
        </is>
      </c>
      <c r="F5" s="2" t="inlineStr">
        <is>
          <t>Išmatuotas diferencinis slėgis taškuose 2 linija, Pdi, hPa</t>
        </is>
      </c>
      <c r="G5" s="2" t="inlineStr">
        <is>
          <t>Pito vamzdelio koeficientas, K</t>
        </is>
      </c>
      <c r="H5" s="2" t="inlineStr">
        <is>
          <t>Temperatūra ortakyje t, oC</t>
        </is>
      </c>
      <c r="I5" s="2" t="inlineStr">
        <is>
          <t>Atmosferinis slėgis P, hPa</t>
        </is>
      </c>
      <c r="J5" s="2" t="inlineStr">
        <is>
          <t>Statinis slėgis ortakyje ± ΔP, hPa</t>
        </is>
      </c>
      <c r="K5" s="2" t="inlineStr">
        <is>
          <t>Dujų slėgis kamine Pk= P+ ΔP, hPa</t>
        </is>
      </c>
      <c r="L5" s="2" t="inlineStr">
        <is>
          <t>Dujų mol. masė Ms= qn *22.4, kg/</t>
        </is>
      </c>
      <c r="M5" s="2" t="inlineStr">
        <is>
          <t>Dujų srauto greitis matavimo taškuose, 1 linija, wi = K*129 *√t *√Pdi/ √Pk/√Ms, m/s</t>
        </is>
      </c>
      <c r="N5" s="2" t="inlineStr">
        <is>
          <t>Dujų srauto greitis matavimo taškuose, 2 linija, wi = K*129 *√t *√Pdi/ √Pk/√Ms, m/s</t>
        </is>
      </c>
      <c r="O5" s="2" t="inlineStr">
        <is>
          <t>Vidutinis dujų srauto greitis ortakyje w, m/s</t>
        </is>
      </c>
      <c r="P5" s="2" t="inlineStr">
        <is>
          <t>Ortakio diametras, matmenys, m</t>
        </is>
      </c>
      <c r="Q5" s="2" t="inlineStr">
        <is>
          <t>Ortakio skerspjūvio plotas F, m2</t>
        </is>
      </c>
      <c r="R5" s="2" t="inlineStr">
        <is>
          <t>Dujų tūrio debitas realiomis sąlygomis Vk = wvid × F, m3/s</t>
        </is>
      </c>
      <c r="S5" s="2" t="inlineStr">
        <is>
          <t>Dujų tūrio debitas normaliosiomis sąlygomis Vdr n.s =Vk *0,269*(P±ΔP)/(273+t), m3/s</t>
        </is>
      </c>
      <c r="T5" s="2" t="inlineStr">
        <is>
          <t>Vandens kondensato masė m H2O, kg</t>
        </is>
      </c>
      <c r="U5" s="2" t="inlineStr">
        <is>
          <t>Vandens garų konc. dujose x=mH2O/Vmn*qn, kg/kg</t>
        </is>
      </c>
      <c r="V5" s="2" t="inlineStr">
        <is>
          <t>Sausų dujų tūrio debitas normaliosiomis sąlygomis Vn= Vdr n.s *((1/(1+(x*qn/0.8038)))</t>
        </is>
      </c>
      <c r="W5" s="2" t="inlineStr">
        <is>
          <t>Prasiurbtas dujų tūris normaliosiomis sąlygomis Vmn, Nm3</t>
        </is>
      </c>
      <c r="X5" s="2" t="inlineStr">
        <is>
          <t>Išplėstinės neapibrėžties koef. A</t>
        </is>
      </c>
      <c r="Y5" s="2" t="inlineStr">
        <is>
          <t>Išplėstinė neapibrėžtis (dujų tūrio debitas) Uv</t>
        </is>
      </c>
      <c r="Z5" s="2" t="inlineStr">
        <is>
          <t>Išplėstinė neapibrėžtis (dujų srauto greitis) Uw</t>
        </is>
      </c>
      <c r="AA5" s="2" t="inlineStr">
        <is>
          <t>Sausų dujų tankis normaliosioms sąlygomis qn, (kg/m3)</t>
        </is>
      </c>
      <c r="AB5" s="2" t="inlineStr">
        <is>
          <t>Skaičiavimus atliko (inicialai, data)</t>
        </is>
      </c>
    </row>
    <row r="6">
      <c r="A6" s="51" t="inlineStr">
        <is>
          <t>2026-02-10</t>
        </is>
      </c>
      <c r="B6" s="51" t="n">
        <v>5</v>
      </c>
      <c r="C6" s="51" t="inlineStr">
        <is>
          <t>UAB "Ekopartneris", L. Ivinskio  g. 65, Kaunas. Katilinė. Taršos šaltinis Nr. 001</t>
        </is>
      </c>
      <c r="D6" s="65" t="n">
        <v>5</v>
      </c>
      <c r="E6" s="52" t="n">
        <v>0.73</v>
      </c>
      <c r="F6" s="52" t="n">
        <v>0.61</v>
      </c>
      <c r="G6" s="53" t="n">
        <v>0.827</v>
      </c>
      <c r="H6" s="54">
        <f>'Paėmimas'!$V$9</f>
        <v/>
      </c>
      <c r="I6" s="55" t="n">
        <v>1012</v>
      </c>
      <c r="J6" s="55" t="n">
        <v>0.35</v>
      </c>
      <c r="K6" s="56">
        <f>I6+J6</f>
        <v/>
      </c>
      <c r="L6" s="57">
        <f>AA6*22.4</f>
        <v/>
      </c>
      <c r="M6" s="58">
        <f>G6*129*(SQRT(E6*(273+H6)/(I6+J6)/L6))</f>
        <v/>
      </c>
      <c r="N6" s="58">
        <f>G6*129*(SQRT(F6*(273+H6)/(I6+J6)/L6))</f>
        <v/>
      </c>
      <c r="O6" s="58">
        <f>AVERAGE(M6,M7,M8,M9,M10,M11,M12,N6,N7,N8,N9,N10,N11,N12)</f>
        <v/>
      </c>
      <c r="P6" s="59" t="inlineStr">
        <is>
          <t>1,20</t>
        </is>
      </c>
      <c r="Q6" s="60">
        <f>(P6^2*3.14)/4</f>
        <v/>
      </c>
      <c r="R6" s="61">
        <f>$O$6*Q6</f>
        <v/>
      </c>
      <c r="S6" s="61">
        <f>R6*0.269*($I$6+$J$6)/(273+$H$6)</f>
        <v/>
      </c>
      <c r="T6" s="62">
        <f>'H2O'!I7</f>
        <v/>
      </c>
      <c r="U6" s="57">
        <f>T6/(1.29*W6)</f>
        <v/>
      </c>
      <c r="V6" s="61">
        <f>S6*(1/(1+(U6*1.29/0.8038)))</f>
        <v/>
      </c>
      <c r="W6" s="63">
        <f>'H2O'!H7</f>
        <v/>
      </c>
      <c r="X6" s="53" t="n">
        <v>0.079</v>
      </c>
      <c r="Y6" s="61">
        <f>V6*$X$6</f>
        <v/>
      </c>
      <c r="Z6" s="58">
        <f>$O$6*X6</f>
        <v/>
      </c>
      <c r="AA6" s="64">
        <f>'Aerodinamika'!G27</f>
        <v/>
      </c>
      <c r="AB6" s="65" t="inlineStr">
        <is>
          <t>S. Č., 2026-02-10</t>
        </is>
      </c>
    </row>
    <row r="7">
      <c r="A7" s="71" t="n"/>
      <c r="B7" s="71" t="n"/>
      <c r="C7" s="71" t="n"/>
      <c r="D7" s="65" t="n">
        <v>16</v>
      </c>
      <c r="E7" s="52" t="n">
        <v>0.87</v>
      </c>
      <c r="F7" s="52" t="n">
        <v>0.76</v>
      </c>
      <c r="G7" s="62" t="n">
        <v>0.827</v>
      </c>
      <c r="H7" s="54">
        <f>'Paėmimas'!$V$9</f>
        <v/>
      </c>
      <c r="I7" s="66" t="n">
        <v>1012</v>
      </c>
      <c r="J7" s="66" t="n">
        <v>0.35</v>
      </c>
      <c r="K7" s="56">
        <f>I7+J7</f>
        <v/>
      </c>
      <c r="L7" s="57">
        <f>AA6*22.4</f>
        <v/>
      </c>
      <c r="M7" s="58">
        <f>G6*129*(SQRT(E7*(273+H7)/(I7+J7)/L7))</f>
        <v/>
      </c>
      <c r="N7" s="58">
        <f>G6*129*(SQRT(F7*(273+H7)/(I7+J7)/L7))</f>
        <v/>
      </c>
      <c r="O7" s="67" t="n"/>
      <c r="P7" s="68" t="n"/>
      <c r="Q7" s="69" t="n"/>
      <c r="R7" s="61">
        <f>$O$6*Q7</f>
        <v/>
      </c>
      <c r="S7" s="61">
        <f>R7*0.269*($I$6+$J$6)/(273+$H$6)</f>
        <v/>
      </c>
      <c r="T7" s="62">
        <f>'H2O'!I7</f>
        <v/>
      </c>
      <c r="U7" s="57">
        <f>T7/(1.29*W7)</f>
        <v/>
      </c>
      <c r="V7" s="61">
        <f>S7*(1/(1+(U7*1.29/0.8038)))</f>
        <v/>
      </c>
      <c r="W7" s="63">
        <f>'H2O'!H7</f>
        <v/>
      </c>
      <c r="X7" s="53" t="n">
        <v>0.079</v>
      </c>
      <c r="Y7" s="61">
        <f>V7*$X$6</f>
        <v/>
      </c>
      <c r="Z7" s="58">
        <f>$O$6*X7</f>
        <v/>
      </c>
      <c r="AB7" s="72" t="n"/>
    </row>
    <row r="8">
      <c r="A8" s="71" t="n"/>
      <c r="B8" s="71" t="n"/>
      <c r="C8" s="71" t="n"/>
      <c r="D8" s="65" t="n">
        <v>31</v>
      </c>
      <c r="E8" s="52" t="n">
        <v>0.9399999999999999</v>
      </c>
      <c r="F8" s="52" t="n">
        <v>0.78</v>
      </c>
      <c r="G8" s="62" t="n">
        <v>0.827</v>
      </c>
      <c r="H8" s="54">
        <f>'Paėmimas'!$V$9</f>
        <v/>
      </c>
      <c r="I8" s="66" t="n">
        <v>1012</v>
      </c>
      <c r="J8" s="66" t="n">
        <v>0.35</v>
      </c>
      <c r="K8" s="56">
        <f>I8+J8</f>
        <v/>
      </c>
      <c r="L8" s="57">
        <f>AA6*22.4</f>
        <v/>
      </c>
      <c r="M8" s="58">
        <f>G6*129*(SQRT(E8*(273+H8)/(I8+J8)/L8))</f>
        <v/>
      </c>
      <c r="N8" s="58">
        <f>G6*129*(SQRT(F8*(273+H8)/(I8+J8)/L8))</f>
        <v/>
      </c>
      <c r="O8" s="67" t="n"/>
      <c r="P8" s="68" t="n"/>
      <c r="Q8" s="67" t="n"/>
      <c r="R8" s="67" t="n"/>
      <c r="S8" s="67" t="n"/>
    </row>
    <row r="9">
      <c r="A9" s="71" t="n"/>
      <c r="B9" s="71" t="n"/>
      <c r="C9" s="71" t="n"/>
      <c r="D9" s="65" t="n">
        <v>60</v>
      </c>
      <c r="E9" s="52" t="n">
        <v>0.92</v>
      </c>
      <c r="F9" s="52" t="n">
        <v>0.87</v>
      </c>
      <c r="G9" s="62" t="n">
        <v>0.827</v>
      </c>
      <c r="H9" s="54">
        <f>'Paėmimas'!$V$9</f>
        <v/>
      </c>
      <c r="I9" s="66" t="n">
        <v>1012</v>
      </c>
      <c r="J9" s="66" t="n">
        <v>0.35</v>
      </c>
      <c r="K9" s="56">
        <f>I9+J9</f>
        <v/>
      </c>
      <c r="L9" s="57">
        <f>AA6*22.4</f>
        <v/>
      </c>
      <c r="M9" s="58">
        <f>G6*129*(SQRT(E9*(273+H9)/(I9+J9)/L9))</f>
        <v/>
      </c>
      <c r="N9" s="58">
        <f>G6*129*(SQRT(F9*(273+H9)/(I9+J9)/L9))</f>
        <v/>
      </c>
      <c r="O9" s="67" t="n"/>
      <c r="P9" s="67" t="n"/>
      <c r="Q9" s="67" t="n"/>
      <c r="R9" s="67" t="n"/>
      <c r="S9" s="67" t="n"/>
    </row>
    <row r="10">
      <c r="A10" s="71" t="n"/>
      <c r="B10" s="71" t="n"/>
      <c r="C10" s="71" t="n"/>
      <c r="D10" s="65" t="n">
        <v>89</v>
      </c>
      <c r="E10" s="52" t="n">
        <v>0.86</v>
      </c>
      <c r="F10" s="52" t="n">
        <v>0.82</v>
      </c>
      <c r="G10" s="62" t="n">
        <v>0.827</v>
      </c>
      <c r="H10" s="54">
        <f>'Paėmimas'!$V$9</f>
        <v/>
      </c>
      <c r="I10" s="66" t="n">
        <v>1012</v>
      </c>
      <c r="J10" s="66" t="n">
        <v>0.35</v>
      </c>
      <c r="K10" s="56">
        <f>I10+J10</f>
        <v/>
      </c>
      <c r="L10" s="57">
        <f>AA6*22.4</f>
        <v/>
      </c>
      <c r="M10" s="58">
        <f>G6*129*(SQRT(E10*(273+H10)/(I10+J10)/L10))</f>
        <v/>
      </c>
      <c r="N10" s="58">
        <f>G6*129*(SQRT(F10*(273+H10)/(I10+J10)/L10))</f>
        <v/>
      </c>
    </row>
    <row r="11">
      <c r="A11" s="71" t="n"/>
      <c r="B11" s="71" t="n"/>
      <c r="C11" s="71" t="n"/>
      <c r="D11" s="65" t="n">
        <v>104</v>
      </c>
      <c r="E11" s="52" t="n">
        <v>0.77</v>
      </c>
      <c r="F11" s="52" t="n">
        <v>0.8100000000000001</v>
      </c>
      <c r="G11" s="62" t="n">
        <v>0.827</v>
      </c>
      <c r="H11" s="54">
        <f>'Paėmimas'!$V$9</f>
        <v/>
      </c>
      <c r="I11" s="66" t="n">
        <v>1012</v>
      </c>
      <c r="J11" s="66" t="n">
        <v>0.35</v>
      </c>
      <c r="K11" s="56">
        <f>I11+J11</f>
        <v/>
      </c>
      <c r="L11" s="57">
        <f>AA6*22.4</f>
        <v/>
      </c>
      <c r="M11" s="58">
        <f>G6*129*(SQRT(E11*(273+H11)/(I11+J11)/L11))</f>
        <v/>
      </c>
      <c r="N11" s="58">
        <f>G6*129*(SQRT(F11*(273+H11)/(I11+J11)/L11))</f>
        <v/>
      </c>
    </row>
    <row r="12">
      <c r="A12" s="72" t="n"/>
      <c r="B12" s="72" t="n"/>
      <c r="C12" s="72" t="n"/>
      <c r="D12" s="65" t="n">
        <v>115</v>
      </c>
      <c r="E12" s="52" t="n">
        <v>0.7</v>
      </c>
      <c r="F12" s="52" t="n">
        <v>0.75</v>
      </c>
      <c r="G12" s="62" t="n">
        <v>0.827</v>
      </c>
      <c r="H12" s="54">
        <f>'Paėmimas'!$V$9</f>
        <v/>
      </c>
      <c r="I12" s="66" t="n">
        <v>1012</v>
      </c>
      <c r="J12" s="66" t="n">
        <v>0.35</v>
      </c>
      <c r="K12" s="56">
        <f>I12+J12</f>
        <v/>
      </c>
      <c r="L12" s="57">
        <f>AA6*22.4</f>
        <v/>
      </c>
      <c r="M12" s="58">
        <f>G6*129*(SQRT(E12*(273+H12)/(I12+J12)/L12))</f>
        <v/>
      </c>
      <c r="N12" s="58">
        <f>G6*129*(SQRT(F12*(273+H12)/(I12+J12)/L12))</f>
        <v/>
      </c>
    </row>
    <row r="13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</row>
    <row r="14">
      <c r="A14" s="67" t="n"/>
      <c r="B14" s="67" t="n"/>
      <c r="C14" s="67" t="n"/>
      <c r="D14" s="67" t="inlineStr">
        <is>
          <t>RPU***</t>
        </is>
      </c>
      <c r="E14" s="70" t="inlineStr">
        <is>
          <t>Kai bus 2 linijos, RPU*** yra 2 linijos vidurinis taškas</t>
        </is>
      </c>
      <c r="F14" s="73" t="n"/>
      <c r="G14" s="73" t="n"/>
      <c r="H14" s="73" t="n"/>
      <c r="I14" s="73" t="n"/>
      <c r="J14" s="73" t="n"/>
      <c r="K14" s="73" t="n"/>
      <c r="L14" s="73" t="n"/>
      <c r="M14" s="73" t="n"/>
      <c r="N14" s="74" t="n"/>
    </row>
  </sheetData>
  <mergeCells count="6">
    <mergeCell ref="E14:N14"/>
    <mergeCell ref="AB6:AB7"/>
    <mergeCell ref="C6:C12"/>
    <mergeCell ref="A6:A12"/>
    <mergeCell ref="A3:AB3"/>
    <mergeCell ref="B6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10"/>
  <sheetViews>
    <sheetView workbookViewId="0">
      <selection activeCell="A1" sqref="A1"/>
    </sheetView>
  </sheetViews>
  <sheetFormatPr baseColWidth="8" defaultRowHeight="14.5"/>
  <cols>
    <col width="14" customWidth="1" style="36" min="1" max="12"/>
  </cols>
  <sheetData>
    <row r="3">
      <c r="A3" s="47" t="inlineStr">
        <is>
          <t>Skaičiuoklė kietųjų dalelių koncentracijai nustatyti. H2O skaičiavimas</t>
        </is>
      </c>
    </row>
    <row r="5" ht="72.5" customHeight="1" s="36">
      <c r="A5" s="2" t="n"/>
      <c r="B5" s="2" t="inlineStr">
        <is>
          <t>Ėminių ėmimo laikas t, min.</t>
        </is>
      </c>
      <c r="C5" s="2" t="inlineStr">
        <is>
          <t>Paėmimo greitis, l/min</t>
        </is>
      </c>
      <c r="D5" s="2" t="inlineStr">
        <is>
          <t>Atmosferinis slėgis, hPa</t>
        </is>
      </c>
      <c r="E5" s="2" t="inlineStr">
        <is>
          <t>Išretėjimas, -hPa</t>
        </is>
      </c>
      <c r="F5" s="2" t="inlineStr">
        <is>
          <t>Temperatūra prie aspiratoriaus, Vtr oC</t>
        </is>
      </c>
      <c r="G5" s="2" t="inlineStr">
        <is>
          <t>Dujų tūris normaliomis sąlygomis, Vn l.</t>
        </is>
      </c>
      <c r="H5" s="2" t="inlineStr">
        <is>
          <t>Prasiurbtas dujų tūris normaliosiomis sąlygomis Vmn, Nm3</t>
        </is>
      </c>
      <c r="I5" s="2" t="inlineStr">
        <is>
          <t>Vandens kondensato masė m H2O, kg</t>
        </is>
      </c>
      <c r="J5" s="2" t="inlineStr">
        <is>
          <t>Sausų dujų tankis normaliosioms sąlygomis qn (kg/m3)</t>
        </is>
      </c>
      <c r="K5" s="2" t="inlineStr">
        <is>
          <t>Drėgmės kiekis X (%) (izokinetinei sistemai)</t>
        </is>
      </c>
      <c r="L5" s="2" t="inlineStr">
        <is>
          <t>Pastabos</t>
        </is>
      </c>
    </row>
    <row r="6">
      <c r="A6" s="75" t="n"/>
      <c r="B6" s="75" t="n"/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</row>
    <row r="7">
      <c r="A7" s="76" t="inlineStr">
        <is>
          <t>TŠ 001 H2O</t>
        </is>
      </c>
      <c r="B7" s="77" t="n">
        <v>10</v>
      </c>
      <c r="C7" s="77" t="n">
        <v>10</v>
      </c>
      <c r="D7" s="78" t="n">
        <v>1012</v>
      </c>
      <c r="E7" s="79" t="n">
        <v>27.2</v>
      </c>
      <c r="F7" s="79" t="n">
        <v>12.7</v>
      </c>
      <c r="G7" s="80">
        <f>+(D7-E7)*B7*C7*0.27/(273+F7)</f>
        <v/>
      </c>
      <c r="H7" s="81">
        <f>G7/1000</f>
        <v/>
      </c>
      <c r="I7" s="82" t="n">
        <v>0.015</v>
      </c>
      <c r="J7" s="83">
        <f>Aerodinamika!G27</f>
        <v/>
      </c>
      <c r="K7" s="84">
        <f>(100*((I7/(H7*J7))/0.8038))/(((I7/(H7*J7))/0.8038)+(1/J7))</f>
        <v/>
      </c>
      <c r="L7" s="85" t="n"/>
    </row>
    <row r="8">
      <c r="A8" s="75" t="n"/>
      <c r="B8" s="75" t="n"/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</row>
    <row r="9">
      <c r="A9" s="75" t="n"/>
      <c r="B9" s="75" t="n"/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</row>
    <row r="10">
      <c r="A10" s="75" t="n"/>
      <c r="B10" s="75" t="n"/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</row>
  </sheetData>
  <mergeCells count="1"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8"/>
  <sheetViews>
    <sheetView workbookViewId="0">
      <selection activeCell="A1" sqref="A1"/>
    </sheetView>
  </sheetViews>
  <sheetFormatPr baseColWidth="8" defaultRowHeight="14.5"/>
  <cols>
    <col width="14" customWidth="1" style="36" min="1" max="25"/>
  </cols>
  <sheetData>
    <row r="2">
      <c r="A2" s="47" t="inlineStr">
        <is>
          <t>Skaičiuoklė kietųjų dalelių koncentracijai nustatyti. Pradinių duomenų nustatymas</t>
        </is>
      </c>
    </row>
    <row r="5" ht="58" customHeight="1" s="36">
      <c r="A5" s="2" t="inlineStr">
        <is>
          <t>Matavimo data</t>
        </is>
      </c>
      <c r="B5" s="2" t="inlineStr">
        <is>
          <t>Ėminių registracijos Nr. T-107-2026-E-</t>
        </is>
      </c>
      <c r="C5" s="2" t="inlineStr">
        <is>
          <t>Objekto pavadinimas, adresas, taršos šaltinio Nr.</t>
        </is>
      </c>
      <c r="D5" s="2" t="inlineStr">
        <is>
          <t>Ortakio skersmuo d, m</t>
        </is>
      </c>
      <c r="E5" s="2" t="inlineStr">
        <is>
          <t>Skerspjūvio plotas A (m2)</t>
        </is>
      </c>
      <c r="F5" s="2" t="inlineStr">
        <is>
          <t>Temperatūra ortakyje tor (°C)</t>
        </is>
      </c>
      <c r="G5" s="2" t="inlineStr">
        <is>
          <t>Srauto greitis ortakyje wor (m/s)</t>
        </is>
      </c>
      <c r="H5" s="2" t="inlineStr">
        <is>
          <t>Atmosferinis slėgis P (hPa)</t>
        </is>
      </c>
      <c r="I5" s="2" t="inlineStr">
        <is>
          <t>Statinis slėgis ortakyje ΔPor (hPa)</t>
        </is>
      </c>
      <c r="J5" s="2" t="inlineStr">
        <is>
          <t>Slėgis prieš rotametrą ΔPr (±hPa)</t>
        </is>
      </c>
      <c r="K5" s="2" t="inlineStr">
        <is>
          <t>Antgalio diametras da (mm)</t>
        </is>
      </c>
      <c r="L5" s="2" t="inlineStr">
        <is>
          <t>Prasiurbtas dujų tūris Vm (m3)</t>
        </is>
      </c>
      <c r="M5" s="2" t="inlineStr">
        <is>
          <t>Siurbimo laikas t (min)</t>
        </is>
      </c>
      <c r="N5" s="2" t="inlineStr">
        <is>
          <t>Siurbimo greitis Vo (l/min)</t>
        </is>
      </c>
      <c r="O5" s="2" t="inlineStr">
        <is>
          <t>Siurbiamų dujų temperatūra prieš rotametrą tr (°C)</t>
        </is>
      </c>
      <c r="P5" s="2" t="inlineStr">
        <is>
          <t>O2iš (%) (ore 21 %)</t>
        </is>
      </c>
      <c r="Q5" s="2" t="inlineStr">
        <is>
          <t>CO2iš (%) (ore 0,04 %)</t>
        </is>
      </c>
      <c r="R5" s="2" t="inlineStr">
        <is>
          <t>Darbuotojo inicialai, data</t>
        </is>
      </c>
      <c r="S5" s="2" t="inlineStr">
        <is>
          <t>Pastabos</t>
        </is>
      </c>
      <c r="T5" s="2" t="inlineStr">
        <is>
          <t>Išmatuota O2 koncentracija (%)</t>
        </is>
      </c>
      <c r="U5" s="2" t="inlineStr">
        <is>
          <t>Išmatuota CO2 koncentracija (%)</t>
        </is>
      </c>
      <c r="V5" s="2" t="inlineStr">
        <is>
          <t>Temperatūra ortakyje tor (°C)</t>
        </is>
      </c>
      <c r="W5" s="5" t="n"/>
      <c r="X5" s="2" t="inlineStr">
        <is>
          <t>Išmatuotas diferencinis slėgis taškuose, Pdi, hPa</t>
        </is>
      </c>
      <c r="Y5" s="2" t="inlineStr">
        <is>
          <t>Izokinetiškumas (0,95-1,15)</t>
        </is>
      </c>
    </row>
    <row r="6">
      <c r="A6" s="86" t="inlineStr">
        <is>
          <t>2026-02-10</t>
        </is>
      </c>
      <c r="B6" s="10" t="n">
        <v>5</v>
      </c>
      <c r="C6" s="87" t="inlineStr">
        <is>
          <t>UAB "Ekopartneris", L. Ivinskio  g. 65, Kaunas. Katilinė. Taršos šaltinis Nr. 001</t>
        </is>
      </c>
      <c r="D6" s="88" t="inlineStr">
        <is>
          <t>1,20</t>
        </is>
      </c>
      <c r="E6" s="89">
        <f>Greitis!Q6</f>
        <v/>
      </c>
      <c r="F6" s="54">
        <f>'Paėmimas'!$V$9</f>
        <v/>
      </c>
      <c r="G6" s="90">
        <f>'Greitis'!M6</f>
        <v/>
      </c>
      <c r="H6" s="91">
        <f>'Greitis'!I6</f>
        <v/>
      </c>
      <c r="I6" s="92">
        <f>'Greitis'!J6</f>
        <v/>
      </c>
      <c r="J6" s="93" t="n">
        <v>58.6</v>
      </c>
      <c r="K6" s="93" t="n">
        <v>6</v>
      </c>
      <c r="L6" s="61">
        <f>M6*N6/1000</f>
        <v/>
      </c>
      <c r="M6" s="59" t="n">
        <v>3</v>
      </c>
      <c r="N6" s="59" t="n">
        <v>15</v>
      </c>
      <c r="O6" s="93" t="n">
        <v>13.4</v>
      </c>
      <c r="P6" s="92">
        <f>'Paėmimas'!$T$9</f>
        <v/>
      </c>
      <c r="Q6" s="92">
        <f>'Paėmimas'!$U$9</f>
        <v/>
      </c>
      <c r="R6" s="94" t="inlineStr">
        <is>
          <t>S. Č., 2026-02-10</t>
        </is>
      </c>
      <c r="S6" s="95" t="inlineStr">
        <is>
          <t>1 filtras, 1 linija</t>
        </is>
      </c>
      <c r="T6" s="96" t="n">
        <v>7.92</v>
      </c>
      <c r="U6" s="96" t="n">
        <v>7.41</v>
      </c>
      <c r="V6" s="93" t="n">
        <v>63.1</v>
      </c>
      <c r="X6" s="97" t="n">
        <v>0.73</v>
      </c>
      <c r="Y6" s="98" t="n"/>
    </row>
    <row r="7">
      <c r="A7" s="11" t="n"/>
      <c r="B7" s="11" t="n"/>
      <c r="C7" s="11" t="n"/>
      <c r="D7" s="100" t="n"/>
      <c r="E7" s="100" t="n"/>
      <c r="F7" s="54">
        <f>'Paėmimas'!$V$9</f>
        <v/>
      </c>
      <c r="G7" s="90">
        <f>'Greitis'!M7</f>
        <v/>
      </c>
      <c r="H7" s="91">
        <f>$H$6</f>
        <v/>
      </c>
      <c r="I7" s="92">
        <f>$I$6</f>
        <v/>
      </c>
      <c r="J7" s="93" t="n">
        <v>72.40000000000001</v>
      </c>
      <c r="K7" s="101" t="n">
        <v>6</v>
      </c>
      <c r="L7" s="61">
        <f>M7*N7/1000</f>
        <v/>
      </c>
      <c r="M7" s="102" t="n">
        <v>3</v>
      </c>
      <c r="N7" s="59" t="n">
        <v>16</v>
      </c>
      <c r="O7" s="93" t="n">
        <v>12.9</v>
      </c>
      <c r="P7" s="92">
        <f>'Paėmimas'!$T$9</f>
        <v/>
      </c>
      <c r="Q7" s="92">
        <f>'Paėmimas'!$U$9</f>
        <v/>
      </c>
      <c r="R7" s="100" t="n"/>
      <c r="S7" s="100" t="n"/>
      <c r="T7" s="96" t="n">
        <v>7.94</v>
      </c>
      <c r="U7" s="96" t="n">
        <v>7.4</v>
      </c>
      <c r="V7" s="93" t="n">
        <v>62.7</v>
      </c>
      <c r="X7" s="97" t="n">
        <v>0.87</v>
      </c>
      <c r="Y7" s="98" t="n"/>
    </row>
    <row r="8">
      <c r="A8" s="11" t="n"/>
      <c r="B8" s="11" t="n"/>
      <c r="C8" s="11" t="n"/>
      <c r="D8" s="100" t="n"/>
      <c r="E8" s="100" t="n"/>
      <c r="F8" s="54">
        <f>'Paėmimas'!$V$9</f>
        <v/>
      </c>
      <c r="G8" s="90">
        <f>'Greitis'!M8</f>
        <v/>
      </c>
      <c r="H8" s="91">
        <f>$H$6</f>
        <v/>
      </c>
      <c r="I8" s="92">
        <f>$I$6</f>
        <v/>
      </c>
      <c r="J8" s="93" t="n">
        <v>72.7</v>
      </c>
      <c r="K8" s="101" t="n">
        <v>6</v>
      </c>
      <c r="L8" s="61">
        <f>M8*N8/1000</f>
        <v/>
      </c>
      <c r="M8" s="102" t="n">
        <v>3</v>
      </c>
      <c r="N8" s="59" t="n">
        <v>16</v>
      </c>
      <c r="O8" s="93" t="n">
        <v>12.8</v>
      </c>
      <c r="P8" s="92">
        <f>'Paėmimas'!$T$9</f>
        <v/>
      </c>
      <c r="Q8" s="92">
        <f>'Paėmimas'!$U$9</f>
        <v/>
      </c>
      <c r="R8" s="100" t="n"/>
      <c r="S8" s="100" t="n"/>
      <c r="T8" s="96" t="n">
        <v>7.96</v>
      </c>
      <c r="U8" s="96" t="n">
        <v>7.39</v>
      </c>
      <c r="V8" s="93" t="n">
        <v>63.3</v>
      </c>
      <c r="X8" s="97" t="n">
        <v>0.9399999999999999</v>
      </c>
      <c r="Y8" s="98" t="n"/>
    </row>
    <row r="9">
      <c r="A9" s="11" t="n"/>
      <c r="B9" s="11" t="n"/>
      <c r="C9" s="11" t="n"/>
      <c r="D9" s="100" t="n"/>
      <c r="E9" s="100" t="n"/>
      <c r="F9" s="54">
        <f>'Paėmimas'!$V$9</f>
        <v/>
      </c>
      <c r="G9" s="90">
        <f>'Greitis'!M9</f>
        <v/>
      </c>
      <c r="H9" s="91">
        <f>$H$6</f>
        <v/>
      </c>
      <c r="I9" s="92">
        <f>$I$6</f>
        <v/>
      </c>
      <c r="J9" s="93" t="n">
        <v>73.90000000000001</v>
      </c>
      <c r="K9" s="101" t="n">
        <v>6</v>
      </c>
      <c r="L9" s="61">
        <f>M9*N9/1000</f>
        <v/>
      </c>
      <c r="M9" s="102" t="n">
        <v>3</v>
      </c>
      <c r="N9" s="59" t="n">
        <v>16</v>
      </c>
      <c r="O9" s="93" t="n">
        <v>12.9</v>
      </c>
      <c r="P9" s="92">
        <f>'Paėmimas'!$T$9</f>
        <v/>
      </c>
      <c r="Q9" s="92">
        <f>'Paėmimas'!$U$9</f>
        <v/>
      </c>
      <c r="R9" s="100" t="n"/>
      <c r="S9" s="100" t="n"/>
      <c r="T9" s="103">
        <f>AVERAGE(T6:T8)</f>
        <v/>
      </c>
      <c r="U9" s="103">
        <f>AVERAGE(U6:U8)</f>
        <v/>
      </c>
      <c r="V9" s="104">
        <f>AVERAGE(V6:V8)</f>
        <v/>
      </c>
      <c r="X9" s="97" t="n">
        <v>0.92</v>
      </c>
      <c r="Y9" s="98" t="n"/>
    </row>
    <row r="10">
      <c r="A10" s="11" t="n"/>
      <c r="B10" s="11" t="n"/>
      <c r="C10" s="11" t="n"/>
      <c r="D10" s="100" t="n"/>
      <c r="E10" s="100" t="n"/>
      <c r="F10" s="54">
        <f>'Paėmimas'!$V$9</f>
        <v/>
      </c>
      <c r="G10" s="90">
        <f>'Greitis'!M10</f>
        <v/>
      </c>
      <c r="H10" s="91">
        <f>$H$6</f>
        <v/>
      </c>
      <c r="I10" s="92">
        <f>$I$6</f>
        <v/>
      </c>
      <c r="J10" s="93" t="n">
        <v>75.09999999999999</v>
      </c>
      <c r="K10" s="101" t="n">
        <v>6</v>
      </c>
      <c r="L10" s="61">
        <f>M10*N10/1000</f>
        <v/>
      </c>
      <c r="M10" s="102" t="n">
        <v>3</v>
      </c>
      <c r="N10" s="59" t="n">
        <v>16</v>
      </c>
      <c r="O10" s="93" t="n">
        <v>13.1</v>
      </c>
      <c r="P10" s="92">
        <f>'Paėmimas'!$T$9</f>
        <v/>
      </c>
      <c r="Q10" s="92">
        <f>'Paėmimas'!$U$9</f>
        <v/>
      </c>
      <c r="R10" s="100" t="n"/>
      <c r="S10" s="100" t="n"/>
      <c r="T10" s="105" t="inlineStr">
        <is>
          <t>O2iš, (%) vidurkis</t>
        </is>
      </c>
      <c r="U10" s="105" t="inlineStr">
        <is>
          <t>CO2iš, (%) vidurkis</t>
        </is>
      </c>
      <c r="V10" s="105" t="inlineStr">
        <is>
          <t xml:space="preserve"> tor vidurkis, °C</t>
        </is>
      </c>
      <c r="X10" s="97" t="n">
        <v>0.86</v>
      </c>
      <c r="Y10" s="98" t="n"/>
    </row>
    <row r="11">
      <c r="A11" s="11" t="n"/>
      <c r="B11" s="11" t="n"/>
      <c r="C11" s="11" t="n"/>
      <c r="D11" s="100" t="n"/>
      <c r="E11" s="100" t="n"/>
      <c r="F11" s="54">
        <f>'Paėmimas'!$V$9</f>
        <v/>
      </c>
      <c r="G11" s="90">
        <f>'Greitis'!M11</f>
        <v/>
      </c>
      <c r="H11" s="91">
        <f>$H$6</f>
        <v/>
      </c>
      <c r="I11" s="92">
        <f>$I$6</f>
        <v/>
      </c>
      <c r="J11" s="93" t="n">
        <v>67.5</v>
      </c>
      <c r="K11" s="101" t="n">
        <v>6</v>
      </c>
      <c r="L11" s="61">
        <f>M11*N11/1000</f>
        <v/>
      </c>
      <c r="M11" s="102" t="n">
        <v>3</v>
      </c>
      <c r="N11" s="59" t="n">
        <v>15</v>
      </c>
      <c r="O11" s="93" t="n">
        <v>13.2</v>
      </c>
      <c r="P11" s="92">
        <f>'Paėmimas'!$T$9</f>
        <v/>
      </c>
      <c r="Q11" s="92">
        <f>'Paėmimas'!$U$9</f>
        <v/>
      </c>
      <c r="R11" s="100" t="n"/>
      <c r="S11" s="100" t="n"/>
      <c r="X11" s="97" t="n">
        <v>0.77</v>
      </c>
      <c r="Y11" s="98" t="n"/>
    </row>
    <row r="12">
      <c r="A12" s="12" t="n"/>
      <c r="B12" s="12" t="n"/>
      <c r="C12" s="12" t="n"/>
      <c r="D12" s="107" t="n"/>
      <c r="E12" s="107" t="n"/>
      <c r="F12" s="54">
        <f>'Paėmimas'!$V$9</f>
        <v/>
      </c>
      <c r="G12" s="90">
        <f>'Greitis'!M12</f>
        <v/>
      </c>
      <c r="H12" s="91">
        <f>$H$6</f>
        <v/>
      </c>
      <c r="I12" s="92">
        <f>$I$6</f>
        <v/>
      </c>
      <c r="J12" s="93" t="n">
        <v>62.4</v>
      </c>
      <c r="K12" s="101" t="n">
        <v>6</v>
      </c>
      <c r="L12" s="61">
        <f>M12*N12/1000</f>
        <v/>
      </c>
      <c r="M12" s="102" t="n">
        <v>3</v>
      </c>
      <c r="N12" s="59" t="n">
        <v>14</v>
      </c>
      <c r="O12" s="93" t="n">
        <v>13.4</v>
      </c>
      <c r="P12" s="92">
        <f>'Paėmimas'!$T$9</f>
        <v/>
      </c>
      <c r="Q12" s="92">
        <f>'Paėmimas'!$U$9</f>
        <v/>
      </c>
      <c r="R12" s="107" t="n"/>
      <c r="S12" s="107" t="n"/>
      <c r="X12" s="97" t="n">
        <v>0.7</v>
      </c>
      <c r="Y12" s="98" t="n"/>
    </row>
    <row r="13">
      <c r="L13" s="61">
        <f>SUM(L6:L12)</f>
        <v/>
      </c>
      <c r="M13" s="108">
        <f>SUM(M6:M12)</f>
        <v/>
      </c>
      <c r="N13" s="108">
        <f>AVERAGE(N6:N12)</f>
        <v/>
      </c>
    </row>
    <row r="14">
      <c r="L14" s="105" t="inlineStr">
        <is>
          <t>Suma Vm, m3</t>
        </is>
      </c>
      <c r="M14" s="105" t="inlineStr">
        <is>
          <t>Suma t, min</t>
        </is>
      </c>
      <c r="N14" s="105" t="inlineStr">
        <is>
          <t>Vidurkis Vo (l/min)</t>
        </is>
      </c>
    </row>
    <row r="17">
      <c r="A17" s="86" t="inlineStr">
        <is>
          <t>2026-02-10</t>
        </is>
      </c>
      <c r="B17" s="86" t="n">
        <v>5</v>
      </c>
      <c r="C17" s="87" t="inlineStr">
        <is>
          <t>UAB "Ekopartneris", L. Ivinskio  g. 65, Kaunas. Katilinė. Taršos šaltinis Nr. 001</t>
        </is>
      </c>
      <c r="D17" s="109">
        <f>$D$6</f>
        <v/>
      </c>
      <c r="E17" s="110">
        <f>$E$6</f>
        <v/>
      </c>
      <c r="F17" s="54">
        <f>'Paėmimas'!$V$9</f>
        <v/>
      </c>
      <c r="G17" s="90">
        <f>'Greitis'!N6</f>
        <v/>
      </c>
      <c r="H17" s="91">
        <f>$H$6</f>
        <v/>
      </c>
      <c r="I17" s="92">
        <f>$I$6</f>
        <v/>
      </c>
      <c r="J17" s="93" t="n">
        <v>62.6</v>
      </c>
      <c r="K17" s="101" t="n">
        <v>6</v>
      </c>
      <c r="L17" s="61">
        <f>M17*N17/1000</f>
        <v/>
      </c>
      <c r="M17" s="102" t="n">
        <v>3</v>
      </c>
      <c r="N17" s="59" t="n">
        <v>13</v>
      </c>
      <c r="O17" s="93" t="n">
        <v>13.7</v>
      </c>
      <c r="P17" s="92">
        <f>'Paėmimas'!$T$9</f>
        <v/>
      </c>
      <c r="Q17" s="92">
        <f>'Paėmimas'!$U$9</f>
        <v/>
      </c>
      <c r="R17" s="111" t="inlineStr">
        <is>
          <t>S. Č., 2026-02-10</t>
        </is>
      </c>
      <c r="S17" s="95" t="inlineStr">
        <is>
          <t>1 filtras, 2 linija</t>
        </is>
      </c>
      <c r="X17" s="97" t="n">
        <v>0.61</v>
      </c>
      <c r="Y17" s="98" t="n"/>
    </row>
    <row r="18">
      <c r="A18" s="11" t="n"/>
      <c r="B18" s="11" t="n"/>
      <c r="C18" s="11" t="n"/>
      <c r="D18" s="100" t="n"/>
      <c r="E18" s="100" t="n"/>
      <c r="F18" s="54">
        <f>'Paėmimas'!$V$9</f>
        <v/>
      </c>
      <c r="G18" s="90">
        <f>'Greitis'!N7</f>
        <v/>
      </c>
      <c r="H18" s="91">
        <f>$H$6</f>
        <v/>
      </c>
      <c r="I18" s="92">
        <f>$I$6</f>
        <v/>
      </c>
      <c r="J18" s="93" t="n">
        <v>67.59999999999999</v>
      </c>
      <c r="K18" s="101" t="n">
        <v>6</v>
      </c>
      <c r="L18" s="61">
        <f>M18*N18/1000</f>
        <v/>
      </c>
      <c r="M18" s="102" t="n">
        <v>3</v>
      </c>
      <c r="N18" s="59" t="n">
        <v>15</v>
      </c>
      <c r="O18" s="93" t="n">
        <v>13.8</v>
      </c>
      <c r="P18" s="92">
        <f>'Paėmimas'!$T$9</f>
        <v/>
      </c>
      <c r="Q18" s="92">
        <f>'Paėmimas'!$U$9</f>
        <v/>
      </c>
      <c r="R18" s="100" t="n"/>
      <c r="S18" s="100" t="n"/>
      <c r="X18" s="97" t="n">
        <v>0.76</v>
      </c>
      <c r="Y18" s="98" t="n"/>
    </row>
    <row r="19">
      <c r="A19" s="11" t="n"/>
      <c r="B19" s="11" t="n"/>
      <c r="C19" s="11" t="n"/>
      <c r="D19" s="100" t="n"/>
      <c r="E19" s="100" t="n"/>
      <c r="F19" s="54">
        <f>'Paėmimas'!$V$9</f>
        <v/>
      </c>
      <c r="G19" s="90">
        <f>'Greitis'!N8</f>
        <v/>
      </c>
      <c r="H19" s="91">
        <f>$H$6</f>
        <v/>
      </c>
      <c r="I19" s="92">
        <f>$I$6</f>
        <v/>
      </c>
      <c r="J19" s="93" t="n">
        <v>67.90000000000001</v>
      </c>
      <c r="K19" s="101" t="n">
        <v>6</v>
      </c>
      <c r="L19" s="61">
        <f>M19*N19/1000</f>
        <v/>
      </c>
      <c r="M19" s="102" t="n">
        <v>3</v>
      </c>
      <c r="N19" s="59" t="n">
        <v>15</v>
      </c>
      <c r="O19" s="93" t="n">
        <v>13.8</v>
      </c>
      <c r="P19" s="92">
        <f>'Paėmimas'!$T$9</f>
        <v/>
      </c>
      <c r="Q19" s="92">
        <f>'Paėmimas'!$U$9</f>
        <v/>
      </c>
      <c r="R19" s="100" t="n"/>
      <c r="S19" s="100" t="n"/>
      <c r="X19" s="97" t="n">
        <v>0.78</v>
      </c>
      <c r="Y19" s="98" t="n"/>
    </row>
    <row r="20">
      <c r="A20" s="11" t="n"/>
      <c r="B20" s="11" t="n"/>
      <c r="C20" s="11" t="n"/>
      <c r="D20" s="100" t="n"/>
      <c r="E20" s="100" t="n"/>
      <c r="F20" s="54">
        <f>'Paėmimas'!$V$9</f>
        <v/>
      </c>
      <c r="G20" s="90">
        <f>'Greitis'!N9</f>
        <v/>
      </c>
      <c r="H20" s="91">
        <f>$H$6</f>
        <v/>
      </c>
      <c r="I20" s="92">
        <f>$I$6</f>
        <v/>
      </c>
      <c r="J20" s="93" t="n">
        <v>76.2</v>
      </c>
      <c r="K20" s="101" t="n">
        <v>6</v>
      </c>
      <c r="L20" s="61">
        <f>M20*N20/1000</f>
        <v/>
      </c>
      <c r="M20" s="102" t="n">
        <v>3</v>
      </c>
      <c r="N20" s="59" t="n">
        <v>16</v>
      </c>
      <c r="O20" s="93" t="n">
        <v>13.7</v>
      </c>
      <c r="P20" s="92">
        <f>'Paėmimas'!$T$9</f>
        <v/>
      </c>
      <c r="Q20" s="92">
        <f>'Paėmimas'!$U$9</f>
        <v/>
      </c>
      <c r="R20" s="100" t="n"/>
      <c r="S20" s="100" t="n"/>
      <c r="X20" s="97" t="n">
        <v>0.87</v>
      </c>
      <c r="Y20" s="98" t="n"/>
    </row>
    <row r="21">
      <c r="A21" s="11" t="n"/>
      <c r="B21" s="11" t="n"/>
      <c r="C21" s="11" t="n"/>
      <c r="D21" s="100" t="n"/>
      <c r="E21" s="100" t="n"/>
      <c r="F21" s="54">
        <f>'Paėmimas'!$V$9</f>
        <v/>
      </c>
      <c r="G21" s="90">
        <f>'Greitis'!N10</f>
        <v/>
      </c>
      <c r="H21" s="91">
        <f>$H$6</f>
        <v/>
      </c>
      <c r="I21" s="92">
        <f>$I$6</f>
        <v/>
      </c>
      <c r="J21" s="93" t="n">
        <v>69.8</v>
      </c>
      <c r="K21" s="101" t="n">
        <v>6</v>
      </c>
      <c r="L21" s="61">
        <f>M21*N21/1000</f>
        <v/>
      </c>
      <c r="M21" s="102" t="n">
        <v>3</v>
      </c>
      <c r="N21" s="59" t="n">
        <v>16</v>
      </c>
      <c r="O21" s="93" t="n">
        <v>13.7</v>
      </c>
      <c r="P21" s="92">
        <f>'Paėmimas'!$T$9</f>
        <v/>
      </c>
      <c r="Q21" s="92">
        <f>'Paėmimas'!$U$9</f>
        <v/>
      </c>
      <c r="R21" s="100" t="n"/>
      <c r="S21" s="100" t="n"/>
      <c r="X21" s="97" t="n">
        <v>0.82</v>
      </c>
      <c r="Y21" s="98" t="n"/>
    </row>
    <row r="22">
      <c r="A22" s="11" t="n"/>
      <c r="B22" s="11" t="n"/>
      <c r="C22" s="11" t="n"/>
      <c r="D22" s="100" t="n"/>
      <c r="E22" s="100" t="n"/>
      <c r="F22" s="54">
        <f>'Paėmimas'!$V$9</f>
        <v/>
      </c>
      <c r="G22" s="90">
        <f>'Greitis'!N11</f>
        <v/>
      </c>
      <c r="H22" s="91">
        <f>$H$6</f>
        <v/>
      </c>
      <c r="I22" s="92">
        <f>$I$6</f>
        <v/>
      </c>
      <c r="J22" s="93" t="n">
        <v>70.40000000000001</v>
      </c>
      <c r="K22" s="101" t="n">
        <v>6</v>
      </c>
      <c r="L22" s="61">
        <f>M22*N22/1000</f>
        <v/>
      </c>
      <c r="M22" s="102" t="n">
        <v>3</v>
      </c>
      <c r="N22" s="59" t="n">
        <v>16</v>
      </c>
      <c r="O22" s="93" t="n">
        <v>13.6</v>
      </c>
      <c r="P22" s="92">
        <f>'Paėmimas'!$T$9</f>
        <v/>
      </c>
      <c r="Q22" s="92">
        <f>'Paėmimas'!$U$9</f>
        <v/>
      </c>
      <c r="R22" s="100" t="n"/>
      <c r="S22" s="100" t="n"/>
      <c r="X22" s="97" t="n">
        <v>0.8100000000000001</v>
      </c>
      <c r="Y22" s="98" t="n"/>
    </row>
    <row r="23">
      <c r="A23" s="12" t="n"/>
      <c r="B23" s="12" t="n"/>
      <c r="C23" s="12" t="n"/>
      <c r="D23" s="107" t="n"/>
      <c r="E23" s="107" t="n"/>
      <c r="F23" s="54">
        <f>'Paėmimas'!$V$9</f>
        <v/>
      </c>
      <c r="G23" s="90">
        <f>'Greitis'!N12</f>
        <v/>
      </c>
      <c r="H23" s="91">
        <f>$H$6</f>
        <v/>
      </c>
      <c r="I23" s="92">
        <f>$I$6</f>
        <v/>
      </c>
      <c r="J23" s="93" t="n">
        <v>70.7</v>
      </c>
      <c r="K23" s="101" t="n">
        <v>6</v>
      </c>
      <c r="L23" s="61">
        <f>M23*N23/1000</f>
        <v/>
      </c>
      <c r="M23" s="102" t="n">
        <v>3</v>
      </c>
      <c r="N23" s="59" t="n">
        <v>15</v>
      </c>
      <c r="O23" s="93" t="n">
        <v>13.7</v>
      </c>
      <c r="P23" s="92">
        <f>'Paėmimas'!$T$9</f>
        <v/>
      </c>
      <c r="Q23" s="92">
        <f>'Paėmimas'!$U$9</f>
        <v/>
      </c>
      <c r="R23" s="107" t="n"/>
      <c r="S23" s="107" t="n"/>
      <c r="X23" s="97" t="n">
        <v>0.75</v>
      </c>
      <c r="Y23" s="98" t="n"/>
    </row>
    <row r="24">
      <c r="L24" s="61">
        <f>SUM(L17:L23)</f>
        <v/>
      </c>
      <c r="M24" s="108">
        <f>SUM(M17:M23)</f>
        <v/>
      </c>
      <c r="N24" s="108">
        <f>AVERAGE(N17:N23)</f>
        <v/>
      </c>
    </row>
    <row r="25">
      <c r="L25" s="105" t="inlineStr">
        <is>
          <t>Suma Vm, m3</t>
        </is>
      </c>
      <c r="M25" s="105" t="inlineStr">
        <is>
          <t>Suma t, min</t>
        </is>
      </c>
      <c r="N25" s="105" t="inlineStr">
        <is>
          <t>Vidurkis Vo (l/min)</t>
        </is>
      </c>
    </row>
    <row r="27">
      <c r="M27" s="112">
        <f>SUM(M13,M24)</f>
        <v/>
      </c>
      <c r="N27" s="112">
        <f>AVERAGE(N13,N24)</f>
        <v/>
      </c>
    </row>
    <row r="28">
      <c r="M28" s="105" t="inlineStr">
        <is>
          <t>Viso suma t, min</t>
        </is>
      </c>
      <c r="N28" s="105" t="inlineStr">
        <is>
          <t xml:space="preserve">Vidurkių vidurkis Vo vid (l/min) </t>
        </is>
      </c>
    </row>
  </sheetData>
  <mergeCells count="3">
    <mergeCell ref="A2:V2"/>
    <mergeCell ref="C17:C23"/>
    <mergeCell ref="C6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28"/>
  <sheetViews>
    <sheetView workbookViewId="0">
      <selection activeCell="A1" sqref="A1"/>
    </sheetView>
  </sheetViews>
  <sheetFormatPr baseColWidth="8" defaultRowHeight="14.5"/>
  <cols>
    <col width="14" customWidth="1" style="36" min="1" max="14"/>
  </cols>
  <sheetData>
    <row r="2">
      <c r="A2" s="47" t="inlineStr">
        <is>
          <t>Skaičiuoklė kietųjų dalelių koncentracijai nustatyti. Izokinetiškumo nustatymas</t>
        </is>
      </c>
    </row>
    <row r="5" ht="87" customHeight="1" s="36">
      <c r="A5" s="2" t="inlineStr">
        <is>
          <t>Matavimo data</t>
        </is>
      </c>
      <c r="B5" s="2" t="inlineStr">
        <is>
          <t>Ėminių registracijos Nr. T-107-2026-E-</t>
        </is>
      </c>
      <c r="C5" s="2" t="inlineStr">
        <is>
          <t>Objekto pavadinimas, adresas, taršos šaltinio Nr.</t>
        </is>
      </c>
      <c r="D5" s="2" t="inlineStr">
        <is>
          <t>Prasiurbtas dujų tūris Vm (m3)</t>
        </is>
      </c>
      <c r="E5" s="2" t="inlineStr">
        <is>
          <t>Prasiurbtas dujų tūris normaliosiomis sąlygomis Vmn (Nm3)</t>
        </is>
      </c>
      <c r="F5" s="2" t="inlineStr">
        <is>
          <t>Prasiurbto dujų tūrio normaliosiomis sąlygomis suma Vmn(sum) (Nm3)</t>
        </is>
      </c>
      <c r="G5" s="2" t="inlineStr">
        <is>
          <t>Sausų dujų tankis normaliosioms sąlygomis qn (kg/m3)</t>
        </is>
      </c>
      <c r="H5" s="2" t="inlineStr">
        <is>
          <t>Drėgmės kiekis X (%)</t>
        </is>
      </c>
      <c r="I5" s="2" t="inlineStr">
        <is>
          <t>Pratrauktas drėgnų dujų tūris realiomis sąlygomis Vmk (m3)</t>
        </is>
      </c>
      <c r="J5" s="2" t="inlineStr">
        <is>
          <t>Dujų srauto greitis antgalyje v antg. (m/s)</t>
        </is>
      </c>
      <c r="K5" s="2" t="inlineStr">
        <is>
          <t>Izokinetiškumas (0,95-1,15)</t>
        </is>
      </c>
      <c r="L5" s="2" t="inlineStr">
        <is>
          <t>Izokinetiškumo vidurkis (0,95-1,15)</t>
        </is>
      </c>
      <c r="M5" s="2" t="inlineStr">
        <is>
          <t>Skaičiavimus atlikusio asmens inicialai, data</t>
        </is>
      </c>
      <c r="N5" s="2" t="inlineStr">
        <is>
          <t>Pastabos</t>
        </is>
      </c>
    </row>
    <row r="6">
      <c r="A6" s="86" t="inlineStr">
        <is>
          <t>2026-02-10</t>
        </is>
      </c>
      <c r="B6" s="86" t="n">
        <v>5</v>
      </c>
      <c r="C6" s="87" t="inlineStr">
        <is>
          <t>UAB "Ekopartneris", L. Ivinskio  g. 65, Kaunas. Katilinė. Taršos šaltinis Nr. 001</t>
        </is>
      </c>
      <c r="D6" s="113">
        <f>'Paėmimas'!L6</f>
        <v/>
      </c>
      <c r="E6" s="114">
        <f>D6*(273/(273+'Paėmimas'!O6)*('Paėmimas'!H6-'Paėmimas'!J6)/1013)</f>
        <v/>
      </c>
      <c r="F6" s="115">
        <f>SUM(E6:E12)</f>
        <v/>
      </c>
      <c r="G6" s="58">
        <f>(('Paėmimas'!Q6/100)*1.965)+(('Paėmimas'!P6/100)*1.429)+((1-('Paėmimas'!Q6/100)-('Paėmimas'!P6/100))*1.251)</f>
        <v/>
      </c>
      <c r="H6" s="62">
        <f>'H2O'!K7</f>
        <v/>
      </c>
      <c r="I6" s="116">
        <f>(E6/(1-(H6/1000))*((273+'Paėmimas'!F6)/273)*(1013/('Paėmimas'!H6+'Paėmimas'!I6)))</f>
        <v/>
      </c>
      <c r="J6" s="116">
        <f>(I6/('Paėmimas'!M6*60)/((3.142*(('Paėmimas'!K6/1000)*('Paėmimas'!K6/1000))/4)))</f>
        <v/>
      </c>
      <c r="K6" s="90">
        <f>J6/Paėmimas!G6</f>
        <v/>
      </c>
      <c r="L6" s="117">
        <f>AVERAGE(K6:K12)</f>
        <v/>
      </c>
      <c r="M6" s="111" t="inlineStr">
        <is>
          <t>S. Č., 2026-02-10</t>
        </is>
      </c>
      <c r="N6" s="118" t="inlineStr">
        <is>
          <t>1 linija, 1 filtras</t>
        </is>
      </c>
    </row>
    <row r="7">
      <c r="A7" s="11" t="n"/>
      <c r="B7" s="11" t="n"/>
      <c r="C7" s="11" t="n"/>
      <c r="D7" s="113">
        <f>'Paėmimas'!L7</f>
        <v/>
      </c>
      <c r="E7" s="114">
        <f>D7*(273/(273+'Paėmimas'!O7)*('Paėmimas'!H7-'Paėmimas'!J7)/1013)</f>
        <v/>
      </c>
      <c r="F7" s="100" t="n"/>
      <c r="G7" s="58">
        <f>(('Paėmimas'!Q7/100)*1.965)+(('Paėmimas'!P7/100)*1.429)+((1-('Paėmimas'!Q7/100)-('Paėmimas'!P7/100))*1.251)</f>
        <v/>
      </c>
      <c r="H7" s="62">
        <f>'H2O'!K7</f>
        <v/>
      </c>
      <c r="I7" s="116">
        <f>(E7/(1-(H7/1000))*((273+'Paėmimas'!F7)/273)*(1013/('Paėmimas'!H7+'Paėmimas'!I7)))</f>
        <v/>
      </c>
      <c r="J7" s="116">
        <f>(I7/('Paėmimas'!M7*60)/((3.142*(('Paėmimas'!K7/1000)*('Paėmimas'!K7/1000))/4)))</f>
        <v/>
      </c>
      <c r="K7" s="90">
        <f>J7/Paėmimas!G7</f>
        <v/>
      </c>
      <c r="L7" s="100" t="n"/>
      <c r="M7" s="100" t="n"/>
      <c r="N7" s="100" t="n"/>
    </row>
    <row r="8">
      <c r="A8" s="11" t="n"/>
      <c r="B8" s="11" t="n"/>
      <c r="C8" s="11" t="n"/>
      <c r="D8" s="113">
        <f>'Paėmimas'!L8</f>
        <v/>
      </c>
      <c r="E8" s="114">
        <f>D8*(273/(273+'Paėmimas'!O8)*('Paėmimas'!H8-'Paėmimas'!J8)/1013)</f>
        <v/>
      </c>
      <c r="F8" s="100" t="n"/>
      <c r="G8" s="58">
        <f>(('Paėmimas'!Q8/100)*1.965)+(('Paėmimas'!P8/100)*1.429)+((1-('Paėmimas'!Q8/100)-('Paėmimas'!P8/100))*1.251)</f>
        <v/>
      </c>
      <c r="H8" s="62">
        <f>'H2O'!K7</f>
        <v/>
      </c>
      <c r="I8" s="116">
        <f>(E8/(1-(H8/1000))*((273+'Paėmimas'!F8)/273)*(1013/('Paėmimas'!H8+'Paėmimas'!I8)))</f>
        <v/>
      </c>
      <c r="J8" s="116">
        <f>(I8/('Paėmimas'!M8*60)/((3.142*(('Paėmimas'!K8/1000)*('Paėmimas'!K8/1000))/4)))</f>
        <v/>
      </c>
      <c r="K8" s="90">
        <f>J8/Paėmimas!G8</f>
        <v/>
      </c>
      <c r="L8" s="100" t="n"/>
      <c r="M8" s="100" t="n"/>
      <c r="N8" s="100" t="n"/>
    </row>
    <row r="9">
      <c r="A9" s="11" t="n"/>
      <c r="B9" s="11" t="n"/>
      <c r="C9" s="11" t="n"/>
      <c r="D9" s="113">
        <f>'Paėmimas'!L9</f>
        <v/>
      </c>
      <c r="E9" s="114">
        <f>D9*(273/(273+'Paėmimas'!O9)*('Paėmimas'!H9-'Paėmimas'!J9)/1013)</f>
        <v/>
      </c>
      <c r="F9" s="100" t="n"/>
      <c r="G9" s="58">
        <f>(('Paėmimas'!Q9/100)*1.965)+(('Paėmimas'!P9/100)*1.429)+((1-('Paėmimas'!Q9/100)-('Paėmimas'!P9/100))*1.251)</f>
        <v/>
      </c>
      <c r="H9" s="62">
        <f>'H2O'!K7</f>
        <v/>
      </c>
      <c r="I9" s="116">
        <f>(E9/(1-(H9/1000))*((273+'Paėmimas'!F9)/273)*(1013/('Paėmimas'!H9+'Paėmimas'!I9)))</f>
        <v/>
      </c>
      <c r="J9" s="116">
        <f>(I9/('Paėmimas'!M9*60)/((3.142*(('Paėmimas'!K9/1000)*('Paėmimas'!K9/1000))/4)))</f>
        <v/>
      </c>
      <c r="K9" s="90">
        <f>J9/Paėmimas!G9</f>
        <v/>
      </c>
      <c r="L9" s="100" t="n"/>
      <c r="M9" s="100" t="n"/>
      <c r="N9" s="100" t="n"/>
    </row>
    <row r="10">
      <c r="A10" s="11" t="n"/>
      <c r="B10" s="11" t="n"/>
      <c r="C10" s="11" t="n"/>
      <c r="D10" s="113">
        <f>'Paėmimas'!L10</f>
        <v/>
      </c>
      <c r="E10" s="114">
        <f>D10*(273/(273+'Paėmimas'!O10)*('Paėmimas'!H10-'Paėmimas'!J10)/1013)</f>
        <v/>
      </c>
      <c r="F10" s="100" t="n"/>
      <c r="G10" s="58">
        <f>(('Paėmimas'!Q10/100)*1.965)+(('Paėmimas'!P10/100)*1.429)+((1-('Paėmimas'!Q10/100)-('Paėmimas'!P10/100))*1.251)</f>
        <v/>
      </c>
      <c r="H10" s="62">
        <f>'H2O'!K7</f>
        <v/>
      </c>
      <c r="I10" s="116">
        <f>(E10/(1-(H10/1000))*((273+'Paėmimas'!F10)/273)*(1013/('Paėmimas'!H10+'Paėmimas'!I10)))</f>
        <v/>
      </c>
      <c r="J10" s="116">
        <f>(I10/('Paėmimas'!M10*60)/((3.142*(('Paėmimas'!K10/1000)*('Paėmimas'!K10/1000))/4)))</f>
        <v/>
      </c>
      <c r="K10" s="90">
        <f>J10/Paėmimas!G10</f>
        <v/>
      </c>
      <c r="L10" s="100" t="n"/>
      <c r="M10" s="100" t="n"/>
      <c r="N10" s="100" t="n"/>
    </row>
    <row r="11">
      <c r="A11" s="11" t="n"/>
      <c r="B11" s="11" t="n"/>
      <c r="C11" s="11" t="n"/>
      <c r="D11" s="113">
        <f>'Paėmimas'!L11</f>
        <v/>
      </c>
      <c r="E11" s="114">
        <f>D11*(273/(273+'Paėmimas'!O11)*('Paėmimas'!H11-'Paėmimas'!J11)/1013)</f>
        <v/>
      </c>
      <c r="F11" s="100" t="n"/>
      <c r="G11" s="58">
        <f>(('Paėmimas'!Q11/100)*1.965)+(('Paėmimas'!P11/100)*1.429)+((1-('Paėmimas'!Q11/100)-('Paėmimas'!P11/100))*1.251)</f>
        <v/>
      </c>
      <c r="H11" s="62">
        <f>'H2O'!K7</f>
        <v/>
      </c>
      <c r="I11" s="116">
        <f>(E11/(1-(H11/1000))*((273+'Paėmimas'!F11)/273)*(1013/('Paėmimas'!H11+'Paėmimas'!I11)))</f>
        <v/>
      </c>
      <c r="J11" s="116">
        <f>(I11/('Paėmimas'!M11*60)/((3.142*(('Paėmimas'!K11/1000)*('Paėmimas'!K11/1000))/4)))</f>
        <v/>
      </c>
      <c r="K11" s="90">
        <f>J11/Paėmimas!G11</f>
        <v/>
      </c>
      <c r="L11" s="100" t="n"/>
      <c r="M11" s="100" t="n"/>
      <c r="N11" s="100" t="n"/>
    </row>
    <row r="12">
      <c r="A12" s="12" t="n"/>
      <c r="B12" s="12" t="n"/>
      <c r="C12" s="12" t="n"/>
      <c r="D12" s="113">
        <f>'Paėmimas'!L12</f>
        <v/>
      </c>
      <c r="E12" s="114">
        <f>D12*(273/(273+'Paėmimas'!O12)*('Paėmimas'!H12-'Paėmimas'!J12)/1013)</f>
        <v/>
      </c>
      <c r="F12" s="107" t="n"/>
      <c r="G12" s="58">
        <f>(('Paėmimas'!Q12/100)*1.965)+(('Paėmimas'!P12/100)*1.429)+((1-('Paėmimas'!Q12/100)-('Paėmimas'!P12/100))*1.251)</f>
        <v/>
      </c>
      <c r="H12" s="62">
        <f>'H2O'!K7</f>
        <v/>
      </c>
      <c r="I12" s="116">
        <f>(E12/(1-(H12/1000))*((273+'Paėmimas'!F12)/273)*(1013/('Paėmimas'!H12+'Paėmimas'!I12)))</f>
        <v/>
      </c>
      <c r="J12" s="116">
        <f>(I12/('Paėmimas'!M12*60)/((3.142*(('Paėmimas'!K12/1000)*('Paėmimas'!K12/1000))/4)))</f>
        <v/>
      </c>
      <c r="K12" s="90">
        <f>J12/Paėmimas!G12</f>
        <v/>
      </c>
      <c r="L12" s="107" t="n"/>
      <c r="M12" s="107" t="n"/>
      <c r="N12" s="107" t="n"/>
    </row>
    <row r="13">
      <c r="G13" s="119">
        <f>AVERAGE(G6:G12)</f>
        <v/>
      </c>
      <c r="I13" s="120">
        <f>SUM(I6:I12)</f>
        <v/>
      </c>
    </row>
    <row r="14">
      <c r="G14" s="105" t="inlineStr">
        <is>
          <t>Vidurkis qn, (kg/m3)</t>
        </is>
      </c>
      <c r="I14" s="105" t="inlineStr">
        <is>
          <t>Suma Vmk (m3)</t>
        </is>
      </c>
    </row>
    <row r="17">
      <c r="A17" s="86" t="inlineStr">
        <is>
          <t>2026-02-10</t>
        </is>
      </c>
      <c r="B17" s="86" t="n">
        <v>5</v>
      </c>
      <c r="C17" s="87" t="inlineStr">
        <is>
          <t>UAB "Ekopartneris", L. Ivinskio  g. 65, Kaunas. Katilinė. Taršos šaltinis Nr. 001</t>
        </is>
      </c>
      <c r="D17" s="113">
        <f>'Paėmimas'!L17</f>
        <v/>
      </c>
      <c r="E17" s="114">
        <f>D17*(273/(273+'Paėmimas'!O17)*('Paėmimas'!H17-'Paėmimas'!J17)/1013)</f>
        <v/>
      </c>
      <c r="F17" s="115">
        <f>SUM(E17:E23)</f>
        <v/>
      </c>
      <c r="G17" s="58">
        <f>(('Paėmimas'!Q17/100)*1.965)+(('Paėmimas'!P17/100)*1.429)+((1-('Paėmimas'!Q17/100)-('Paėmimas'!P17/100))*1.251)</f>
        <v/>
      </c>
      <c r="H17" s="62">
        <f>'H2O'!K7</f>
        <v/>
      </c>
      <c r="I17" s="116">
        <f>(E17/(1-(H17/1000))*((273+'Paėmimas'!F17)/273)*(1013/('Paėmimas'!H17+'Paėmimas'!I17)))</f>
        <v/>
      </c>
      <c r="J17" s="116">
        <f>(I17/('Paėmimas'!M17*60)/((3.142*(('Paėmimas'!K17/1000)*('Paėmimas'!K17/1000))/4)))</f>
        <v/>
      </c>
      <c r="K17" s="90">
        <f>J17/Paėmimas!G17</f>
        <v/>
      </c>
      <c r="L17" s="117">
        <f>AVERAGE(K17:K23)</f>
        <v/>
      </c>
      <c r="M17" s="111" t="inlineStr">
        <is>
          <t>S. Č., 2026-02-10</t>
        </is>
      </c>
      <c r="N17" s="118" t="inlineStr">
        <is>
          <t>2 linijos, 1 filtras</t>
        </is>
      </c>
    </row>
    <row r="18">
      <c r="A18" s="11" t="n"/>
      <c r="B18" s="11" t="n"/>
      <c r="C18" s="11" t="n"/>
      <c r="D18" s="113">
        <f>'Paėmimas'!L18</f>
        <v/>
      </c>
      <c r="E18" s="114">
        <f>D18*(273/(273+'Paėmimas'!O18)*('Paėmimas'!H18-'Paėmimas'!J18)/1013)</f>
        <v/>
      </c>
      <c r="F18" s="100" t="n"/>
      <c r="G18" s="58">
        <f>(('Paėmimas'!Q18/100)*1.965)+(('Paėmimas'!P18/100)*1.429)+((1-('Paėmimas'!Q18/100)-('Paėmimas'!P18/100))*1.251)</f>
        <v/>
      </c>
      <c r="H18" s="62">
        <f>'H2O'!K7</f>
        <v/>
      </c>
      <c r="I18" s="116">
        <f>(E18/(1-(H18/1000))*((273+'Paėmimas'!F18)/273)*(1013/('Paėmimas'!H18+'Paėmimas'!I18)))</f>
        <v/>
      </c>
      <c r="J18" s="116">
        <f>(I18/('Paėmimas'!M18*60)/((3.142*(('Paėmimas'!K18/1000)*('Paėmimas'!K18/1000))/4)))</f>
        <v/>
      </c>
      <c r="K18" s="90">
        <f>J18/Paėmimas!G18</f>
        <v/>
      </c>
      <c r="L18" s="100" t="n"/>
      <c r="M18" s="100" t="n"/>
      <c r="N18" s="100" t="n"/>
    </row>
    <row r="19">
      <c r="A19" s="11" t="n"/>
      <c r="B19" s="11" t="n"/>
      <c r="C19" s="11" t="n"/>
      <c r="D19" s="113">
        <f>'Paėmimas'!L19</f>
        <v/>
      </c>
      <c r="E19" s="114">
        <f>D19*(273/(273+'Paėmimas'!O19)*('Paėmimas'!H19-'Paėmimas'!J19)/1013)</f>
        <v/>
      </c>
      <c r="F19" s="100" t="n"/>
      <c r="G19" s="58">
        <f>(('Paėmimas'!Q19/100)*1.965)+(('Paėmimas'!P19/100)*1.429)+((1-('Paėmimas'!Q19/100)-('Paėmimas'!P19/100))*1.251)</f>
        <v/>
      </c>
      <c r="H19" s="62">
        <f>'H2O'!K7</f>
        <v/>
      </c>
      <c r="I19" s="116">
        <f>(E19/(1-(H19/1000))*((273+'Paėmimas'!F19)/273)*(1013/('Paėmimas'!H19+'Paėmimas'!I19)))</f>
        <v/>
      </c>
      <c r="J19" s="116">
        <f>(I19/('Paėmimas'!M19*60)/((3.142*(('Paėmimas'!K19/1000)*('Paėmimas'!K19/1000))/4)))</f>
        <v/>
      </c>
      <c r="K19" s="90">
        <f>J19/Paėmimas!G19</f>
        <v/>
      </c>
      <c r="L19" s="100" t="n"/>
      <c r="M19" s="100" t="n"/>
      <c r="N19" s="100" t="n"/>
    </row>
    <row r="20">
      <c r="A20" s="11" t="n"/>
      <c r="B20" s="11" t="n"/>
      <c r="C20" s="11" t="n"/>
      <c r="D20" s="113">
        <f>'Paėmimas'!L20</f>
        <v/>
      </c>
      <c r="E20" s="114">
        <f>D20*(273/(273+'Paėmimas'!O20)*('Paėmimas'!H20-'Paėmimas'!J20)/1013)</f>
        <v/>
      </c>
      <c r="F20" s="100" t="n"/>
      <c r="G20" s="58">
        <f>(('Paėmimas'!Q20/100)*1.965)+(('Paėmimas'!P20/100)*1.429)+((1-('Paėmimas'!Q20/100)-('Paėmimas'!P20/100))*1.251)</f>
        <v/>
      </c>
      <c r="H20" s="62">
        <f>'H2O'!K7</f>
        <v/>
      </c>
      <c r="I20" s="116">
        <f>(E20/(1-(H20/1000))*((273+'Paėmimas'!F20)/273)*(1013/('Paėmimas'!H20+'Paėmimas'!I20)))</f>
        <v/>
      </c>
      <c r="J20" s="116">
        <f>(I20/('Paėmimas'!M20*60)/((3.142*(('Paėmimas'!K20/1000)*('Paėmimas'!K20/1000))/4)))</f>
        <v/>
      </c>
      <c r="K20" s="90">
        <f>J20/Paėmimas!G20</f>
        <v/>
      </c>
      <c r="L20" s="100" t="n"/>
      <c r="M20" s="100" t="n"/>
      <c r="N20" s="100" t="n"/>
    </row>
    <row r="21">
      <c r="A21" s="11" t="n"/>
      <c r="B21" s="11" t="n"/>
      <c r="C21" s="11" t="n"/>
      <c r="D21" s="113">
        <f>'Paėmimas'!L21</f>
        <v/>
      </c>
      <c r="E21" s="114">
        <f>D21*(273/(273+'Paėmimas'!O21)*('Paėmimas'!H21-'Paėmimas'!J21)/1013)</f>
        <v/>
      </c>
      <c r="F21" s="100" t="n"/>
      <c r="G21" s="58">
        <f>(('Paėmimas'!Q21/100)*1.965)+(('Paėmimas'!P21/100)*1.429)+((1-('Paėmimas'!Q21/100)-('Paėmimas'!P21/100))*1.251)</f>
        <v/>
      </c>
      <c r="H21" s="62">
        <f>'H2O'!K7</f>
        <v/>
      </c>
      <c r="I21" s="116">
        <f>(E21/(1-(H21/1000))*((273+'Paėmimas'!F21)/273)*(1013/('Paėmimas'!H21+'Paėmimas'!I21)))</f>
        <v/>
      </c>
      <c r="J21" s="116">
        <f>(I21/('Paėmimas'!M21*60)/((3.142*(('Paėmimas'!K21/1000)*('Paėmimas'!K21/1000))/4)))</f>
        <v/>
      </c>
      <c r="K21" s="90">
        <f>J21/Paėmimas!G21</f>
        <v/>
      </c>
      <c r="L21" s="100" t="n"/>
      <c r="M21" s="100" t="n"/>
      <c r="N21" s="100" t="n"/>
    </row>
    <row r="22">
      <c r="A22" s="11" t="n"/>
      <c r="B22" s="11" t="n"/>
      <c r="C22" s="11" t="n"/>
      <c r="D22" s="113">
        <f>'Paėmimas'!L22</f>
        <v/>
      </c>
      <c r="E22" s="114">
        <f>D22*(273/(273+'Paėmimas'!O22)*('Paėmimas'!H22-'Paėmimas'!J22)/1013)</f>
        <v/>
      </c>
      <c r="F22" s="100" t="n"/>
      <c r="G22" s="58">
        <f>(('Paėmimas'!Q22/100)*1.965)+(('Paėmimas'!P22/100)*1.429)+((1-('Paėmimas'!Q22/100)-('Paėmimas'!P22/100))*1.251)</f>
        <v/>
      </c>
      <c r="H22" s="62">
        <f>'H2O'!K7</f>
        <v/>
      </c>
      <c r="I22" s="116">
        <f>(E22/(1-(H22/1000))*((273+'Paėmimas'!F22)/273)*(1013/('Paėmimas'!H22+'Paėmimas'!I22)))</f>
        <v/>
      </c>
      <c r="J22" s="116">
        <f>(I22/('Paėmimas'!M22*60)/((3.142*(('Paėmimas'!K22/1000)*('Paėmimas'!K22/1000))/4)))</f>
        <v/>
      </c>
      <c r="K22" s="90">
        <f>J22/Paėmimas!G22</f>
        <v/>
      </c>
      <c r="L22" s="100" t="n"/>
      <c r="M22" s="100" t="n"/>
      <c r="N22" s="100" t="n"/>
    </row>
    <row r="23">
      <c r="A23" s="12" t="n"/>
      <c r="B23" s="12" t="n"/>
      <c r="C23" s="12" t="n"/>
      <c r="D23" s="113">
        <f>'Paėmimas'!L23</f>
        <v/>
      </c>
      <c r="E23" s="114">
        <f>D23*(273/(273+'Paėmimas'!O23)*('Paėmimas'!H23-'Paėmimas'!J23)/1013)</f>
        <v/>
      </c>
      <c r="F23" s="107" t="n"/>
      <c r="G23" s="58">
        <f>(('Paėmimas'!Q23/100)*1.965)+(('Paėmimas'!P23/100)*1.429)+((1-('Paėmimas'!Q23/100)-('Paėmimas'!P23/100))*1.251)</f>
        <v/>
      </c>
      <c r="H23" s="62">
        <f>'H2O'!K7</f>
        <v/>
      </c>
      <c r="I23" s="116">
        <f>(E23/(1-(H23/1000))*((273+'Paėmimas'!F23)/273)*(1013/('Paėmimas'!H23+'Paėmimas'!I23)))</f>
        <v/>
      </c>
      <c r="J23" s="116">
        <f>(I23/('Paėmimas'!M23*60)/((3.142*(('Paėmimas'!K23/1000)*('Paėmimas'!K23/1000))/4)))</f>
        <v/>
      </c>
      <c r="K23" s="90">
        <f>J23/Paėmimas!G23</f>
        <v/>
      </c>
      <c r="L23" s="107" t="n"/>
      <c r="M23" s="107" t="n"/>
      <c r="N23" s="107" t="n"/>
    </row>
    <row r="24">
      <c r="F24" s="121">
        <f>SUM(F6,F17)</f>
        <v/>
      </c>
      <c r="G24" s="119">
        <f>AVERAGE(G17:G23)</f>
        <v/>
      </c>
      <c r="I24" s="120">
        <f>SUM(I17:I23)</f>
        <v/>
      </c>
      <c r="L24" s="119">
        <f>AVERAGE(L6,L17)</f>
        <v/>
      </c>
    </row>
    <row r="25">
      <c r="F25" s="105" t="inlineStr">
        <is>
          <t>Viso suma Vmn(sum), Nm3.</t>
        </is>
      </c>
      <c r="G25" s="105" t="inlineStr">
        <is>
          <t>Vidurkis qn, (kg/m3)</t>
        </is>
      </c>
      <c r="I25" s="105" t="inlineStr">
        <is>
          <t>Suma Vmk (m3)</t>
        </is>
      </c>
      <c r="L25" s="105" t="inlineStr">
        <is>
          <t>Izokinetiškumo vidurkių vidurkis</t>
        </is>
      </c>
    </row>
    <row r="27">
      <c r="G27" s="119">
        <f>AVERAGE(G13,G24)</f>
        <v/>
      </c>
      <c r="I27" s="120">
        <f>I13+I24</f>
        <v/>
      </c>
    </row>
    <row r="28">
      <c r="G28" s="105" t="inlineStr">
        <is>
          <t>Vidurkių vidurkis qn, (kg/m3)</t>
        </is>
      </c>
      <c r="I28" s="105" t="inlineStr">
        <is>
          <t>Viso suma Vmk(sum), m3.</t>
        </is>
      </c>
    </row>
  </sheetData>
  <mergeCells count="3">
    <mergeCell ref="C17:C23"/>
    <mergeCell ref="C6:C12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8"/>
  <sheetViews>
    <sheetView workbookViewId="0">
      <selection activeCell="A1" sqref="A1"/>
    </sheetView>
  </sheetViews>
  <sheetFormatPr baseColWidth="8" defaultRowHeight="14.5"/>
  <cols>
    <col width="14" customWidth="1" style="36" min="1" max="16"/>
    <col width="17" customWidth="1" style="36" min="16" max="16"/>
  </cols>
  <sheetData>
    <row r="2">
      <c r="A2" s="47" t="inlineStr">
        <is>
          <t>Skaičiuoklė kietųjų dalelių koncentracijai nustatyti. Kietųjų dalelių koncentracijos nustatymas</t>
        </is>
      </c>
    </row>
    <row r="5" ht="58" customHeight="1" s="36">
      <c r="A5" s="2" t="inlineStr">
        <is>
          <t>Matavimo data</t>
        </is>
      </c>
      <c r="B5" s="2" t="inlineStr">
        <is>
          <t>Ėminių registracijos Nr. T-107-2026-E-</t>
        </is>
      </c>
      <c r="C5" s="2" t="inlineStr">
        <is>
          <t>Objekto pavadinimas, adresas, taršos šaltinio Nr.</t>
        </is>
      </c>
      <c r="D5" s="2" t="inlineStr">
        <is>
          <t>Filtro Nr.</t>
        </is>
      </c>
      <c r="E5" s="2" t="inlineStr">
        <is>
          <t>Filtro svoris prieš KD ėmimą mpr (g)</t>
        </is>
      </c>
      <c r="F5" s="2" t="inlineStr">
        <is>
          <t>Filtro svoris po KD ėmimo mpo (g)</t>
        </is>
      </c>
      <c r="G5" s="2" t="inlineStr">
        <is>
          <t>Tuščiojo ėminio KD svoris mt (g)</t>
        </is>
      </c>
      <c r="H5" s="2" t="inlineStr">
        <is>
          <t>Nuosėdų kiekis mn (g)</t>
        </is>
      </c>
      <c r="I5" s="2" t="inlineStr">
        <is>
          <t>Indų svorių pokytis mIt (g)</t>
        </is>
      </c>
      <c r="J5" s="2" t="inlineStr">
        <is>
          <t>Sausų dujų tūris n.s. Vmn (Nm3)</t>
        </is>
      </c>
      <c r="K5" s="2" t="inlineStr">
        <is>
          <t>Kietų dalelių koncentracija c1 (neįvert. O2) (mg/Nm3)</t>
        </is>
      </c>
      <c r="L5" s="2" t="inlineStr">
        <is>
          <t>Tuščiojo filtro vertė mft (mg/m3) (&lt; 2 mg/m3)</t>
        </is>
      </c>
      <c r="M5" s="2" t="inlineStr">
        <is>
          <t>Surinktų dulkių ir tuščiojo ėminio santykis mFtk (&gt;5)</t>
        </is>
      </c>
      <c r="N5" s="2" t="inlineStr">
        <is>
          <t>Skaičiavimus atlikusio asmens inicialai, data</t>
        </is>
      </c>
      <c r="O5" s="2" t="inlineStr">
        <is>
          <t>Filtrų skaičius Fsk (vnt.)</t>
        </is>
      </c>
      <c r="P5" s="2" t="inlineStr">
        <is>
          <t>Pastabos</t>
        </is>
      </c>
    </row>
    <row r="6" ht="25" customHeight="1" s="36">
      <c r="A6" s="122" t="inlineStr">
        <is>
          <t>2026-02-10</t>
        </is>
      </c>
      <c r="B6" s="122" t="n">
        <v>5</v>
      </c>
      <c r="C6" s="87" t="inlineStr">
        <is>
          <t>UAB "Ekopartneris", L. Ivinskio  g. 65, Kaunas. Katilinė. Taršos šaltinis Nr. 001</t>
        </is>
      </c>
      <c r="D6" s="123" t="n"/>
      <c r="E6" s="123" t="n"/>
      <c r="F6" s="123" t="n"/>
      <c r="G6" s="123" t="n"/>
      <c r="H6" s="124" t="n"/>
      <c r="I6" s="123" t="n"/>
      <c r="J6" s="123" t="n"/>
      <c r="K6" s="124" t="n"/>
      <c r="L6" s="124" t="n"/>
      <c r="M6" s="125" t="n"/>
      <c r="N6" s="126" t="inlineStr">
        <is>
          <t>S. Č., 2026-02-10</t>
        </is>
      </c>
      <c r="O6" s="127" t="n">
        <v>1</v>
      </c>
      <c r="P6" s="128" t="inlineStr">
        <is>
          <t>2 linijos, 1 filtras</t>
        </is>
      </c>
    </row>
    <row r="7" ht="25" customHeight="1" s="36">
      <c r="A7" s="13" t="n"/>
      <c r="B7" s="13" t="n"/>
      <c r="C7" s="11" t="n"/>
      <c r="M7" s="131" t="n"/>
      <c r="N7" s="129" t="n"/>
    </row>
    <row r="8" ht="25" customHeight="1" s="36">
      <c r="A8" s="14" t="n"/>
      <c r="B8" s="14" t="n"/>
      <c r="C8" s="12" t="n"/>
      <c r="M8" s="132" t="n"/>
      <c r="N8" s="130" t="n"/>
    </row>
  </sheetData>
  <mergeCells count="3">
    <mergeCell ref="C6:C8"/>
    <mergeCell ref="M6:M8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16"/>
  <sheetViews>
    <sheetView workbookViewId="0">
      <selection activeCell="A1" sqref="A1"/>
    </sheetView>
  </sheetViews>
  <sheetFormatPr baseColWidth="8" defaultRowHeight="14.5"/>
  <cols>
    <col width="16" customWidth="1" style="36" min="1" max="15"/>
    <col width="38" customWidth="1" style="36" min="15" max="15"/>
  </cols>
  <sheetData>
    <row r="2">
      <c r="A2" s="47" t="inlineStr">
        <is>
          <t>Skaičiuoklė kietųjų dalelių koncentracijai nustatyti. Svėrimas</t>
        </is>
      </c>
    </row>
    <row r="4" ht="60" customHeight="1" s="36">
      <c r="A4" s="42" t="inlineStr">
        <is>
          <t>Ėminių registracijos Nr. T-107-2026-E-</t>
        </is>
      </c>
      <c r="B4" s="42" t="inlineStr">
        <is>
          <t>Objekto pavadinimas, adresas, taršos šaltinio Nr.</t>
        </is>
      </c>
      <c r="C4" s="42" t="inlineStr">
        <is>
          <t>Filtro/ indo Nr.</t>
        </is>
      </c>
      <c r="D4" s="42" t="inlineStr">
        <is>
          <t>Tuščio filtro/indo svėrimo data</t>
        </is>
      </c>
      <c r="E4" s="42" t="inlineStr">
        <is>
          <t>Filtro/indo svoris prieš KD ėmimą mpr (g)</t>
        </is>
      </c>
      <c r="F4" s="43" t="n"/>
      <c r="G4" s="44" t="n"/>
      <c r="H4" s="42" t="inlineStr">
        <is>
          <t>Atsakingo asmens inicialai, data</t>
        </is>
      </c>
      <c r="I4" s="42" t="inlineStr">
        <is>
          <t>Filtro/indo su ėminiu svėrimo data</t>
        </is>
      </c>
      <c r="J4" s="42" t="inlineStr">
        <is>
          <t>Filtro/indo svoris po KD ėmimo mpo (g)</t>
        </is>
      </c>
      <c r="K4" s="43" t="n"/>
      <c r="L4" s="44" t="n"/>
      <c r="M4" s="42" t="inlineStr">
        <is>
          <t>Kietųjų dalelių svoris mf/Svorių pokytis (g) (&lt;2,00 g filtro talpumas)</t>
        </is>
      </c>
      <c r="N4" s="42" t="inlineStr">
        <is>
          <t>Atsakingo asmens inicialai, data</t>
        </is>
      </c>
      <c r="O4" s="42" t="inlineStr">
        <is>
          <t>Pastabos</t>
        </is>
      </c>
    </row>
    <row r="5">
      <c r="A5" s="12" t="n"/>
      <c r="B5" s="12" t="n"/>
      <c r="C5" s="12" t="n"/>
      <c r="D5" s="12" t="n"/>
      <c r="E5" s="42" t="inlineStr">
        <is>
          <t>1</t>
        </is>
      </c>
      <c r="F5" s="42" t="inlineStr">
        <is>
          <t>2</t>
        </is>
      </c>
      <c r="G5" s="42" t="inlineStr">
        <is>
          <t>3</t>
        </is>
      </c>
      <c r="H5" s="12" t="n"/>
      <c r="I5" s="12" t="n"/>
      <c r="J5" s="42" t="inlineStr">
        <is>
          <t>1</t>
        </is>
      </c>
      <c r="K5" s="42" t="inlineStr">
        <is>
          <t>2</t>
        </is>
      </c>
      <c r="L5" s="42" t="inlineStr">
        <is>
          <t>3</t>
        </is>
      </c>
      <c r="M5" s="12" t="n"/>
      <c r="N5" s="12" t="n"/>
      <c r="O5" s="12" t="n"/>
    </row>
    <row r="6">
      <c r="A6" s="133" t="n">
        <v>5</v>
      </c>
      <c r="B6" s="133" t="inlineStr">
        <is>
          <t>UAB "Ekopartneris", L. Ivinskio  g. 65, Kaunas. Katilinė. Taršos šaltinis Nr. 001</t>
        </is>
      </c>
      <c r="C6" s="65" t="n">
        <v>1</v>
      </c>
      <c r="D6" s="134" t="n"/>
      <c r="E6" s="68" t="n"/>
      <c r="F6" s="68" t="n"/>
      <c r="G6" s="68" t="n"/>
      <c r="H6" s="111" t="inlineStr">
        <is>
          <t>S. Č., 2026-02-10</t>
        </is>
      </c>
      <c r="I6" s="95" t="n"/>
      <c r="J6" s="68" t="n"/>
      <c r="K6" s="68" t="n"/>
      <c r="L6" s="68" t="n"/>
      <c r="M6" s="69" t="n"/>
      <c r="N6" s="95" t="n"/>
      <c r="O6" s="135" t="inlineStr">
        <is>
          <t>2 linijos, 1 filtras</t>
        </is>
      </c>
    </row>
    <row r="7">
      <c r="A7" s="136" t="n"/>
      <c r="B7" s="100" t="n"/>
      <c r="C7" s="67" t="n"/>
      <c r="D7" s="100" t="n"/>
      <c r="E7" s="67" t="n"/>
      <c r="F7" s="67" t="n"/>
      <c r="G7" s="67" t="n"/>
      <c r="H7" s="100" t="n"/>
      <c r="I7" s="100" t="n"/>
      <c r="J7" s="67" t="n"/>
      <c r="K7" s="67" t="n"/>
      <c r="L7" s="67" t="n"/>
      <c r="M7" s="69" t="n"/>
      <c r="N7" s="100" t="n"/>
      <c r="O7" s="67" t="n"/>
    </row>
    <row r="8">
      <c r="A8" s="136" t="n"/>
      <c r="B8" s="100" t="n"/>
      <c r="C8" s="67" t="n"/>
      <c r="D8" s="100" t="n"/>
      <c r="E8" s="67" t="n"/>
      <c r="F8" s="67" t="n"/>
      <c r="G8" s="67" t="n"/>
      <c r="H8" s="100" t="n"/>
      <c r="I8" s="100" t="n"/>
      <c r="J8" s="67" t="n"/>
      <c r="K8" s="67" t="n"/>
      <c r="L8" s="67" t="n"/>
      <c r="M8" s="69" t="n"/>
      <c r="N8" s="100" t="n"/>
      <c r="O8" s="67" t="n"/>
    </row>
    <row r="9">
      <c r="A9" s="136" t="n"/>
      <c r="B9" s="100" t="n"/>
      <c r="C9" s="65" t="inlineStr">
        <is>
          <t>2</t>
        </is>
      </c>
      <c r="D9" s="100" t="n"/>
      <c r="E9" s="68" t="n"/>
      <c r="F9" s="68" t="n"/>
      <c r="G9" s="68" t="n"/>
      <c r="H9" s="100" t="n"/>
      <c r="I9" s="100" t="n"/>
      <c r="J9" s="68" t="n"/>
      <c r="K9" s="68" t="n"/>
      <c r="L9" s="68" t="n"/>
      <c r="M9" s="69" t="n"/>
      <c r="N9" s="100" t="n"/>
      <c r="O9" s="137" t="inlineStr">
        <is>
          <t>Tuščiasis ėminys (mt)</t>
        </is>
      </c>
    </row>
    <row r="10">
      <c r="A10" s="136" t="n"/>
      <c r="B10" s="100" t="n"/>
      <c r="C10" s="67" t="n"/>
      <c r="D10" s="100" t="n"/>
      <c r="E10" s="67" t="n"/>
      <c r="F10" s="67" t="n"/>
      <c r="G10" s="67" t="n"/>
      <c r="H10" s="100" t="n"/>
      <c r="I10" s="100" t="n"/>
      <c r="J10" s="67" t="n"/>
      <c r="K10" s="67" t="n"/>
      <c r="L10" s="67" t="n"/>
      <c r="M10" s="67" t="n"/>
      <c r="N10" s="100" t="n"/>
      <c r="O10" s="67" t="n"/>
    </row>
    <row r="11">
      <c r="A11" s="136" t="n"/>
      <c r="B11" s="100" t="n"/>
      <c r="C11" s="65" t="inlineStr">
        <is>
          <t>41</t>
        </is>
      </c>
      <c r="D11" s="100" t="n"/>
      <c r="E11" s="68" t="n"/>
      <c r="F11" s="68" t="n"/>
      <c r="G11" s="68" t="n"/>
      <c r="H11" s="100" t="n"/>
      <c r="I11" s="100" t="n"/>
      <c r="J11" s="68" t="n"/>
      <c r="K11" s="68" t="n"/>
      <c r="L11" s="68" t="n"/>
      <c r="M11" s="69" t="n"/>
      <c r="N11" s="100" t="n"/>
      <c r="O11" s="137" t="inlineStr">
        <is>
          <t>Išplautos nuosėdos (mn)</t>
        </is>
      </c>
    </row>
    <row r="12">
      <c r="A12" s="136" t="n"/>
      <c r="B12" s="100" t="n"/>
      <c r="C12" s="65" t="inlineStr">
        <is>
          <t>00</t>
        </is>
      </c>
      <c r="D12" s="100" t="n"/>
      <c r="E12" s="68" t="n"/>
      <c r="F12" s="68" t="n"/>
      <c r="G12" s="68" t="n"/>
      <c r="H12" s="100" t="n"/>
      <c r="I12" s="100" t="n"/>
      <c r="J12" s="68" t="n"/>
      <c r="K12" s="68" t="n"/>
      <c r="L12" s="68" t="n"/>
      <c r="M12" s="69" t="n"/>
      <c r="N12" s="100" t="n"/>
      <c r="O12" s="137" t="inlineStr">
        <is>
          <t>Išvalytos ėminių sistemos tuščiasis ėminys (mIt)</t>
        </is>
      </c>
    </row>
    <row r="13">
      <c r="A13" s="136" t="n"/>
      <c r="B13" s="100" t="n"/>
      <c r="C13" s="65" t="inlineStr">
        <is>
          <t>01</t>
        </is>
      </c>
      <c r="D13" s="100" t="n"/>
      <c r="E13" s="68" t="n"/>
      <c r="F13" s="68" t="n"/>
      <c r="G13" s="68" t="n"/>
      <c r="H13" s="100" t="n"/>
      <c r="I13" s="100" t="n"/>
      <c r="J13" s="68" t="n"/>
      <c r="K13" s="68" t="n"/>
      <c r="L13" s="68" t="n"/>
      <c r="M13" s="69" t="n"/>
      <c r="N13" s="100" t="n"/>
      <c r="O13" s="137" t="inlineStr">
        <is>
          <t>Tušti indai svorio kontrolei (mIt1)</t>
        </is>
      </c>
    </row>
    <row r="14">
      <c r="A14" s="136" t="n"/>
      <c r="B14" s="100" t="n"/>
      <c r="C14" s="65" t="inlineStr">
        <is>
          <t>02</t>
        </is>
      </c>
      <c r="D14" s="100" t="n"/>
      <c r="E14" s="68" t="n"/>
      <c r="F14" s="68" t="n"/>
      <c r="G14" s="68" t="n"/>
      <c r="H14" s="100" t="n"/>
      <c r="I14" s="100" t="n"/>
      <c r="J14" s="68" t="n"/>
      <c r="K14" s="68" t="n"/>
      <c r="L14" s="68" t="n"/>
      <c r="M14" s="69" t="n"/>
      <c r="N14" s="100" t="n"/>
      <c r="O14" s="137" t="inlineStr">
        <is>
          <t>Tušti indai svorio kontrolei (mIt2)</t>
        </is>
      </c>
    </row>
    <row r="15">
      <c r="A15" s="136" t="n"/>
      <c r="B15" s="100" t="n"/>
      <c r="C15" s="65" t="inlineStr">
        <is>
          <t>03</t>
        </is>
      </c>
      <c r="D15" s="100" t="n"/>
      <c r="E15" s="68" t="n"/>
      <c r="F15" s="68" t="n"/>
      <c r="G15" s="68" t="n"/>
      <c r="H15" s="100" t="n"/>
      <c r="I15" s="100" t="n"/>
      <c r="J15" s="68" t="n"/>
      <c r="K15" s="68" t="n"/>
      <c r="L15" s="68" t="n"/>
      <c r="M15" s="69" t="n"/>
      <c r="N15" s="100" t="n"/>
      <c r="O15" s="137" t="inlineStr">
        <is>
          <t>Tušti indai svorio kontrolei (mIt3)</t>
        </is>
      </c>
    </row>
    <row r="16">
      <c r="A16" s="138" t="n"/>
      <c r="B16" s="107" t="n"/>
      <c r="C16" s="67" t="n"/>
      <c r="D16" s="107" t="n"/>
      <c r="E16" s="67" t="n"/>
      <c r="F16" s="67" t="n"/>
      <c r="G16" s="67" t="n"/>
      <c r="H16" s="107" t="n"/>
      <c r="I16" s="107" t="n"/>
      <c r="J16" s="67" t="n"/>
      <c r="K16" s="67" t="n"/>
      <c r="L16" s="67" t="n"/>
      <c r="M16" s="69" t="n"/>
      <c r="N16" s="107" t="n"/>
      <c r="O16" s="137" t="inlineStr">
        <is>
          <t>Tuščių indų ir išvalytos ėminių sistemos tuščiojo ėminio svorio pokytis (mItp)</t>
        </is>
      </c>
    </row>
  </sheetData>
  <mergeCells count="13">
    <mergeCell ref="M4:M5"/>
    <mergeCell ref="B4:B5"/>
    <mergeCell ref="A2:O2"/>
    <mergeCell ref="C4:C5"/>
    <mergeCell ref="A4:A5"/>
    <mergeCell ref="D4:D5"/>
    <mergeCell ref="H4:H5"/>
    <mergeCell ref="I4:I5"/>
    <mergeCell ref="N4:N5"/>
    <mergeCell ref="O4:O5"/>
    <mergeCell ref="E4:G4"/>
    <mergeCell ref="B6:B16"/>
    <mergeCell ref="J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D5"/>
  <sheetViews>
    <sheetView workbookViewId="0">
      <selection activeCell="A1" sqref="A1"/>
    </sheetView>
  </sheetViews>
  <sheetFormatPr baseColWidth="8" defaultRowHeight="14.5"/>
  <cols>
    <col width="18" customWidth="1" style="36" min="1" max="4"/>
  </cols>
  <sheetData>
    <row r="3" ht="45" customHeight="1" s="36">
      <c r="A3" s="47" t="inlineStr">
        <is>
          <t>Patikrinimas, ar planuojamas surinkti dulkių kiekis suderinamas su tuščiojo ėminio verte ir ar filtras nebus per daug apkrautas</t>
        </is>
      </c>
    </row>
    <row r="5" ht="72.5" customHeight="1" s="36">
      <c r="A5" s="2" t="inlineStr">
        <is>
          <t>Planuojama surinkti dulkių masė m, g (&lt;2,20 g)</t>
        </is>
      </c>
      <c r="B5" s="2" t="inlineStr">
        <is>
          <t>Mažiausia ėminio ėmimo trukmė t, 30 min</t>
        </is>
      </c>
      <c r="C5" s="2" t="inlineStr">
        <is>
          <t>Tikėtina dulkių koncentracija cexs, mg/Nm3;</t>
        </is>
      </c>
      <c r="D5" s="2" t="inlineStr">
        <is>
          <t>Planuojamas dujų tūrio siurbimo greitis matavimo metu ortakio sąlygomis Vo, l/min.</t>
        </is>
      </c>
    </row>
  </sheetData>
  <mergeCells count="1"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2026-03-31T10:53:29Z</dcterms:created>
  <dcterms:modified xsi:type="dcterms:W3CDTF">2026-03-31T10:53:53Z</dcterms:modified>
  <cp:lastModifiedBy>Tomas Vilkickas</cp:lastModifiedBy>
</cp:coreProperties>
</file>