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4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F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Pito vamzdelio koeficientas, K</t>
        </is>
      </c>
      <c r="J5" s="3" t="inlineStr">
        <is>
          <t>Temperatūra ortakyje t, oC</t>
        </is>
      </c>
      <c r="K5" s="3" t="inlineStr">
        <is>
          <t>Atmosferinis slėgis P, hPa</t>
        </is>
      </c>
      <c r="L5" s="3" t="inlineStr">
        <is>
          <t>Statinis slėgis ortakyje ± ΔP, hPa</t>
        </is>
      </c>
      <c r="M5" s="3" t="inlineStr">
        <is>
          <t>Dujų slėgis kamine Pk= P+ ΔP, hPa</t>
        </is>
      </c>
      <c r="N5" s="3" t="inlineStr">
        <is>
          <t>Dujų mol. masė Ms= qn *22.4, kg/</t>
        </is>
      </c>
      <c r="O5" s="3" t="inlineStr">
        <is>
          <t>Dujų srauto greitis matavimo taškuose, 1 linija, wi = K*129 *√t *√Pdi/ √Pk/√Ms, m/s</t>
        </is>
      </c>
      <c r="P5" s="3" t="inlineStr">
        <is>
          <t>Dujų srauto greitis matavimo taškuose, 2 linija, wi = K*129 *√t *√Pdi/ √Pk/√Ms, m/s</t>
        </is>
      </c>
      <c r="Q5" s="3" t="inlineStr">
        <is>
          <t>Dujų srauto greitis matavimo taškuose, 3 linija, wi = K*129 *√t *√Pdi/ √Pk/√Ms, m/s</t>
        </is>
      </c>
      <c r="R5" s="3" t="inlineStr">
        <is>
          <t>Dujų srauto greitis matavimo taškuose, 4 linija, wi = K*129 *√t *√Pdi/ √Pk/√Ms, m/s</t>
        </is>
      </c>
      <c r="S5" s="3" t="inlineStr">
        <is>
          <t>Vidutinis dujų srauto greitis ortakyje w, m/s</t>
        </is>
      </c>
      <c r="T5" s="3" t="inlineStr">
        <is>
          <t>Ortakio diametras, matmenys, m</t>
        </is>
      </c>
      <c r="U5" s="3" t="inlineStr">
        <is>
          <t>Ortakio skerspjūvio plotas F, m2</t>
        </is>
      </c>
      <c r="V5" s="3" t="inlineStr">
        <is>
          <t>Dujų tūrio debitas realiomis sąlygomis Vk = wvid × F, m3/s</t>
        </is>
      </c>
      <c r="W5" s="3" t="inlineStr">
        <is>
          <t>Dujų tūrio debitas normaliosiomis sąlygomis Vdr n.s =Vk *0,269*(P±ΔP)/(273+t), m3/s</t>
        </is>
      </c>
      <c r="X5" s="3" t="inlineStr">
        <is>
          <t>Vandens kondensato masė m H2O, kg</t>
        </is>
      </c>
      <c r="Y5" s="3" t="inlineStr">
        <is>
          <t>Vandens garų konc. dujose x=mH2O/Vmn*qn, kg/kg</t>
        </is>
      </c>
      <c r="Z5" s="3" t="inlineStr">
        <is>
          <t>Sausų dujų tūrio debitas normaliosiomis sąlygomis Vn= Vdr n.s *((1/(1+(x*qn/0.8038)))</t>
        </is>
      </c>
      <c r="AA5" s="3" t="inlineStr">
        <is>
          <t>Prasiurbtas dujų tūris normaliosiomis sąlygomis Vmn, Nm3</t>
        </is>
      </c>
      <c r="AB5" s="3" t="inlineStr">
        <is>
          <t>Išplėstinės neapibrėžties koef. A</t>
        </is>
      </c>
      <c r="AC5" s="3" t="inlineStr">
        <is>
          <t>Išplėstinė neapibrėžtis (dujų tūrio debitas) Uv</t>
        </is>
      </c>
      <c r="AD5" s="3" t="inlineStr">
        <is>
          <t>Išplėstinė neapibrėžtis (dujų srauto greitis) Uw</t>
        </is>
      </c>
      <c r="AE5" s="3" t="inlineStr">
        <is>
          <t>Sausų dujų tankis normaliosioms sąlygomis qn, (kg/m3)</t>
        </is>
      </c>
      <c r="AF5" s="3" t="inlineStr">
        <is>
          <t>Skaičiavimus atliko (inicialai, data)</t>
        </is>
      </c>
    </row>
    <row r="6">
      <c r="A6" s="1" t="n"/>
      <c r="B6" s="1" t="n"/>
      <c r="C6" s="1" t="n"/>
      <c r="D6" s="1" t="n">
        <v>19</v>
      </c>
      <c r="I6" s="6" t="n">
        <v>0.827</v>
      </c>
      <c r="AB6" s="6" t="n">
        <v>0.079</v>
      </c>
    </row>
    <row r="7">
      <c r="D7" s="1" t="n">
        <v>56</v>
      </c>
      <c r="I7" s="6" t="n">
        <v>0.827</v>
      </c>
      <c r="T7" s="1" t="inlineStr">
        <is>
          <t>1,50</t>
        </is>
      </c>
      <c r="U7" s="7">
        <f>T7*T8</f>
        <v/>
      </c>
      <c r="AB7" s="6" t="n">
        <v>0.079</v>
      </c>
    </row>
    <row r="8">
      <c r="D8" s="1" t="n">
        <v>94</v>
      </c>
      <c r="I8" s="6" t="n">
        <v>0.827</v>
      </c>
      <c r="T8" s="1" t="inlineStr">
        <is>
          <t>1,50</t>
        </is>
      </c>
    </row>
    <row r="9">
      <c r="D9" s="1" t="n">
        <v>131</v>
      </c>
      <c r="I9" s="6" t="n">
        <v>0.827</v>
      </c>
    </row>
  </sheetData>
  <mergeCells count="4">
    <mergeCell ref="B6:B9"/>
    <mergeCell ref="C6:C9"/>
    <mergeCell ref="A3:AF3"/>
    <mergeCell ref="A6:A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D6" s="10" t="inlineStr">
        <is>
          <t>1,50 x 1,50</t>
        </is>
      </c>
      <c r="E6" s="11">
        <f>'Greitis'!U7</f>
        <v/>
      </c>
    </row>
  </sheetData>
  <mergeCells count="1">
    <mergeCell ref="A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</sheetData>
  <mergeCells count="1"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4" t="n"/>
      <c r="G4" s="15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4" t="n"/>
      <c r="L4" s="15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6" t="n"/>
      <c r="B5" s="16" t="n"/>
      <c r="C5" s="16" t="n"/>
      <c r="D5" s="16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6" t="n"/>
      <c r="I5" s="16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6" t="n"/>
      <c r="N5" s="16" t="n"/>
      <c r="O5" s="16" t="n"/>
    </row>
    <row r="6">
      <c r="A6" s="17" t="n"/>
      <c r="B6" s="17" t="n"/>
      <c r="C6" s="18" t="n">
        <v>1</v>
      </c>
      <c r="D6" s="17" t="n"/>
      <c r="E6" s="19" t="n"/>
      <c r="F6" s="19" t="n"/>
      <c r="G6" s="19" t="n"/>
      <c r="H6" s="17" t="n"/>
      <c r="I6" s="17" t="n"/>
      <c r="J6" s="19" t="n"/>
      <c r="K6" s="19" t="n"/>
      <c r="L6" s="19" t="n"/>
      <c r="M6" s="20" t="n"/>
      <c r="N6" s="17" t="n"/>
      <c r="O6" s="21" t="inlineStr">
        <is>
          <t>4 linijos, 3 filtrai</t>
        </is>
      </c>
    </row>
    <row r="7">
      <c r="A7" s="22" t="n"/>
      <c r="B7" s="22" t="n"/>
      <c r="C7" s="18" t="n">
        <v>2</v>
      </c>
      <c r="D7" s="22" t="n"/>
      <c r="E7" s="19" t="n"/>
      <c r="F7" s="19" t="n"/>
      <c r="G7" s="19" t="n"/>
      <c r="H7" s="22" t="n"/>
      <c r="I7" s="22" t="n"/>
      <c r="J7" s="19" t="n"/>
      <c r="K7" s="19" t="n"/>
      <c r="L7" s="19" t="n"/>
      <c r="M7" s="20" t="n"/>
      <c r="N7" s="22" t="n"/>
      <c r="O7" s="13" t="n"/>
    </row>
    <row r="8">
      <c r="A8" s="22" t="n"/>
      <c r="B8" s="22" t="n"/>
      <c r="C8" s="18" t="n">
        <v>3</v>
      </c>
      <c r="D8" s="22" t="n"/>
      <c r="E8" s="19" t="n"/>
      <c r="F8" s="19" t="n"/>
      <c r="G8" s="19" t="n"/>
      <c r="H8" s="22" t="n"/>
      <c r="I8" s="22" t="n"/>
      <c r="J8" s="19" t="n"/>
      <c r="K8" s="19" t="n"/>
      <c r="L8" s="19" t="n"/>
      <c r="M8" s="20" t="n"/>
      <c r="N8" s="22" t="n"/>
      <c r="O8" s="13" t="n"/>
    </row>
    <row r="9">
      <c r="A9" s="22" t="n"/>
      <c r="B9" s="22" t="n"/>
      <c r="C9" s="18" t="inlineStr">
        <is>
          <t>2</t>
        </is>
      </c>
      <c r="D9" s="22" t="n"/>
      <c r="E9" s="19" t="n"/>
      <c r="F9" s="19" t="n"/>
      <c r="G9" s="19" t="n"/>
      <c r="H9" s="22" t="n"/>
      <c r="I9" s="22" t="n"/>
      <c r="J9" s="19" t="n"/>
      <c r="K9" s="19" t="n"/>
      <c r="L9" s="19" t="n"/>
      <c r="M9" s="20" t="n"/>
      <c r="N9" s="22" t="n"/>
      <c r="O9" s="23" t="inlineStr">
        <is>
          <t>Tuščiasis ėminys (mt)</t>
        </is>
      </c>
    </row>
    <row r="10">
      <c r="A10" s="22" t="n"/>
      <c r="B10" s="22" t="n"/>
      <c r="C10" s="13" t="n"/>
      <c r="D10" s="22" t="n"/>
      <c r="E10" s="13" t="n"/>
      <c r="F10" s="13" t="n"/>
      <c r="G10" s="13" t="n"/>
      <c r="H10" s="22" t="n"/>
      <c r="I10" s="22" t="n"/>
      <c r="J10" s="13" t="n"/>
      <c r="K10" s="13" t="n"/>
      <c r="L10" s="13" t="n"/>
      <c r="M10" s="13" t="n"/>
      <c r="N10" s="22" t="n"/>
      <c r="O10" s="13" t="n"/>
    </row>
    <row r="11">
      <c r="A11" s="22" t="n"/>
      <c r="B11" s="22" t="n"/>
      <c r="C11" s="18" t="inlineStr">
        <is>
          <t>41</t>
        </is>
      </c>
      <c r="D11" s="22" t="n"/>
      <c r="E11" s="19" t="n"/>
      <c r="F11" s="19" t="n"/>
      <c r="G11" s="19" t="n"/>
      <c r="H11" s="22" t="n"/>
      <c r="I11" s="22" t="n"/>
      <c r="J11" s="19" t="n"/>
      <c r="K11" s="19" t="n"/>
      <c r="L11" s="19" t="n"/>
      <c r="M11" s="20" t="n"/>
      <c r="N11" s="22" t="n"/>
      <c r="O11" s="23" t="inlineStr">
        <is>
          <t>Išplautos nuosėdos (mn)</t>
        </is>
      </c>
    </row>
    <row r="12">
      <c r="A12" s="22" t="n"/>
      <c r="B12" s="22" t="n"/>
      <c r="C12" s="18" t="inlineStr">
        <is>
          <t>00</t>
        </is>
      </c>
      <c r="D12" s="22" t="n"/>
      <c r="E12" s="19" t="n"/>
      <c r="F12" s="19" t="n"/>
      <c r="G12" s="19" t="n"/>
      <c r="H12" s="22" t="n"/>
      <c r="I12" s="22" t="n"/>
      <c r="J12" s="19" t="n"/>
      <c r="K12" s="19" t="n"/>
      <c r="L12" s="19" t="n"/>
      <c r="M12" s="20" t="n"/>
      <c r="N12" s="22" t="n"/>
      <c r="O12" s="23" t="inlineStr">
        <is>
          <t>Išvalytos ėminių sistemos tuščiasis ėminys (mIt)</t>
        </is>
      </c>
    </row>
    <row r="13">
      <c r="A13" s="22" t="n"/>
      <c r="B13" s="22" t="n"/>
      <c r="C13" s="18" t="inlineStr">
        <is>
          <t>01</t>
        </is>
      </c>
      <c r="D13" s="22" t="n"/>
      <c r="E13" s="19" t="n"/>
      <c r="F13" s="19" t="n"/>
      <c r="G13" s="19" t="n"/>
      <c r="H13" s="22" t="n"/>
      <c r="I13" s="22" t="n"/>
      <c r="J13" s="19" t="n"/>
      <c r="K13" s="19" t="n"/>
      <c r="L13" s="19" t="n"/>
      <c r="M13" s="20" t="n"/>
      <c r="N13" s="22" t="n"/>
      <c r="O13" s="23" t="inlineStr">
        <is>
          <t>Tušti indai svorio kontrolei (mIt1)</t>
        </is>
      </c>
    </row>
    <row r="14">
      <c r="A14" s="22" t="n"/>
      <c r="B14" s="22" t="n"/>
      <c r="C14" s="18" t="inlineStr">
        <is>
          <t>02</t>
        </is>
      </c>
      <c r="D14" s="22" t="n"/>
      <c r="E14" s="19" t="n"/>
      <c r="F14" s="19" t="n"/>
      <c r="G14" s="19" t="n"/>
      <c r="H14" s="22" t="n"/>
      <c r="I14" s="22" t="n"/>
      <c r="J14" s="19" t="n"/>
      <c r="K14" s="19" t="n"/>
      <c r="L14" s="19" t="n"/>
      <c r="M14" s="20" t="n"/>
      <c r="N14" s="22" t="n"/>
      <c r="O14" s="23" t="inlineStr">
        <is>
          <t>Tušti indai svorio kontrolei (mIt2)</t>
        </is>
      </c>
    </row>
    <row r="15">
      <c r="A15" s="22" t="n"/>
      <c r="B15" s="22" t="n"/>
      <c r="C15" s="18" t="inlineStr">
        <is>
          <t>03</t>
        </is>
      </c>
      <c r="D15" s="22" t="n"/>
      <c r="E15" s="19" t="n"/>
      <c r="F15" s="19" t="n"/>
      <c r="G15" s="19" t="n"/>
      <c r="H15" s="22" t="n"/>
      <c r="I15" s="22" t="n"/>
      <c r="J15" s="19" t="n"/>
      <c r="K15" s="19" t="n"/>
      <c r="L15" s="19" t="n"/>
      <c r="M15" s="20" t="n"/>
      <c r="N15" s="22" t="n"/>
      <c r="O15" s="23" t="inlineStr">
        <is>
          <t>Tušti indai svorio kontrolei (mIt3)</t>
        </is>
      </c>
    </row>
    <row r="16">
      <c r="A16" s="24" t="n"/>
      <c r="B16" s="24" t="n"/>
      <c r="C16" s="13" t="n"/>
      <c r="D16" s="24" t="n"/>
      <c r="E16" s="13" t="n"/>
      <c r="F16" s="13" t="n"/>
      <c r="G16" s="13" t="n"/>
      <c r="H16" s="24" t="n"/>
      <c r="I16" s="24" t="n"/>
      <c r="J16" s="13" t="n"/>
      <c r="K16" s="13" t="n"/>
      <c r="L16" s="13" t="n"/>
      <c r="M16" s="20" t="n"/>
      <c r="N16" s="24" t="n"/>
      <c r="O16" s="23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2026-03-12T09:45:41Z</dcterms:created>
  <dcterms:modified xsi:type="dcterms:W3CDTF">2026-03-12T09:45:51Z</dcterms:modified>
</cp:coreProperties>
</file>