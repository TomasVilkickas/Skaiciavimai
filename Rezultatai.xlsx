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"/>
    <numFmt numFmtId="166" formatCode="0.0"/>
    <numFmt numFmtId="167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0" fillId="0" borderId="1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5" pivotButton="0" quotePrefix="0" xfId="0"/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2" borderId="1" pivotButton="0" quotePrefix="0" xfId="0"/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3" fillId="0" borderId="13" applyAlignment="1" pivotButton="0" quotePrefix="0" xfId="0">
      <alignment horizontal="center" vertical="center"/>
    </xf>
    <xf numFmtId="1" fontId="3" fillId="2" borderId="13" applyAlignment="1" pivotButton="0" quotePrefix="0" xfId="0">
      <alignment horizontal="center" vertical="center"/>
    </xf>
    <xf numFmtId="1" fontId="3" fillId="3" borderId="13" applyAlignment="1" pivotButton="0" quotePrefix="0" xfId="0">
      <alignment horizontal="center" vertical="center"/>
    </xf>
    <xf numFmtId="166" fontId="3" fillId="2" borderId="13" applyAlignment="1" pivotButton="0" quotePrefix="0" xfId="0">
      <alignment horizontal="center" vertical="center"/>
    </xf>
    <xf numFmtId="2" fontId="3" fillId="4" borderId="13" applyAlignment="1" pivotButton="0" quotePrefix="0" xfId="0">
      <alignment horizontal="center" vertical="center"/>
    </xf>
    <xf numFmtId="167" fontId="3" fillId="4" borderId="13" applyAlignment="1" pivotButton="0" quotePrefix="0" xfId="0">
      <alignment horizontal="center" vertical="center"/>
    </xf>
    <xf numFmtId="164" fontId="3" fillId="2" borderId="13" applyAlignment="1" pivotButton="0" quotePrefix="0" xfId="0">
      <alignment horizontal="center" vertical="center"/>
    </xf>
    <xf numFmtId="2" fontId="3" fillId="3" borderId="13" applyAlignment="1" pivotButton="0" quotePrefix="0" xfId="0">
      <alignment horizontal="center" vertical="center"/>
    </xf>
    <xf numFmtId="164" fontId="3" fillId="4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3" pivotButton="0" quotePrefix="0" xfId="0"/>
    <xf numFmtId="0" fontId="0" fillId="4" borderId="13" pivotButton="0" quotePrefix="0" xfId="0"/>
    <xf numFmtId="0" fontId="0" fillId="4" borderId="13" applyAlignment="1" pivotButton="0" quotePrefix="0" xfId="0">
      <alignment horizontal="center" vertical="center"/>
    </xf>
    <xf numFmtId="0" fontId="0" fillId="3" borderId="14" pivotButton="0" quotePrefix="0" xfId="0"/>
    <xf numFmtId="0" fontId="0" fillId="0" borderId="13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3" borderId="10" applyAlignment="1" pivotButton="0" quotePrefix="0" xfId="0">
      <alignment horizontal="center" vertical="top" wrapText="1"/>
    </xf>
    <xf numFmtId="0" fontId="0" fillId="3" borderId="10" pivotButton="0" quotePrefix="0" xfId="0"/>
    <xf numFmtId="0" fontId="0" fillId="0" borderId="10" pivotButton="0" quotePrefix="0" xfId="0"/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/xl/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6" t="inlineStr">
        <is>
          <t>2026-02-10</t>
        </is>
      </c>
      <c r="B6" s="16" t="n">
        <v>5</v>
      </c>
      <c r="C6" s="16" t="inlineStr">
        <is>
          <t>Ekopartneris</t>
        </is>
      </c>
      <c r="D6" s="43" t="n">
        <v>19</v>
      </c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3" t="n">
        <v>0.827</v>
      </c>
      <c r="K6" s="34" t="n"/>
      <c r="L6" s="35" t="n">
        <v>1012</v>
      </c>
      <c r="M6" s="35" t="n">
        <v>-0.25</v>
      </c>
      <c r="N6" s="36" t="n"/>
      <c r="O6" s="36" t="n"/>
      <c r="P6" s="36" t="n"/>
      <c r="Q6" s="36" t="n"/>
      <c r="R6" s="36" t="n"/>
      <c r="S6" s="36" t="n"/>
      <c r="T6" s="36" t="n"/>
      <c r="U6" s="36" t="n"/>
      <c r="V6" s="37" t="n"/>
      <c r="W6" s="36" t="n"/>
      <c r="X6" s="36" t="n"/>
      <c r="Y6" s="36" t="n"/>
      <c r="Z6" s="34" t="n"/>
      <c r="AA6" s="36" t="n"/>
      <c r="AB6" s="36" t="n"/>
      <c r="AC6" s="34" t="n"/>
      <c r="AD6" s="33" t="n">
        <v>0.079</v>
      </c>
      <c r="AE6" s="36" t="n"/>
      <c r="AF6" s="36" t="n"/>
      <c r="AG6" s="34" t="n"/>
      <c r="AH6" s="13" t="n"/>
    </row>
    <row r="7">
      <c r="A7" s="18" t="n"/>
      <c r="B7" s="18" t="n"/>
      <c r="C7" s="18" t="n"/>
      <c r="D7" s="43" t="n">
        <v>58</v>
      </c>
      <c r="E7" s="32" t="n">
        <v>1</v>
      </c>
      <c r="F7" s="32" t="n">
        <v>2</v>
      </c>
      <c r="G7" s="32" t="n">
        <v>3</v>
      </c>
      <c r="H7" s="32" t="n">
        <v>4</v>
      </c>
      <c r="I7" s="32" t="n">
        <v>5</v>
      </c>
      <c r="J7" s="38" t="n">
        <v>0.827</v>
      </c>
      <c r="K7" s="34" t="n"/>
      <c r="L7" s="39" t="n">
        <v>1012</v>
      </c>
      <c r="M7" s="39" t="n">
        <v>-0.25</v>
      </c>
      <c r="N7" s="36" t="n"/>
      <c r="O7" s="36" t="n"/>
      <c r="P7" s="36" t="n"/>
      <c r="Q7" s="36" t="n"/>
      <c r="R7" s="36" t="n"/>
      <c r="S7" s="36" t="n"/>
      <c r="T7" s="36" t="n"/>
      <c r="U7" s="13" t="n"/>
      <c r="V7" s="40" t="inlineStr">
        <is>
          <t>1,58</t>
        </is>
      </c>
      <c r="W7" s="41">
        <f>V7*V8</f>
        <v/>
      </c>
      <c r="X7" s="36" t="n"/>
      <c r="Y7" s="36" t="n"/>
      <c r="Z7" s="34" t="n"/>
      <c r="AA7" s="36" t="n"/>
      <c r="AB7" s="36" t="n"/>
      <c r="AC7" s="34" t="n"/>
      <c r="AD7" s="33" t="n">
        <v>0.079</v>
      </c>
      <c r="AE7" s="36" t="n"/>
      <c r="AF7" s="36" t="n"/>
      <c r="AH7" s="20" t="n"/>
    </row>
    <row r="8">
      <c r="A8" s="18" t="n"/>
      <c r="B8" s="18" t="n"/>
      <c r="C8" s="18" t="n"/>
      <c r="D8" s="43" t="n">
        <v>97</v>
      </c>
      <c r="E8" s="32" t="n">
        <v>1</v>
      </c>
      <c r="F8" s="32" t="n">
        <v>2</v>
      </c>
      <c r="G8" s="32" t="n">
        <v>3</v>
      </c>
      <c r="H8" s="32" t="n">
        <v>4</v>
      </c>
      <c r="I8" s="32" t="n">
        <v>5</v>
      </c>
      <c r="J8" s="38" t="n">
        <v>0.827</v>
      </c>
      <c r="K8" s="34" t="n"/>
      <c r="L8" s="39" t="n">
        <v>1012</v>
      </c>
      <c r="M8" s="39" t="n">
        <v>-0.25</v>
      </c>
      <c r="N8" s="36" t="n"/>
      <c r="O8" s="36" t="n"/>
      <c r="P8" s="36" t="n"/>
      <c r="Q8" s="36" t="n"/>
      <c r="R8" s="36" t="n"/>
      <c r="S8" s="36" t="n"/>
      <c r="T8" s="36" t="n"/>
      <c r="U8" s="13" t="n"/>
      <c r="V8" s="40" t="inlineStr">
        <is>
          <t>1,59</t>
        </is>
      </c>
      <c r="W8" s="13" t="n"/>
      <c r="X8" s="13" t="n"/>
      <c r="Y8" s="13" t="n"/>
    </row>
    <row r="9">
      <c r="A9" s="20" t="n"/>
      <c r="B9" s="20" t="n"/>
      <c r="C9" s="20" t="n"/>
      <c r="D9" s="43" t="n">
        <v>136</v>
      </c>
      <c r="E9" s="32" t="n">
        <v>1</v>
      </c>
      <c r="F9" s="32" t="n">
        <v>2</v>
      </c>
      <c r="G9" s="32" t="n">
        <v>3</v>
      </c>
      <c r="H9" s="32" t="n">
        <v>4</v>
      </c>
      <c r="I9" s="32" t="n">
        <v>5</v>
      </c>
      <c r="J9" s="38" t="n">
        <v>0.827</v>
      </c>
      <c r="K9" s="34" t="n"/>
      <c r="L9" s="39" t="n">
        <v>1012</v>
      </c>
      <c r="M9" s="39" t="n">
        <v>-0.25</v>
      </c>
      <c r="N9" s="36" t="n"/>
      <c r="O9" s="36" t="n"/>
      <c r="P9" s="36" t="n"/>
      <c r="Q9" s="36" t="n"/>
      <c r="R9" s="36" t="n"/>
      <c r="S9" s="36" t="n"/>
      <c r="T9" s="36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13" t="inlineStr">
        <is>
          <t>RPU***</t>
        </is>
      </c>
      <c r="E11" s="42" t="inlineStr">
        <is>
          <t>Kai bus 2 linijos, RPU*** yra 2 linijos vidurinis taškas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4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  <row r="6">
      <c r="A6" s="44" t="n"/>
      <c r="B6" s="44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</row>
    <row r="7">
      <c r="A7" s="45" t="inlineStr">
        <is>
          <t>TŠ 001 H2O</t>
        </is>
      </c>
      <c r="B7" s="46" t="n"/>
      <c r="C7" s="46" t="n"/>
      <c r="D7" s="47" t="n"/>
      <c r="E7" s="48" t="n"/>
      <c r="F7" s="48" t="n"/>
      <c r="G7" s="49" t="n"/>
      <c r="H7" s="50" t="n"/>
      <c r="I7" s="51" t="n"/>
      <c r="J7" s="52" t="n"/>
      <c r="K7" s="53" t="n"/>
      <c r="L7" s="45" t="n"/>
    </row>
    <row r="8">
      <c r="A8" s="44" t="n"/>
      <c r="B8" s="44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</row>
    <row r="9">
      <c r="A9" s="44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</row>
    <row r="10">
      <c r="A10" s="44" t="n"/>
      <c r="B10" s="44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1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Izokinetiškumas (0,95-1,15)</t>
        </is>
      </c>
    </row>
    <row r="6">
      <c r="A6" s="15" t="inlineStr">
        <is>
          <t>2026-02-10</t>
        </is>
      </c>
      <c r="B6" s="15" t="n">
        <v>5</v>
      </c>
      <c r="C6" s="16" t="inlineStr">
        <is>
          <t>Ekopartneris</t>
        </is>
      </c>
      <c r="D6" s="10" t="inlineStr">
        <is>
          <t>1,58 x 1,59</t>
        </is>
      </c>
      <c r="E6" s="11">
        <f>'Greitis'!W7</f>
        <v/>
      </c>
      <c r="J6" s="31" t="n">
        <v>111</v>
      </c>
      <c r="K6" s="31" t="n">
        <v>1</v>
      </c>
      <c r="M6" s="1" t="n">
        <v>3</v>
      </c>
      <c r="N6" s="1" t="n">
        <v>112</v>
      </c>
      <c r="O6" s="31" t="n">
        <v>113</v>
      </c>
      <c r="S6" t="inlineStr">
        <is>
          <t>1 filtras, 1 linija</t>
        </is>
      </c>
      <c r="T6" s="27" t="n">
        <v>10.02</v>
      </c>
      <c r="U6" s="27" t="n">
        <v>4.1</v>
      </c>
      <c r="V6" s="28" t="n">
        <v>40.2</v>
      </c>
      <c r="X6" s="25" t="n">
        <v>1</v>
      </c>
    </row>
    <row r="7">
      <c r="A7" s="17" t="n"/>
      <c r="B7" s="17" t="n"/>
      <c r="C7" s="18" t="n"/>
      <c r="J7" s="31" t="n">
        <v>111</v>
      </c>
      <c r="K7" s="31" t="n">
        <v>1</v>
      </c>
      <c r="M7" s="1" t="n">
        <v>3</v>
      </c>
      <c r="N7" s="1" t="n">
        <v>112</v>
      </c>
      <c r="O7" s="31" t="n">
        <v>113</v>
      </c>
      <c r="T7" s="27" t="n">
        <v>9.98</v>
      </c>
      <c r="U7" s="27" t="n">
        <v>3.9</v>
      </c>
      <c r="V7" s="28" t="n">
        <v>39.8</v>
      </c>
      <c r="X7" s="25" t="n">
        <v>1</v>
      </c>
    </row>
    <row r="8">
      <c r="A8" s="17" t="n"/>
      <c r="B8" s="17" t="n"/>
      <c r="C8" s="18" t="n"/>
      <c r="J8" s="31" t="n">
        <v>111</v>
      </c>
      <c r="K8" s="31" t="n">
        <v>1</v>
      </c>
      <c r="M8" s="1" t="n">
        <v>3</v>
      </c>
      <c r="N8" s="1" t="n">
        <v>112</v>
      </c>
      <c r="O8" s="31" t="n">
        <v>113</v>
      </c>
      <c r="T8" s="27" t="n">
        <v>10</v>
      </c>
      <c r="U8" s="27" t="n">
        <v>4</v>
      </c>
      <c r="V8" s="28" t="n">
        <v>40</v>
      </c>
      <c r="X8" s="25" t="n">
        <v>1</v>
      </c>
    </row>
    <row r="9">
      <c r="A9" s="19" t="n"/>
      <c r="B9" s="19" t="n"/>
      <c r="C9" s="20" t="n"/>
      <c r="J9" s="31" t="n">
        <v>111</v>
      </c>
      <c r="K9" s="31" t="n">
        <v>1</v>
      </c>
      <c r="M9" s="1" t="n">
        <v>3</v>
      </c>
      <c r="N9" s="1" t="n">
        <v>112</v>
      </c>
      <c r="O9" s="31" t="n">
        <v>113</v>
      </c>
      <c r="T9" s="29">
        <f>AVERAGE(T6:T8)</f>
        <v/>
      </c>
      <c r="U9" s="29">
        <f>AVERAGE(U6:U8)</f>
        <v/>
      </c>
      <c r="V9" s="30">
        <f>AVERAGE(V6:V8)</f>
        <v/>
      </c>
      <c r="X9" s="25" t="n">
        <v>1</v>
      </c>
    </row>
    <row r="14">
      <c r="J14" s="31" t="n">
        <v>121</v>
      </c>
      <c r="K14" s="31" t="n">
        <v>1</v>
      </c>
      <c r="M14" s="1" t="n">
        <v>3</v>
      </c>
      <c r="N14" s="1" t="n">
        <v>122</v>
      </c>
      <c r="O14" s="31" t="n">
        <v>123</v>
      </c>
      <c r="S14" t="inlineStr">
        <is>
          <t>1 filtras, 2 linija</t>
        </is>
      </c>
      <c r="X14" s="25" t="n">
        <v>2</v>
      </c>
    </row>
    <row r="15">
      <c r="J15" s="31" t="n">
        <v>121</v>
      </c>
      <c r="K15" s="31" t="n">
        <v>1</v>
      </c>
      <c r="M15" s="1" t="n">
        <v>3</v>
      </c>
      <c r="N15" s="1" t="n">
        <v>122</v>
      </c>
      <c r="O15" s="31" t="n">
        <v>123</v>
      </c>
      <c r="X15" s="25" t="n">
        <v>2</v>
      </c>
    </row>
    <row r="16">
      <c r="J16" s="31" t="n">
        <v>121</v>
      </c>
      <c r="K16" s="31" t="n">
        <v>1</v>
      </c>
      <c r="M16" s="1" t="n">
        <v>3</v>
      </c>
      <c r="N16" s="1" t="n">
        <v>122</v>
      </c>
      <c r="O16" s="31" t="n">
        <v>123</v>
      </c>
      <c r="X16" s="25" t="n">
        <v>2</v>
      </c>
    </row>
    <row r="17">
      <c r="J17" s="31" t="n">
        <v>121</v>
      </c>
      <c r="K17" s="31" t="n">
        <v>1</v>
      </c>
      <c r="M17" s="1" t="n">
        <v>3</v>
      </c>
      <c r="N17" s="1" t="n">
        <v>122</v>
      </c>
      <c r="O17" s="31" t="n">
        <v>123</v>
      </c>
      <c r="X17" s="25" t="n">
        <v>2</v>
      </c>
    </row>
    <row r="22">
      <c r="J22" s="31" t="n">
        <v>131</v>
      </c>
      <c r="K22" s="31" t="n">
        <v>1</v>
      </c>
      <c r="M22" s="1" t="n">
        <v>3</v>
      </c>
      <c r="N22" s="1" t="n">
        <v>132</v>
      </c>
      <c r="O22" s="31" t="n">
        <v>133</v>
      </c>
      <c r="S22" t="inlineStr">
        <is>
          <t>1 filtras, 3 linija</t>
        </is>
      </c>
      <c r="X22" s="25" t="n">
        <v>3</v>
      </c>
    </row>
    <row r="23">
      <c r="J23" s="31" t="n">
        <v>131</v>
      </c>
      <c r="K23" s="31" t="n">
        <v>1</v>
      </c>
      <c r="M23" s="1" t="n">
        <v>3</v>
      </c>
      <c r="N23" s="1" t="n">
        <v>132</v>
      </c>
      <c r="O23" s="31" t="n">
        <v>133</v>
      </c>
      <c r="X23" s="25" t="n">
        <v>3</v>
      </c>
    </row>
    <row r="24">
      <c r="J24" s="31" t="n">
        <v>131</v>
      </c>
      <c r="K24" s="31" t="n">
        <v>1</v>
      </c>
      <c r="M24" s="1" t="n">
        <v>3</v>
      </c>
      <c r="N24" s="1" t="n">
        <v>132</v>
      </c>
      <c r="O24" s="31" t="n">
        <v>133</v>
      </c>
      <c r="X24" s="25" t="n">
        <v>3</v>
      </c>
    </row>
    <row r="25">
      <c r="J25" s="31" t="n">
        <v>131</v>
      </c>
      <c r="K25" s="31" t="n">
        <v>1</v>
      </c>
      <c r="M25" s="1" t="n">
        <v>3</v>
      </c>
      <c r="N25" s="1" t="n">
        <v>132</v>
      </c>
      <c r="O25" s="31" t="n">
        <v>133</v>
      </c>
      <c r="X25" s="25" t="n">
        <v>3</v>
      </c>
    </row>
    <row r="30">
      <c r="J30" s="31" t="n">
        <v>141</v>
      </c>
      <c r="K30" s="31" t="n">
        <v>1</v>
      </c>
      <c r="M30" s="1" t="n">
        <v>3</v>
      </c>
      <c r="N30" s="1" t="n">
        <v>142</v>
      </c>
      <c r="O30" s="31" t="n">
        <v>143</v>
      </c>
      <c r="S30" t="inlineStr">
        <is>
          <t>1 filtras, 4 linija</t>
        </is>
      </c>
      <c r="X30" s="25" t="n">
        <v>4</v>
      </c>
    </row>
    <row r="31">
      <c r="J31" s="31" t="n">
        <v>141</v>
      </c>
      <c r="K31" s="31" t="n">
        <v>1</v>
      </c>
      <c r="M31" s="1" t="n">
        <v>3</v>
      </c>
      <c r="N31" s="1" t="n">
        <v>142</v>
      </c>
      <c r="O31" s="31" t="n">
        <v>143</v>
      </c>
      <c r="X31" s="25" t="n">
        <v>4</v>
      </c>
    </row>
    <row r="32">
      <c r="J32" s="31" t="n">
        <v>141</v>
      </c>
      <c r="K32" s="31" t="n">
        <v>1</v>
      </c>
      <c r="M32" s="1" t="n">
        <v>3</v>
      </c>
      <c r="N32" s="1" t="n">
        <v>142</v>
      </c>
      <c r="O32" s="31" t="n">
        <v>143</v>
      </c>
      <c r="X32" s="25" t="n">
        <v>4</v>
      </c>
    </row>
    <row r="33">
      <c r="J33" s="31" t="n">
        <v>141</v>
      </c>
      <c r="K33" s="31" t="n">
        <v>1</v>
      </c>
      <c r="M33" s="1" t="n">
        <v>3</v>
      </c>
      <c r="N33" s="1" t="n">
        <v>142</v>
      </c>
      <c r="O33" s="31" t="n">
        <v>143</v>
      </c>
      <c r="X33" s="25" t="n">
        <v>4</v>
      </c>
    </row>
    <row r="38">
      <c r="J38" s="31" t="n">
        <v>151</v>
      </c>
      <c r="K38" s="31" t="n">
        <v>1</v>
      </c>
      <c r="M38" s="1" t="n">
        <v>3</v>
      </c>
      <c r="N38" s="1" t="n">
        <v>152</v>
      </c>
      <c r="O38" s="31" t="n">
        <v>153</v>
      </c>
      <c r="S38" t="inlineStr">
        <is>
          <t>1 filtras, 5 linija</t>
        </is>
      </c>
      <c r="X38" s="25" t="n">
        <v>5</v>
      </c>
    </row>
    <row r="39">
      <c r="J39" s="31" t="n">
        <v>151</v>
      </c>
      <c r="K39" s="31" t="n">
        <v>1</v>
      </c>
      <c r="M39" s="1" t="n">
        <v>3</v>
      </c>
      <c r="N39" s="1" t="n">
        <v>152</v>
      </c>
      <c r="O39" s="31" t="n">
        <v>153</v>
      </c>
      <c r="X39" s="25" t="n">
        <v>5</v>
      </c>
    </row>
    <row r="40">
      <c r="J40" s="31" t="n">
        <v>151</v>
      </c>
      <c r="K40" s="31" t="n">
        <v>1</v>
      </c>
      <c r="M40" s="1" t="n">
        <v>3</v>
      </c>
      <c r="N40" s="1" t="n">
        <v>152</v>
      </c>
      <c r="O40" s="31" t="n">
        <v>153</v>
      </c>
      <c r="X40" s="25" t="n">
        <v>5</v>
      </c>
    </row>
    <row r="41">
      <c r="J41" s="31" t="n">
        <v>151</v>
      </c>
      <c r="K41" s="31" t="n">
        <v>1</v>
      </c>
      <c r="M41" s="1" t="n">
        <v>3</v>
      </c>
      <c r="N41" s="1" t="n">
        <v>152</v>
      </c>
      <c r="O41" s="31" t="n">
        <v>153</v>
      </c>
      <c r="X41" s="25" t="n">
        <v>5</v>
      </c>
    </row>
    <row r="46">
      <c r="J46" s="31" t="n">
        <v>211</v>
      </c>
      <c r="K46" s="31" t="n">
        <v>1</v>
      </c>
      <c r="M46" s="1" t="n">
        <v>3</v>
      </c>
      <c r="N46" s="1" t="n">
        <v>212</v>
      </c>
      <c r="O46" s="31" t="n">
        <v>213</v>
      </c>
      <c r="S46" t="inlineStr">
        <is>
          <t>2 filtras, 1 linija</t>
        </is>
      </c>
      <c r="X46" s="25" t="n">
        <v>1</v>
      </c>
    </row>
    <row r="47">
      <c r="J47" s="31" t="n">
        <v>211</v>
      </c>
      <c r="K47" s="31" t="n">
        <v>1</v>
      </c>
      <c r="M47" s="1" t="n">
        <v>3</v>
      </c>
      <c r="N47" s="1" t="n">
        <v>212</v>
      </c>
      <c r="O47" s="31" t="n">
        <v>213</v>
      </c>
      <c r="X47" s="25" t="n">
        <v>1</v>
      </c>
    </row>
    <row r="48">
      <c r="J48" s="31" t="n">
        <v>211</v>
      </c>
      <c r="K48" s="31" t="n">
        <v>1</v>
      </c>
      <c r="M48" s="1" t="n">
        <v>3</v>
      </c>
      <c r="N48" s="1" t="n">
        <v>212</v>
      </c>
      <c r="O48" s="31" t="n">
        <v>213</v>
      </c>
      <c r="X48" s="25" t="n">
        <v>1</v>
      </c>
    </row>
    <row r="49">
      <c r="J49" s="31" t="n">
        <v>211</v>
      </c>
      <c r="K49" s="31" t="n">
        <v>1</v>
      </c>
      <c r="M49" s="1" t="n">
        <v>3</v>
      </c>
      <c r="N49" s="1" t="n">
        <v>212</v>
      </c>
      <c r="O49" s="31" t="n">
        <v>213</v>
      </c>
      <c r="X49" s="25" t="n">
        <v>1</v>
      </c>
    </row>
    <row r="54">
      <c r="J54" s="31" t="n">
        <v>221</v>
      </c>
      <c r="K54" s="31" t="n">
        <v>1</v>
      </c>
      <c r="M54" s="1" t="n">
        <v>3</v>
      </c>
      <c r="N54" s="1" t="n">
        <v>222</v>
      </c>
      <c r="O54" s="31" t="n">
        <v>223</v>
      </c>
      <c r="S54" t="inlineStr">
        <is>
          <t>2 filtras, 2 linija</t>
        </is>
      </c>
      <c r="X54" s="25" t="n">
        <v>2</v>
      </c>
    </row>
    <row r="55">
      <c r="J55" s="31" t="n">
        <v>221</v>
      </c>
      <c r="K55" s="31" t="n">
        <v>1</v>
      </c>
      <c r="M55" s="1" t="n">
        <v>3</v>
      </c>
      <c r="N55" s="1" t="n">
        <v>222</v>
      </c>
      <c r="O55" s="31" t="n">
        <v>223</v>
      </c>
      <c r="X55" s="25" t="n">
        <v>2</v>
      </c>
    </row>
    <row r="56">
      <c r="J56" s="31" t="n">
        <v>221</v>
      </c>
      <c r="K56" s="31" t="n">
        <v>1</v>
      </c>
      <c r="M56" s="1" t="n">
        <v>3</v>
      </c>
      <c r="N56" s="1" t="n">
        <v>222</v>
      </c>
      <c r="O56" s="31" t="n">
        <v>223</v>
      </c>
      <c r="X56" s="25" t="n">
        <v>2</v>
      </c>
    </row>
    <row r="57">
      <c r="J57" s="31" t="n">
        <v>221</v>
      </c>
      <c r="K57" s="31" t="n">
        <v>1</v>
      </c>
      <c r="M57" s="1" t="n">
        <v>3</v>
      </c>
      <c r="N57" s="1" t="n">
        <v>222</v>
      </c>
      <c r="O57" s="31" t="n">
        <v>223</v>
      </c>
      <c r="X57" s="25" t="n">
        <v>2</v>
      </c>
    </row>
    <row r="62">
      <c r="J62" s="31" t="n">
        <v>231</v>
      </c>
      <c r="K62" s="31" t="n">
        <v>1</v>
      </c>
      <c r="M62" s="1" t="n">
        <v>3</v>
      </c>
      <c r="N62" s="1" t="n">
        <v>232</v>
      </c>
      <c r="O62" s="31" t="n">
        <v>233</v>
      </c>
      <c r="S62" t="inlineStr">
        <is>
          <t>2 filtras, 3 linija</t>
        </is>
      </c>
      <c r="X62" s="25" t="n">
        <v>3</v>
      </c>
    </row>
    <row r="63">
      <c r="J63" s="31" t="n">
        <v>231</v>
      </c>
      <c r="K63" s="31" t="n">
        <v>1</v>
      </c>
      <c r="M63" s="1" t="n">
        <v>3</v>
      </c>
      <c r="N63" s="1" t="n">
        <v>232</v>
      </c>
      <c r="O63" s="31" t="n">
        <v>233</v>
      </c>
      <c r="X63" s="25" t="n">
        <v>3</v>
      </c>
    </row>
    <row r="64">
      <c r="J64" s="31" t="n">
        <v>231</v>
      </c>
      <c r="K64" s="31" t="n">
        <v>1</v>
      </c>
      <c r="M64" s="1" t="n">
        <v>3</v>
      </c>
      <c r="N64" s="1" t="n">
        <v>232</v>
      </c>
      <c r="O64" s="31" t="n">
        <v>233</v>
      </c>
      <c r="X64" s="25" t="n">
        <v>3</v>
      </c>
    </row>
    <row r="65">
      <c r="J65" s="31" t="n">
        <v>231</v>
      </c>
      <c r="K65" s="31" t="n">
        <v>1</v>
      </c>
      <c r="M65" s="1" t="n">
        <v>3</v>
      </c>
      <c r="N65" s="1" t="n">
        <v>232</v>
      </c>
      <c r="O65" s="31" t="n">
        <v>233</v>
      </c>
      <c r="X65" s="25" t="n">
        <v>3</v>
      </c>
    </row>
    <row r="70">
      <c r="J70" s="31" t="n">
        <v>241</v>
      </c>
      <c r="K70" s="31" t="n">
        <v>1</v>
      </c>
      <c r="M70" s="1" t="n">
        <v>3</v>
      </c>
      <c r="N70" s="1" t="n">
        <v>242</v>
      </c>
      <c r="O70" s="31" t="n">
        <v>243</v>
      </c>
      <c r="S70" t="inlineStr">
        <is>
          <t>2 filtras, 4 linija</t>
        </is>
      </c>
      <c r="X70" s="25" t="n">
        <v>4</v>
      </c>
    </row>
    <row r="71">
      <c r="J71" s="31" t="n">
        <v>241</v>
      </c>
      <c r="K71" s="31" t="n">
        <v>1</v>
      </c>
      <c r="M71" s="1" t="n">
        <v>3</v>
      </c>
      <c r="N71" s="1" t="n">
        <v>242</v>
      </c>
      <c r="O71" s="31" t="n">
        <v>243</v>
      </c>
      <c r="X71" s="25" t="n">
        <v>4</v>
      </c>
    </row>
    <row r="72">
      <c r="J72" s="31" t="n">
        <v>241</v>
      </c>
      <c r="K72" s="31" t="n">
        <v>1</v>
      </c>
      <c r="M72" s="1" t="n">
        <v>3</v>
      </c>
      <c r="N72" s="1" t="n">
        <v>242</v>
      </c>
      <c r="O72" s="31" t="n">
        <v>243</v>
      </c>
      <c r="X72" s="25" t="n">
        <v>4</v>
      </c>
    </row>
    <row r="73">
      <c r="J73" s="31" t="n">
        <v>241</v>
      </c>
      <c r="K73" s="31" t="n">
        <v>1</v>
      </c>
      <c r="M73" s="1" t="n">
        <v>3</v>
      </c>
      <c r="N73" s="1" t="n">
        <v>242</v>
      </c>
      <c r="O73" s="31" t="n">
        <v>243</v>
      </c>
      <c r="X73" s="25" t="n">
        <v>4</v>
      </c>
    </row>
    <row r="78">
      <c r="J78" s="31" t="n">
        <v>251</v>
      </c>
      <c r="K78" s="31" t="n">
        <v>1</v>
      </c>
      <c r="M78" s="1" t="n">
        <v>3</v>
      </c>
      <c r="N78" s="1" t="n">
        <v>252</v>
      </c>
      <c r="O78" s="31" t="n">
        <v>253</v>
      </c>
      <c r="S78" t="inlineStr">
        <is>
          <t>2 filtras, 5 linija</t>
        </is>
      </c>
      <c r="X78" s="25" t="n">
        <v>5</v>
      </c>
    </row>
    <row r="79">
      <c r="J79" s="31" t="n">
        <v>251</v>
      </c>
      <c r="K79" s="31" t="n">
        <v>1</v>
      </c>
      <c r="M79" s="1" t="n">
        <v>3</v>
      </c>
      <c r="N79" s="1" t="n">
        <v>252</v>
      </c>
      <c r="O79" s="31" t="n">
        <v>253</v>
      </c>
      <c r="X79" s="25" t="n">
        <v>5</v>
      </c>
    </row>
    <row r="80">
      <c r="J80" s="31" t="n">
        <v>251</v>
      </c>
      <c r="K80" s="31" t="n">
        <v>1</v>
      </c>
      <c r="M80" s="1" t="n">
        <v>3</v>
      </c>
      <c r="N80" s="1" t="n">
        <v>252</v>
      </c>
      <c r="O80" s="31" t="n">
        <v>253</v>
      </c>
      <c r="X80" s="25" t="n">
        <v>5</v>
      </c>
    </row>
    <row r="81">
      <c r="J81" s="31" t="n">
        <v>251</v>
      </c>
      <c r="K81" s="31" t="n">
        <v>1</v>
      </c>
      <c r="M81" s="1" t="n">
        <v>3</v>
      </c>
      <c r="N81" s="1" t="n">
        <v>252</v>
      </c>
      <c r="O81" s="31" t="n">
        <v>253</v>
      </c>
      <c r="X81" s="25" t="n">
        <v>5</v>
      </c>
    </row>
    <row r="86">
      <c r="J86" s="31" t="n">
        <v>311</v>
      </c>
      <c r="K86" s="31" t="n">
        <v>1</v>
      </c>
      <c r="M86" s="1" t="n">
        <v>3</v>
      </c>
      <c r="N86" s="1" t="n">
        <v>312</v>
      </c>
      <c r="O86" s="31" t="n">
        <v>313</v>
      </c>
      <c r="S86" t="inlineStr">
        <is>
          <t>3 filtras, 1 linija</t>
        </is>
      </c>
      <c r="X86" s="25" t="n">
        <v>1</v>
      </c>
    </row>
    <row r="87">
      <c r="J87" s="31" t="n">
        <v>311</v>
      </c>
      <c r="K87" s="31" t="n">
        <v>1</v>
      </c>
      <c r="M87" s="1" t="n">
        <v>3</v>
      </c>
      <c r="N87" s="1" t="n">
        <v>312</v>
      </c>
      <c r="O87" s="31" t="n">
        <v>313</v>
      </c>
      <c r="X87" s="25" t="n">
        <v>1</v>
      </c>
    </row>
    <row r="88">
      <c r="J88" s="31" t="n">
        <v>311</v>
      </c>
      <c r="K88" s="31" t="n">
        <v>1</v>
      </c>
      <c r="M88" s="1" t="n">
        <v>3</v>
      </c>
      <c r="N88" s="1" t="n">
        <v>312</v>
      </c>
      <c r="O88" s="31" t="n">
        <v>313</v>
      </c>
      <c r="X88" s="25" t="n">
        <v>1</v>
      </c>
    </row>
    <row r="89">
      <c r="J89" s="31" t="n">
        <v>311</v>
      </c>
      <c r="K89" s="31" t="n">
        <v>1</v>
      </c>
      <c r="M89" s="1" t="n">
        <v>3</v>
      </c>
      <c r="N89" s="1" t="n">
        <v>312</v>
      </c>
      <c r="O89" s="31" t="n">
        <v>313</v>
      </c>
      <c r="X89" s="25" t="n">
        <v>1</v>
      </c>
    </row>
    <row r="94">
      <c r="J94" s="31" t="n">
        <v>321</v>
      </c>
      <c r="K94" s="31" t="n">
        <v>1</v>
      </c>
      <c r="M94" s="1" t="n">
        <v>3</v>
      </c>
      <c r="N94" s="1" t="n">
        <v>322</v>
      </c>
      <c r="O94" s="31" t="n">
        <v>323</v>
      </c>
      <c r="S94" t="inlineStr">
        <is>
          <t>3 filtras, 2 linija</t>
        </is>
      </c>
      <c r="X94" s="25" t="n">
        <v>2</v>
      </c>
    </row>
    <row r="95">
      <c r="J95" s="31" t="n">
        <v>321</v>
      </c>
      <c r="K95" s="31" t="n">
        <v>1</v>
      </c>
      <c r="M95" s="1" t="n">
        <v>3</v>
      </c>
      <c r="N95" s="1" t="n">
        <v>322</v>
      </c>
      <c r="O95" s="31" t="n">
        <v>323</v>
      </c>
      <c r="X95" s="25" t="n">
        <v>2</v>
      </c>
    </row>
    <row r="96">
      <c r="J96" s="31" t="n">
        <v>321</v>
      </c>
      <c r="K96" s="31" t="n">
        <v>1</v>
      </c>
      <c r="M96" s="1" t="n">
        <v>3</v>
      </c>
      <c r="N96" s="1" t="n">
        <v>322</v>
      </c>
      <c r="O96" s="31" t="n">
        <v>323</v>
      </c>
      <c r="X96" s="25" t="n">
        <v>2</v>
      </c>
    </row>
    <row r="97">
      <c r="J97" s="31" t="n">
        <v>321</v>
      </c>
      <c r="K97" s="31" t="n">
        <v>1</v>
      </c>
      <c r="M97" s="1" t="n">
        <v>3</v>
      </c>
      <c r="N97" s="1" t="n">
        <v>322</v>
      </c>
      <c r="O97" s="31" t="n">
        <v>323</v>
      </c>
      <c r="X97" s="25" t="n">
        <v>2</v>
      </c>
    </row>
    <row r="102">
      <c r="J102" s="31" t="n">
        <v>331</v>
      </c>
      <c r="K102" s="31" t="n">
        <v>1</v>
      </c>
      <c r="M102" s="1" t="n">
        <v>3</v>
      </c>
      <c r="N102" s="1" t="n">
        <v>332</v>
      </c>
      <c r="O102" s="31" t="n">
        <v>333</v>
      </c>
      <c r="S102" t="inlineStr">
        <is>
          <t>3 filtras, 3 linija</t>
        </is>
      </c>
      <c r="X102" s="25" t="n">
        <v>3</v>
      </c>
    </row>
    <row r="103">
      <c r="J103" s="31" t="n">
        <v>331</v>
      </c>
      <c r="K103" s="31" t="n">
        <v>1</v>
      </c>
      <c r="M103" s="1" t="n">
        <v>3</v>
      </c>
      <c r="N103" s="1" t="n">
        <v>332</v>
      </c>
      <c r="O103" s="31" t="n">
        <v>333</v>
      </c>
      <c r="X103" s="25" t="n">
        <v>3</v>
      </c>
    </row>
    <row r="104">
      <c r="J104" s="31" t="n">
        <v>331</v>
      </c>
      <c r="K104" s="31" t="n">
        <v>1</v>
      </c>
      <c r="M104" s="1" t="n">
        <v>3</v>
      </c>
      <c r="N104" s="1" t="n">
        <v>332</v>
      </c>
      <c r="O104" s="31" t="n">
        <v>333</v>
      </c>
      <c r="X104" s="25" t="n">
        <v>3</v>
      </c>
    </row>
    <row r="105">
      <c r="J105" s="31" t="n">
        <v>331</v>
      </c>
      <c r="K105" s="31" t="n">
        <v>1</v>
      </c>
      <c r="M105" s="1" t="n">
        <v>3</v>
      </c>
      <c r="N105" s="1" t="n">
        <v>332</v>
      </c>
      <c r="O105" s="31" t="n">
        <v>333</v>
      </c>
      <c r="X105" s="25" t="n">
        <v>3</v>
      </c>
    </row>
    <row r="110">
      <c r="J110" s="31" t="n">
        <v>341</v>
      </c>
      <c r="K110" s="31" t="n">
        <v>1</v>
      </c>
      <c r="M110" s="1" t="n">
        <v>3</v>
      </c>
      <c r="N110" s="1" t="n">
        <v>342</v>
      </c>
      <c r="O110" s="31" t="n">
        <v>343</v>
      </c>
      <c r="S110" t="inlineStr">
        <is>
          <t>3 filtras, 4 linija</t>
        </is>
      </c>
      <c r="X110" s="25" t="n">
        <v>4</v>
      </c>
    </row>
    <row r="111">
      <c r="J111" s="31" t="n">
        <v>341</v>
      </c>
      <c r="K111" s="31" t="n">
        <v>1</v>
      </c>
      <c r="M111" s="1" t="n">
        <v>3</v>
      </c>
      <c r="N111" s="1" t="n">
        <v>342</v>
      </c>
      <c r="O111" s="31" t="n">
        <v>343</v>
      </c>
      <c r="X111" s="25" t="n">
        <v>4</v>
      </c>
    </row>
    <row r="112">
      <c r="J112" s="31" t="n">
        <v>341</v>
      </c>
      <c r="K112" s="31" t="n">
        <v>1</v>
      </c>
      <c r="M112" s="1" t="n">
        <v>3</v>
      </c>
      <c r="N112" s="1" t="n">
        <v>342</v>
      </c>
      <c r="O112" s="31" t="n">
        <v>343</v>
      </c>
      <c r="X112" s="25" t="n">
        <v>4</v>
      </c>
    </row>
    <row r="113">
      <c r="J113" s="31" t="n">
        <v>341</v>
      </c>
      <c r="K113" s="31" t="n">
        <v>1</v>
      </c>
      <c r="M113" s="1" t="n">
        <v>3</v>
      </c>
      <c r="N113" s="1" t="n">
        <v>342</v>
      </c>
      <c r="O113" s="31" t="n">
        <v>343</v>
      </c>
      <c r="X113" s="25" t="n">
        <v>4</v>
      </c>
    </row>
    <row r="118">
      <c r="J118" s="31" t="n">
        <v>351</v>
      </c>
      <c r="K118" s="31" t="n">
        <v>1</v>
      </c>
      <c r="M118" s="1" t="n">
        <v>3</v>
      </c>
      <c r="N118" s="1" t="n">
        <v>352</v>
      </c>
      <c r="O118" s="31" t="n">
        <v>353</v>
      </c>
      <c r="S118" t="inlineStr">
        <is>
          <t>3 filtras, 5 linija</t>
        </is>
      </c>
      <c r="X118" s="25" t="n">
        <v>5</v>
      </c>
    </row>
    <row r="119">
      <c r="J119" s="31" t="n">
        <v>351</v>
      </c>
      <c r="K119" s="31" t="n">
        <v>1</v>
      </c>
      <c r="M119" s="1" t="n">
        <v>3</v>
      </c>
      <c r="N119" s="1" t="n">
        <v>352</v>
      </c>
      <c r="O119" s="31" t="n">
        <v>353</v>
      </c>
      <c r="X119" s="25" t="n">
        <v>5</v>
      </c>
    </row>
    <row r="120">
      <c r="J120" s="31" t="n">
        <v>351</v>
      </c>
      <c r="K120" s="31" t="n">
        <v>1</v>
      </c>
      <c r="M120" s="1" t="n">
        <v>3</v>
      </c>
      <c r="N120" s="1" t="n">
        <v>352</v>
      </c>
      <c r="O120" s="31" t="n">
        <v>353</v>
      </c>
      <c r="X120" s="25" t="n">
        <v>5</v>
      </c>
    </row>
    <row r="121">
      <c r="J121" s="31" t="n">
        <v>351</v>
      </c>
      <c r="K121" s="31" t="n">
        <v>1</v>
      </c>
      <c r="M121" s="1" t="n">
        <v>3</v>
      </c>
      <c r="N121" s="1" t="n">
        <v>352</v>
      </c>
      <c r="O121" s="31" t="n">
        <v>353</v>
      </c>
      <c r="X121" s="25" t="n">
        <v>5</v>
      </c>
    </row>
  </sheetData>
  <mergeCells count="2">
    <mergeCell ref="A2:V2"/>
    <mergeCell ref="C6:C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5" t="inlineStr">
        <is>
          <t>2026-02-10</t>
        </is>
      </c>
      <c r="B6" s="15" t="n">
        <v>5</v>
      </c>
      <c r="C6" s="16" t="inlineStr">
        <is>
          <t>Ekopartneris</t>
        </is>
      </c>
    </row>
    <row r="7">
      <c r="A7" s="17" t="n"/>
      <c r="B7" s="17" t="n"/>
      <c r="C7" s="18" t="n"/>
    </row>
    <row r="8">
      <c r="A8" s="17" t="n"/>
      <c r="B8" s="17" t="n"/>
      <c r="C8" s="18" t="n"/>
    </row>
    <row r="9">
      <c r="A9" s="19" t="n"/>
      <c r="B9" s="19" t="n"/>
      <c r="C9" s="20" t="n"/>
    </row>
  </sheetData>
  <mergeCells count="2">
    <mergeCell ref="C6:C9"/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7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54" t="inlineStr">
        <is>
          <t>2026-02-10</t>
        </is>
      </c>
      <c r="B6" s="54" t="n">
        <v>5</v>
      </c>
      <c r="C6" s="55" t="inlineStr">
        <is>
          <t>Ekopartneris</t>
        </is>
      </c>
      <c r="D6" s="56" t="n"/>
      <c r="E6" s="56" t="n"/>
      <c r="F6" s="56" t="n"/>
      <c r="G6" s="56" t="n"/>
      <c r="H6" s="57" t="n"/>
      <c r="I6" s="56" t="n"/>
      <c r="J6" s="56" t="n"/>
      <c r="K6" s="57" t="n"/>
      <c r="L6" s="57" t="n"/>
      <c r="M6" s="58" t="n"/>
      <c r="N6" s="59" t="n"/>
      <c r="O6" s="60" t="n">
        <v>3</v>
      </c>
      <c r="P6" s="61" t="inlineStr">
        <is>
          <t>5 linijos, 1 filtras</t>
        </is>
      </c>
    </row>
    <row r="7" ht="25" customHeight="1">
      <c r="A7" s="21" t="n"/>
      <c r="B7" s="21" t="n"/>
      <c r="C7" s="18" t="n"/>
      <c r="D7" s="56" t="n"/>
      <c r="E7" s="56" t="n"/>
      <c r="F7" s="56" t="n"/>
      <c r="G7" s="56" t="n"/>
      <c r="H7" s="57" t="n"/>
      <c r="I7" s="56" t="n"/>
      <c r="J7" s="56" t="n"/>
      <c r="K7" s="57" t="n"/>
      <c r="L7" s="57" t="n"/>
      <c r="M7" s="64" t="n"/>
      <c r="N7" s="62" t="n"/>
      <c r="O7" s="44" t="n"/>
      <c r="P7" s="61" t="inlineStr">
        <is>
          <t>5 linijos, 2 filtras</t>
        </is>
      </c>
    </row>
    <row r="8" ht="25" customHeight="1">
      <c r="A8" s="22" t="n"/>
      <c r="B8" s="22" t="n"/>
      <c r="C8" s="20" t="n"/>
      <c r="D8" s="56" t="n"/>
      <c r="E8" s="56" t="n"/>
      <c r="F8" s="56" t="n"/>
      <c r="G8" s="56" t="n"/>
      <c r="H8" s="57" t="n"/>
      <c r="I8" s="56" t="n"/>
      <c r="J8" s="56" t="n"/>
      <c r="K8" s="57" t="n"/>
      <c r="L8" s="57" t="n"/>
      <c r="M8" s="65" t="n"/>
      <c r="N8" s="63" t="n"/>
      <c r="O8" s="44" t="n"/>
      <c r="P8" s="61" t="inlineStr">
        <is>
          <t>5 linijos, 3 filtras</t>
        </is>
      </c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23" t="n"/>
      <c r="G4" s="24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23" t="n"/>
      <c r="L4" s="24" t="n"/>
      <c r="M4" s="12" t="inlineStr">
        <is>
          <t>Kietųjų dalelių svoris mf/Svorių pokytis (g) (&lt;2,00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20" t="n"/>
      <c r="B5" s="20" t="n"/>
      <c r="C5" s="20" t="n"/>
      <c r="D5" s="20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20" t="n"/>
      <c r="I5" s="20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20" t="n"/>
      <c r="N5" s="20" t="n"/>
      <c r="O5" s="20" t="n"/>
    </row>
    <row r="6">
      <c r="A6" s="66" t="n">
        <v>5</v>
      </c>
      <c r="B6" s="66" t="inlineStr">
        <is>
          <t>Ekopartneris</t>
        </is>
      </c>
      <c r="C6" s="43" t="n">
        <v>1</v>
      </c>
      <c r="D6" s="67" t="n"/>
      <c r="E6" s="37" t="n"/>
      <c r="F6" s="37" t="n"/>
      <c r="G6" s="37" t="n"/>
      <c r="H6" s="67" t="n"/>
      <c r="I6" s="68" t="n"/>
      <c r="J6" s="37" t="n"/>
      <c r="K6" s="37" t="n"/>
      <c r="L6" s="37" t="n"/>
      <c r="M6" s="36" t="n"/>
      <c r="N6" s="68" t="n"/>
      <c r="O6" s="69" t="inlineStr">
        <is>
          <t>5 linijos, 3 filtrai</t>
        </is>
      </c>
    </row>
    <row r="7">
      <c r="A7" s="21" t="n"/>
      <c r="B7" s="17" t="n"/>
      <c r="C7" s="43" t="n">
        <v>2</v>
      </c>
      <c r="D7" s="17" t="n"/>
      <c r="E7" s="37" t="n"/>
      <c r="F7" s="37" t="n"/>
      <c r="G7" s="37" t="n"/>
      <c r="H7" s="17" t="n"/>
      <c r="I7" s="17" t="n"/>
      <c r="J7" s="37" t="n"/>
      <c r="K7" s="37" t="n"/>
      <c r="L7" s="37" t="n"/>
      <c r="M7" s="36" t="n"/>
      <c r="N7" s="17" t="n"/>
      <c r="O7" s="13" t="n"/>
    </row>
    <row r="8">
      <c r="A8" s="21" t="n"/>
      <c r="B8" s="17" t="n"/>
      <c r="C8" s="43" t="n">
        <v>3</v>
      </c>
      <c r="D8" s="17" t="n"/>
      <c r="E8" s="37" t="n"/>
      <c r="F8" s="37" t="n"/>
      <c r="G8" s="37" t="n"/>
      <c r="H8" s="17" t="n"/>
      <c r="I8" s="17" t="n"/>
      <c r="J8" s="37" t="n"/>
      <c r="K8" s="37" t="n"/>
      <c r="L8" s="37" t="n"/>
      <c r="M8" s="36" t="n"/>
      <c r="N8" s="17" t="n"/>
      <c r="O8" s="13" t="n"/>
    </row>
    <row r="9">
      <c r="A9" s="21" t="n"/>
      <c r="B9" s="17" t="n"/>
      <c r="C9" s="43" t="inlineStr">
        <is>
          <t>2</t>
        </is>
      </c>
      <c r="D9" s="17" t="n"/>
      <c r="E9" s="37" t="n"/>
      <c r="F9" s="37" t="n"/>
      <c r="G9" s="37" t="n"/>
      <c r="H9" s="17" t="n"/>
      <c r="I9" s="17" t="n"/>
      <c r="J9" s="37" t="n"/>
      <c r="K9" s="37" t="n"/>
      <c r="L9" s="37" t="n"/>
      <c r="M9" s="36" t="n"/>
      <c r="N9" s="17" t="n"/>
      <c r="O9" s="70" t="inlineStr">
        <is>
          <t>Tuščiasis ėminys (mt)</t>
        </is>
      </c>
    </row>
    <row r="10">
      <c r="A10" s="21" t="n"/>
      <c r="B10" s="17" t="n"/>
      <c r="C10" s="13" t="n"/>
      <c r="D10" s="17" t="n"/>
      <c r="E10" s="13" t="n"/>
      <c r="F10" s="13" t="n"/>
      <c r="G10" s="13" t="n"/>
      <c r="H10" s="17" t="n"/>
      <c r="I10" s="17" t="n"/>
      <c r="J10" s="13" t="n"/>
      <c r="K10" s="13" t="n"/>
      <c r="L10" s="13" t="n"/>
      <c r="M10" s="13" t="n"/>
      <c r="N10" s="17" t="n"/>
      <c r="O10" s="13" t="n"/>
    </row>
    <row r="11">
      <c r="A11" s="21" t="n"/>
      <c r="B11" s="17" t="n"/>
      <c r="C11" s="43" t="inlineStr">
        <is>
          <t>41</t>
        </is>
      </c>
      <c r="D11" s="17" t="n"/>
      <c r="E11" s="37" t="n"/>
      <c r="F11" s="37" t="n"/>
      <c r="G11" s="37" t="n"/>
      <c r="H11" s="17" t="n"/>
      <c r="I11" s="17" t="n"/>
      <c r="J11" s="37" t="n"/>
      <c r="K11" s="37" t="n"/>
      <c r="L11" s="37" t="n"/>
      <c r="M11" s="36" t="n"/>
      <c r="N11" s="17" t="n"/>
      <c r="O11" s="70" t="inlineStr">
        <is>
          <t>Išplautos nuosėdos (mn)</t>
        </is>
      </c>
    </row>
    <row r="12">
      <c r="A12" s="21" t="n"/>
      <c r="B12" s="17" t="n"/>
      <c r="C12" s="43" t="inlineStr">
        <is>
          <t>00</t>
        </is>
      </c>
      <c r="D12" s="17" t="n"/>
      <c r="E12" s="37" t="n"/>
      <c r="F12" s="37" t="n"/>
      <c r="G12" s="37" t="n"/>
      <c r="H12" s="17" t="n"/>
      <c r="I12" s="17" t="n"/>
      <c r="J12" s="37" t="n"/>
      <c r="K12" s="37" t="n"/>
      <c r="L12" s="37" t="n"/>
      <c r="M12" s="36" t="n"/>
      <c r="N12" s="17" t="n"/>
      <c r="O12" s="70" t="inlineStr">
        <is>
          <t>Išvalytos ėminių sistemos tuščiasis ėminys (mIt)</t>
        </is>
      </c>
    </row>
    <row r="13">
      <c r="A13" s="21" t="n"/>
      <c r="B13" s="17" t="n"/>
      <c r="C13" s="43" t="inlineStr">
        <is>
          <t>01</t>
        </is>
      </c>
      <c r="D13" s="17" t="n"/>
      <c r="E13" s="37" t="n"/>
      <c r="F13" s="37" t="n"/>
      <c r="G13" s="37" t="n"/>
      <c r="H13" s="17" t="n"/>
      <c r="I13" s="17" t="n"/>
      <c r="J13" s="37" t="n"/>
      <c r="K13" s="37" t="n"/>
      <c r="L13" s="37" t="n"/>
      <c r="M13" s="36" t="n"/>
      <c r="N13" s="17" t="n"/>
      <c r="O13" s="70" t="inlineStr">
        <is>
          <t>Tušti indai svorio kontrolei (mIt1)</t>
        </is>
      </c>
    </row>
    <row r="14">
      <c r="A14" s="21" t="n"/>
      <c r="B14" s="17" t="n"/>
      <c r="C14" s="43" t="inlineStr">
        <is>
          <t>02</t>
        </is>
      </c>
      <c r="D14" s="17" t="n"/>
      <c r="E14" s="37" t="n"/>
      <c r="F14" s="37" t="n"/>
      <c r="G14" s="37" t="n"/>
      <c r="H14" s="17" t="n"/>
      <c r="I14" s="17" t="n"/>
      <c r="J14" s="37" t="n"/>
      <c r="K14" s="37" t="n"/>
      <c r="L14" s="37" t="n"/>
      <c r="M14" s="36" t="n"/>
      <c r="N14" s="17" t="n"/>
      <c r="O14" s="70" t="inlineStr">
        <is>
          <t>Tušti indai svorio kontrolei (mIt2)</t>
        </is>
      </c>
    </row>
    <row r="15">
      <c r="A15" s="21" t="n"/>
      <c r="B15" s="17" t="n"/>
      <c r="C15" s="43" t="inlineStr">
        <is>
          <t>03</t>
        </is>
      </c>
      <c r="D15" s="17" t="n"/>
      <c r="E15" s="37" t="n"/>
      <c r="F15" s="37" t="n"/>
      <c r="G15" s="37" t="n"/>
      <c r="H15" s="17" t="n"/>
      <c r="I15" s="17" t="n"/>
      <c r="J15" s="37" t="n"/>
      <c r="K15" s="37" t="n"/>
      <c r="L15" s="37" t="n"/>
      <c r="M15" s="36" t="n"/>
      <c r="N15" s="17" t="n"/>
      <c r="O15" s="70" t="inlineStr">
        <is>
          <t>Tušti indai svorio kontrolei (mIt3)</t>
        </is>
      </c>
    </row>
    <row r="16">
      <c r="A16" s="22" t="n"/>
      <c r="B16" s="19" t="n"/>
      <c r="C16" s="13" t="n"/>
      <c r="D16" s="19" t="n"/>
      <c r="E16" s="13" t="n"/>
      <c r="F16" s="13" t="n"/>
      <c r="G16" s="13" t="n"/>
      <c r="H16" s="19" t="n"/>
      <c r="I16" s="19" t="n"/>
      <c r="J16" s="13" t="n"/>
      <c r="K16" s="13" t="n"/>
      <c r="L16" s="13" t="n"/>
      <c r="M16" s="36" t="n"/>
      <c r="N16" s="19" t="n"/>
      <c r="O16" s="70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2E37D55A-15C8-4903-A8FD-EE2F5DBC632A}"/>
</file>

<file path=customXml/itemProps2.xml><?xml version="1.0" encoding="utf-8"?>
<ds:datastoreItem xmlns:ds="http://schemas.openxmlformats.org/officeDocument/2006/customXml" ds:itemID="{3937C6DD-134E-4BCD-9F41-E129244DFC87}"/>
</file>

<file path=customXml/itemProps3.xml><?xml version="1.0" encoding="utf-8"?>
<ds:datastoreItem xmlns:ds="http://schemas.openxmlformats.org/officeDocument/2006/customXml" ds:itemID="{5BFE8EC0-DB58-4BAD-84D0-3A9E4C6B158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2026-03-23T11:10:41Z</dcterms:created>
  <dcterms:modified xsi:type="dcterms:W3CDTF">2026-03-23T11:11:09Z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0x010100BAB57CF81AE55C4698AAD22D302297F0</vt:lpwstr>
  </property>
</Properties>
</file>