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agentura2020.sharepoint.com/sites/VidurioLietuvosaplinkostyrimuskyrius/Bendrai naudojami dokumentai/EB7-014 Darbuotojų failai/Tomo/Python 3.14.3/Skaiciavimai/"/>
    </mc:Choice>
  </mc:AlternateContent>
  <xr:revisionPtr revIDLastSave="0" documentId="11_7D58BCCD5E15270D042A38295CF74E925CF1E68E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Greitis" sheetId="1" r:id="rId1"/>
    <sheet name="H2O" sheetId="2" r:id="rId2"/>
    <sheet name="Paėmimas" sheetId="3" r:id="rId3"/>
    <sheet name="Aerodinamika" sheetId="4" r:id="rId4"/>
    <sheet name="Koncentracija" sheetId="5" r:id="rId5"/>
    <sheet name="Svėrimas" sheetId="6" r:id="rId6"/>
    <sheet name="Koncentracijos ribinės vertė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4" l="1"/>
  <c r="D10" i="4"/>
  <c r="D9" i="4"/>
  <c r="N24" i="3"/>
  <c r="M24" i="3"/>
  <c r="L23" i="3"/>
  <c r="D23" i="4" s="1"/>
  <c r="E23" i="4" s="1"/>
  <c r="I23" i="3"/>
  <c r="H23" i="3"/>
  <c r="L22" i="3"/>
  <c r="D22" i="4" s="1"/>
  <c r="E22" i="4" s="1"/>
  <c r="H22" i="3"/>
  <c r="L21" i="3"/>
  <c r="D21" i="4" s="1"/>
  <c r="F21" i="3"/>
  <c r="L20" i="3"/>
  <c r="D20" i="4" s="1"/>
  <c r="Q19" i="3"/>
  <c r="L19" i="3"/>
  <c r="D19" i="4" s="1"/>
  <c r="P18" i="3"/>
  <c r="L18" i="3"/>
  <c r="P17" i="3"/>
  <c r="L17" i="3"/>
  <c r="D17" i="4" s="1"/>
  <c r="D17" i="3"/>
  <c r="N13" i="3"/>
  <c r="N27" i="3" s="1"/>
  <c r="M13" i="3"/>
  <c r="M27" i="3" s="1"/>
  <c r="L12" i="3"/>
  <c r="D12" i="4" s="1"/>
  <c r="F12" i="3"/>
  <c r="L11" i="3"/>
  <c r="D11" i="4" s="1"/>
  <c r="Q10" i="3"/>
  <c r="L10" i="3"/>
  <c r="V9" i="3"/>
  <c r="F22" i="3" s="1"/>
  <c r="U9" i="3"/>
  <c r="Q20" i="3" s="1"/>
  <c r="T9" i="3"/>
  <c r="P19" i="3" s="1"/>
  <c r="L9" i="3"/>
  <c r="F9" i="3"/>
  <c r="L8" i="3"/>
  <c r="D8" i="4" s="1"/>
  <c r="Q7" i="3"/>
  <c r="G7" i="4" s="1"/>
  <c r="P7" i="3"/>
  <c r="L7" i="3"/>
  <c r="D7" i="4" s="1"/>
  <c r="P6" i="3"/>
  <c r="L6" i="3"/>
  <c r="L13" i="3" s="1"/>
  <c r="I6" i="3"/>
  <c r="I17" i="3" s="1"/>
  <c r="H6" i="3"/>
  <c r="H17" i="3" s="1"/>
  <c r="G7" i="2"/>
  <c r="H7" i="2" s="1"/>
  <c r="K12" i="1"/>
  <c r="H12" i="1"/>
  <c r="K11" i="1"/>
  <c r="K10" i="1"/>
  <c r="K9" i="1"/>
  <c r="K8" i="1"/>
  <c r="T7" i="1"/>
  <c r="K7" i="1"/>
  <c r="H7" i="1"/>
  <c r="T6" i="1"/>
  <c r="Q6" i="1"/>
  <c r="E6" i="3" s="1"/>
  <c r="E17" i="3" s="1"/>
  <c r="K6" i="1"/>
  <c r="H6" i="1"/>
  <c r="G19" i="4" l="1"/>
  <c r="E7" i="4"/>
  <c r="U6" i="1"/>
  <c r="E17" i="4"/>
  <c r="E9" i="4"/>
  <c r="G10" i="4"/>
  <c r="E10" i="4"/>
  <c r="W6" i="1"/>
  <c r="W7" i="1"/>
  <c r="U7" i="1" s="1"/>
  <c r="E18" i="4"/>
  <c r="Q18" i="3"/>
  <c r="G18" i="4" s="1"/>
  <c r="H9" i="1"/>
  <c r="F7" i="3"/>
  <c r="H9" i="3"/>
  <c r="F10" i="3"/>
  <c r="H12" i="3"/>
  <c r="E12" i="4" s="1"/>
  <c r="Q17" i="3"/>
  <c r="G17" i="4" s="1"/>
  <c r="F19" i="3"/>
  <c r="H21" i="3"/>
  <c r="E21" i="4" s="1"/>
  <c r="I22" i="3"/>
  <c r="D6" i="4"/>
  <c r="E6" i="4" s="1"/>
  <c r="Q6" i="3"/>
  <c r="G6" i="4" s="1"/>
  <c r="F6" i="3"/>
  <c r="H8" i="3"/>
  <c r="E8" i="4" s="1"/>
  <c r="I9" i="3"/>
  <c r="H11" i="3"/>
  <c r="E11" i="4" s="1"/>
  <c r="I12" i="3"/>
  <c r="F18" i="3"/>
  <c r="H20" i="3"/>
  <c r="E20" i="4" s="1"/>
  <c r="I21" i="3"/>
  <c r="P23" i="3"/>
  <c r="F11" i="3"/>
  <c r="H11" i="1"/>
  <c r="H7" i="3"/>
  <c r="I8" i="3"/>
  <c r="H10" i="3"/>
  <c r="I11" i="3"/>
  <c r="F17" i="3"/>
  <c r="H19" i="3"/>
  <c r="E19" i="4" s="1"/>
  <c r="I20" i="3"/>
  <c r="P22" i="3"/>
  <c r="Q23" i="3"/>
  <c r="F8" i="3"/>
  <c r="F20" i="3"/>
  <c r="H8" i="1"/>
  <c r="I7" i="3"/>
  <c r="P9" i="3"/>
  <c r="I10" i="3"/>
  <c r="P12" i="3"/>
  <c r="H18" i="3"/>
  <c r="I19" i="3"/>
  <c r="P21" i="3"/>
  <c r="Q22" i="3"/>
  <c r="G22" i="4" s="1"/>
  <c r="L24" i="3"/>
  <c r="P8" i="3"/>
  <c r="Q9" i="3"/>
  <c r="G9" i="4" s="1"/>
  <c r="P11" i="3"/>
  <c r="Q12" i="3"/>
  <c r="I18" i="3"/>
  <c r="P20" i="3"/>
  <c r="G20" i="4" s="1"/>
  <c r="Q21" i="3"/>
  <c r="G21" i="4" s="1"/>
  <c r="F23" i="3"/>
  <c r="H10" i="1"/>
  <c r="Q8" i="3"/>
  <c r="G8" i="4" s="1"/>
  <c r="P10" i="3"/>
  <c r="Q11" i="3"/>
  <c r="G13" i="4" l="1"/>
  <c r="G11" i="4"/>
  <c r="G12" i="4"/>
  <c r="G23" i="4"/>
  <c r="G24" i="4" s="1"/>
  <c r="F6" i="4"/>
  <c r="F17" i="4"/>
  <c r="G27" i="4" l="1"/>
  <c r="F24" i="4"/>
  <c r="AA6" i="1" l="1"/>
  <c r="J7" i="2"/>
  <c r="K7" i="2" s="1"/>
  <c r="H22" i="4" l="1"/>
  <c r="I22" i="4" s="1"/>
  <c r="J22" i="4" s="1"/>
  <c r="H23" i="4"/>
  <c r="I23" i="4" s="1"/>
  <c r="J23" i="4" s="1"/>
  <c r="H7" i="4"/>
  <c r="I7" i="4" s="1"/>
  <c r="J7" i="4" s="1"/>
  <c r="H6" i="4"/>
  <c r="I6" i="4" s="1"/>
  <c r="H8" i="4"/>
  <c r="I8" i="4" s="1"/>
  <c r="J8" i="4" s="1"/>
  <c r="H20" i="4"/>
  <c r="I20" i="4" s="1"/>
  <c r="J20" i="4" s="1"/>
  <c r="H9" i="4"/>
  <c r="I9" i="4" s="1"/>
  <c r="J9" i="4" s="1"/>
  <c r="H18" i="4"/>
  <c r="I18" i="4" s="1"/>
  <c r="J18" i="4" s="1"/>
  <c r="H17" i="4"/>
  <c r="I17" i="4" s="1"/>
  <c r="H10" i="4"/>
  <c r="I10" i="4" s="1"/>
  <c r="J10" i="4" s="1"/>
  <c r="H12" i="4"/>
  <c r="I12" i="4" s="1"/>
  <c r="J12" i="4" s="1"/>
  <c r="H19" i="4"/>
  <c r="I19" i="4" s="1"/>
  <c r="J19" i="4" s="1"/>
  <c r="H11" i="4"/>
  <c r="I11" i="4" s="1"/>
  <c r="J11" i="4" s="1"/>
  <c r="H21" i="4"/>
  <c r="I21" i="4" s="1"/>
  <c r="J21" i="4" s="1"/>
  <c r="L8" i="1"/>
  <c r="L10" i="1"/>
  <c r="L11" i="1"/>
  <c r="L9" i="1"/>
  <c r="L12" i="1"/>
  <c r="L7" i="1"/>
  <c r="L6" i="1"/>
  <c r="M10" i="1" l="1"/>
  <c r="G10" i="3" s="1"/>
  <c r="N10" i="1"/>
  <c r="G21" i="3" s="1"/>
  <c r="I13" i="4"/>
  <c r="J6" i="4"/>
  <c r="K18" i="4"/>
  <c r="K11" i="4"/>
  <c r="N7" i="1"/>
  <c r="G18" i="3" s="1"/>
  <c r="M7" i="1"/>
  <c r="G7" i="3" s="1"/>
  <c r="N12" i="1"/>
  <c r="G23" i="3" s="1"/>
  <c r="K23" i="4" s="1"/>
  <c r="M12" i="1"/>
  <c r="G12" i="3" s="1"/>
  <c r="K12" i="4"/>
  <c r="K7" i="4"/>
  <c r="K21" i="4"/>
  <c r="K10" i="4"/>
  <c r="M8" i="1"/>
  <c r="G8" i="3" s="1"/>
  <c r="K8" i="4" s="1"/>
  <c r="N8" i="1"/>
  <c r="G19" i="3" s="1"/>
  <c r="K19" i="4" s="1"/>
  <c r="M6" i="1"/>
  <c r="N6" i="1"/>
  <c r="G17" i="3" s="1"/>
  <c r="N9" i="1"/>
  <c r="G20" i="3" s="1"/>
  <c r="K20" i="4" s="1"/>
  <c r="M9" i="1"/>
  <c r="G9" i="3" s="1"/>
  <c r="K9" i="4" s="1"/>
  <c r="N11" i="1"/>
  <c r="G22" i="3" s="1"/>
  <c r="M11" i="1"/>
  <c r="G11" i="3" s="1"/>
  <c r="J17" i="4"/>
  <c r="I24" i="4"/>
  <c r="K22" i="4"/>
  <c r="I27" i="4" l="1"/>
  <c r="O6" i="1"/>
  <c r="G6" i="3"/>
  <c r="K6" i="4"/>
  <c r="L6" i="4" s="1"/>
  <c r="L24" i="4" s="1"/>
  <c r="K17" i="4"/>
  <c r="L17" i="4" s="1"/>
  <c r="R6" i="1" l="1"/>
  <c r="S6" i="1" s="1"/>
  <c r="V6" i="1" s="1"/>
  <c r="Y6" i="1" s="1"/>
  <c r="Z6" i="1"/>
  <c r="R7" i="1"/>
  <c r="S7" i="1" s="1"/>
  <c r="V7" i="1" s="1"/>
  <c r="Y7" i="1" s="1"/>
  <c r="Z7" i="1"/>
</calcChain>
</file>

<file path=xl/sharedStrings.xml><?xml version="1.0" encoding="utf-8"?>
<sst xmlns="http://schemas.openxmlformats.org/spreadsheetml/2006/main" count="184" uniqueCount="132">
  <si>
    <t>Debitas pagal matuotą diferencinį slėgį</t>
  </si>
  <si>
    <t>Matavimo data</t>
  </si>
  <si>
    <t>Ėminių registracijos Nr. T-107-2026-E-</t>
  </si>
  <si>
    <t>Objekto pavadinimas, adresas, taršos šaltinio Nr.</t>
  </si>
  <si>
    <t>Matavimo taškai ortakyje nuo vidinės sienelės, cm</t>
  </si>
  <si>
    <t>Išmatuotas diferencinis slėgis taškuose 1 linija, Pdi, hPa</t>
  </si>
  <si>
    <t>Išmatuotas diferencinis slėgis taškuose 2 linija, Pdi, hPa</t>
  </si>
  <si>
    <t>Pito vamzdelio koeficientas, K</t>
  </si>
  <si>
    <t>Temperatūra ortakyje t, oC</t>
  </si>
  <si>
    <t>Atmosferinis slėgis P, hPa</t>
  </si>
  <si>
    <t>Statinis slėgis ortakyje ± ΔP, hPa</t>
  </si>
  <si>
    <t>Dujų slėgis kamine Pk= P+ ΔP, hPa</t>
  </si>
  <si>
    <t>Dujų mol. masė Ms= qn *22.4, kg/</t>
  </si>
  <si>
    <t>Dujų srauto greitis matavimo taškuose, 1 linija, wi = K*129 *√t *√Pdi/ √Pk/√Ms, m/s</t>
  </si>
  <si>
    <t>Dujų srauto greitis matavimo taškuose, 2 linija, wi = K*129 *√t *√Pdi/ √Pk/√Ms, m/s</t>
  </si>
  <si>
    <t>Vidutinis dujų srauto greitis ortakyje w, m/s</t>
  </si>
  <si>
    <t>Ortakio diametras, matmenys, m</t>
  </si>
  <si>
    <t>Ortakio skerspjūvio plotas F, m2</t>
  </si>
  <si>
    <t>Dujų tūrio debitas realiomis sąlygomis Vk = wvid × F, m3/s</t>
  </si>
  <si>
    <t>Dujų tūrio debitas normaliosiomis sąlygomis Vdr n.s =Vk *0,269*(P±ΔP)/(273+t), m3/s</t>
  </si>
  <si>
    <t>Vandens kondensato masė m H2O, kg</t>
  </si>
  <si>
    <t>Vandens garų konc. dujose x=mH2O/Vmn*qn, kg/kg</t>
  </si>
  <si>
    <t>Sausų dujų tūrio debitas normaliosiomis sąlygomis Vn= Vdr n.s *((1/(1+(x*qn/0.8038)))</t>
  </si>
  <si>
    <t>Prasiurbtas dujų tūris normaliosiomis sąlygomis Vmn, Nm3</t>
  </si>
  <si>
    <t>Išplėstinės neapibrėžties koef. A</t>
  </si>
  <si>
    <t>Išplėstinė neapibrėžtis (dujų tūrio debitas) Uv</t>
  </si>
  <si>
    <t>Išplėstinė neapibrėžtis (dujų srauto greitis) Uw</t>
  </si>
  <si>
    <t>Sausų dujų tankis normaliosioms sąlygomis qn, (kg/m3)</t>
  </si>
  <si>
    <t>Skaičiavimus atliko (inicialai, data)</t>
  </si>
  <si>
    <t>2026-02-10</t>
  </si>
  <si>
    <t>UAB "Ekopartneris", L. Ivinskio  g. 65, Kaunas. Katilinė. Taršos šaltinis Nr. 001</t>
  </si>
  <si>
    <t>1,20</t>
  </si>
  <si>
    <t>S. Č., 2026-02-10</t>
  </si>
  <si>
    <t>RPU***</t>
  </si>
  <si>
    <t>Kai bus 2 linijos, RPU*** yra 2 linijos vidurinis taškas</t>
  </si>
  <si>
    <t>Skaičiuoklė kietųjų dalelių koncentracijai nustatyti. H2O skaičiavimas</t>
  </si>
  <si>
    <t>Ėminių ėmimo laikas t, min.</t>
  </si>
  <si>
    <t>Paėmimo greitis, l/min</t>
  </si>
  <si>
    <t>Atmosferinis slėgis, hPa</t>
  </si>
  <si>
    <t>Išretėjimas, -hPa</t>
  </si>
  <si>
    <t>Temperatūra prie aspiratoriaus, Vtr oC</t>
  </si>
  <si>
    <t>Dujų tūris normaliomis sąlygomis, Vn l.</t>
  </si>
  <si>
    <t>Sausų dujų tankis normaliosioms sąlygomis qn (kg/m3)</t>
  </si>
  <si>
    <t>Drėgmės kiekis X (%) (izokinetinei sistemai)</t>
  </si>
  <si>
    <t>Pastabos</t>
  </si>
  <si>
    <t>TŠ 001 H2O</t>
  </si>
  <si>
    <t>Skaičiuoklė kietųjų dalelių koncentracijai nustatyti. Pradinių duomenų nustatymas</t>
  </si>
  <si>
    <t>Ortakio skersmuo d, m</t>
  </si>
  <si>
    <t>Skerspjūvio plotas A (m2)</t>
  </si>
  <si>
    <t>Temperatūra ortakyje tor (°C)</t>
  </si>
  <si>
    <t>Srauto greitis ortakyje wor (m/s)</t>
  </si>
  <si>
    <t>Atmosferinis slėgis P (hPa)</t>
  </si>
  <si>
    <t>Statinis slėgis ortakyje ΔPor (hPa)</t>
  </si>
  <si>
    <t>Slėgis prieš rotametrą ΔPr (±hPa)</t>
  </si>
  <si>
    <t>Antgalio diametras da (mm)</t>
  </si>
  <si>
    <t>Prasiurbtas dujų tūris Vm (m3)</t>
  </si>
  <si>
    <t>Siurbimo laikas t (min)</t>
  </si>
  <si>
    <t>Siurbimo greitis Vo (l/min)</t>
  </si>
  <si>
    <t>Siurbiamų dujų temperatūra prieš rotametrą tr (°C)</t>
  </si>
  <si>
    <t>O2iš (%) (ore 21 %)</t>
  </si>
  <si>
    <t>CO2iš (%) (ore 0,04 %)</t>
  </si>
  <si>
    <t>Darbuotojo inicialai, data</t>
  </si>
  <si>
    <t>Išmatuota O2 koncentracija (%)</t>
  </si>
  <si>
    <t>Išmatuota CO2 koncentracija (%)</t>
  </si>
  <si>
    <t>Išmatuotas diferencinis slėgis taškuose, Pdi, hPa</t>
  </si>
  <si>
    <t>Izokinetiškumas (0,95-1,15)</t>
  </si>
  <si>
    <t>1 filtras, 1 linija</t>
  </si>
  <si>
    <t>O2iš, (%) vidurkis</t>
  </si>
  <si>
    <t>CO2iš, (%) vidurkis</t>
  </si>
  <si>
    <t xml:space="preserve"> tor vidurkis, °C</t>
  </si>
  <si>
    <t>Suma Vm, m3</t>
  </si>
  <si>
    <t>Suma t, min</t>
  </si>
  <si>
    <t>Vidurkis Vo (l/min)</t>
  </si>
  <si>
    <t>1 filtras, 2 linija</t>
  </si>
  <si>
    <t>Viso suma t, min</t>
  </si>
  <si>
    <t xml:space="preserve">Vidurkių vidurkis Vo vid (l/min) </t>
  </si>
  <si>
    <t>Skaičiuoklė kietųjų dalelių koncentracijai nustatyti. Izokinetiškumo nustatymas</t>
  </si>
  <si>
    <t>Prasiurbtas dujų tūris normaliosiomis sąlygomis Vmn (Nm3)</t>
  </si>
  <si>
    <t>Prasiurbto dujų tūrio normaliosiomis sąlygomis suma Vmn(sum) (Nm3)</t>
  </si>
  <si>
    <t>Drėgmės kiekis X (%)</t>
  </si>
  <si>
    <t>Pratrauktas drėgnų dujų tūris realiomis sąlygomis Vmk (m3)</t>
  </si>
  <si>
    <t>Dujų srauto greitis antgalyje v antg. (m/s)</t>
  </si>
  <si>
    <t>Izokinetiškumo vidurkis (0,95-1,15)</t>
  </si>
  <si>
    <t>Skaičiavimus atlikusio asmens inicialai, data</t>
  </si>
  <si>
    <t>1 linija, 1 filtras</t>
  </si>
  <si>
    <t>Vidurkis qn, (kg/m3)</t>
  </si>
  <si>
    <t>Suma Vmk (m3)</t>
  </si>
  <si>
    <t>2 linijos, 1 filtras</t>
  </si>
  <si>
    <t>Viso suma Vmn(sum), Nm3.</t>
  </si>
  <si>
    <t>Izokinetiškumo vidurkių vidurkis</t>
  </si>
  <si>
    <t>Vidurkių vidurkis qn, (kg/m3)</t>
  </si>
  <si>
    <t>Viso suma Vmk(sum), m3.</t>
  </si>
  <si>
    <t>Skaičiuoklė kietųjų dalelių koncentracijai nustatyti. Kietųjų dalelių koncentracijos nustatymas</t>
  </si>
  <si>
    <t>Filtro Nr.</t>
  </si>
  <si>
    <t>Filtro svoris prieš KD ėmimą mpr (g)</t>
  </si>
  <si>
    <t>Filtro svoris po KD ėmimo mpo (g)</t>
  </si>
  <si>
    <t>Tuščiojo ėminio KD svoris mt (g)</t>
  </si>
  <si>
    <t>Nuosėdų kiekis mn (g)</t>
  </si>
  <si>
    <t>Indų svorių pokytis mIt (g)</t>
  </si>
  <si>
    <t>Sausų dujų tūris n.s. Vmn (Nm3)</t>
  </si>
  <si>
    <t>Kietų dalelių koncentracija c1 (neįvert. O2) (mg/Nm3)</t>
  </si>
  <si>
    <t>Tuščiojo filtro vertė mft (mg/m3) (&lt; 2 mg/m3)</t>
  </si>
  <si>
    <t>Surinktų dulkių ir tuščiojo ėminio santykis mFtk (&gt;5)</t>
  </si>
  <si>
    <t>Filtrų skaičius Fsk (vnt.)</t>
  </si>
  <si>
    <t>Skaičiuoklė kietųjų dalelių koncentracijai nustatyti. Svėrimas</t>
  </si>
  <si>
    <t>Filtro/ indo Nr.</t>
  </si>
  <si>
    <t>Tuščio filtro/indo svėrimo data</t>
  </si>
  <si>
    <t>Filtro/indo svoris prieš KD ėmimą mpr (g)</t>
  </si>
  <si>
    <t>Atsakingo asmens inicialai, data</t>
  </si>
  <si>
    <t>Filtro/indo su ėminiu svėrimo data</t>
  </si>
  <si>
    <t>Filtro/indo svoris po KD ėmimo mpo (g)</t>
  </si>
  <si>
    <t>Kietųjų dalelių svoris mf/Svorių pokytis (g) (&lt;2,00 g filtro talpumas)</t>
  </si>
  <si>
    <t>1</t>
  </si>
  <si>
    <t>2</t>
  </si>
  <si>
    <t>3</t>
  </si>
  <si>
    <t>Tuščiasis ėminys (mt)</t>
  </si>
  <si>
    <t>41</t>
  </si>
  <si>
    <t>Išplautos nuosėdos (mn)</t>
  </si>
  <si>
    <t>00</t>
  </si>
  <si>
    <t>Išvalytos ėminių sistemos tuščiasis ėminys (mIt)</t>
  </si>
  <si>
    <t>01</t>
  </si>
  <si>
    <t>Tušti indai svorio kontrolei (mIt1)</t>
  </si>
  <si>
    <t>02</t>
  </si>
  <si>
    <t>Tušti indai svorio kontrolei (mIt2)</t>
  </si>
  <si>
    <t>03</t>
  </si>
  <si>
    <t>Tušti indai svorio kontrolei (mIt3)</t>
  </si>
  <si>
    <t>Tuščių indų ir išvalytos ėminių sistemos tuščiojo ėminio svorio pokytis (mItp)</t>
  </si>
  <si>
    <t>Patikrinimas, ar planuojamas surinkti dulkių kiekis suderinamas su tuščiojo ėminio verte ir ar filtras nebus per daug apkrautas</t>
  </si>
  <si>
    <t>Planuojama surinkti dulkių masė m, g (&lt;2,20 g)</t>
  </si>
  <si>
    <t>Mažiausia ėminio ėmimo trukmė t, 30 min</t>
  </si>
  <si>
    <t>Tikėtina dulkių koncentracija cexs, mg/Nm3;</t>
  </si>
  <si>
    <t>Planuojamas dujų tūrio siurbimo greitis matavimo metu ortakio sąlygomis Vo, l/min.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</si>
</sst>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2" fontId="0" fillId="2" borderId="1" xfId="0" applyNumberForma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/>
    </xf>
    <xf numFmtId="166" fontId="0" fillId="3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166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4" borderId="1" xfId="0" applyFill="1" applyBorder="1"/>
    <xf numFmtId="0" fontId="0" fillId="0" borderId="10" xfId="0" applyBorder="1"/>
    <xf numFmtId="0" fontId="3" fillId="0" borderId="10" xfId="0" applyFont="1" applyBorder="1" applyAlignment="1">
      <alignment horizontal="center" vertical="center"/>
    </xf>
    <xf numFmtId="1" fontId="2" fillId="2" borderId="10" xfId="0" applyNumberFormat="1" applyFont="1" applyFill="1" applyBorder="1" applyAlignment="1">
      <alignment horizontal="center" vertical="center"/>
    </xf>
    <xf numFmtId="1" fontId="2" fillId="3" borderId="10" xfId="0" applyNumberFormat="1" applyFont="1" applyFill="1" applyBorder="1" applyAlignment="1">
      <alignment horizontal="center" vertical="center"/>
    </xf>
    <xf numFmtId="166" fontId="2" fillId="2" borderId="10" xfId="0" applyNumberFormat="1" applyFont="1" applyFill="1" applyBorder="1" applyAlignment="1">
      <alignment horizontal="center" vertical="center"/>
    </xf>
    <xf numFmtId="2" fontId="2" fillId="4" borderId="10" xfId="0" applyNumberFormat="1" applyFont="1" applyFill="1" applyBorder="1" applyAlignment="1">
      <alignment horizontal="center" vertical="center"/>
    </xf>
    <xf numFmtId="167" fontId="2" fillId="4" borderId="10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2" fontId="2" fillId="3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3" borderId="7" xfId="0" applyFill="1" applyBorder="1" applyAlignment="1">
      <alignment horizontal="center" vertical="top" wrapText="1"/>
    </xf>
    <xf numFmtId="0" fontId="0" fillId="2" borderId="7" xfId="0" applyFill="1" applyBorder="1" applyAlignment="1">
      <alignment horizontal="center" vertical="center" wrapText="1"/>
    </xf>
    <xf numFmtId="165" fontId="0" fillId="2" borderId="7" xfId="0" applyNumberForma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6" fontId="0" fillId="2" borderId="1" xfId="0" applyNumberForma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/>
    <xf numFmtId="2" fontId="0" fillId="2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0" fontId="0" fillId="3" borderId="1" xfId="0" applyFill="1" applyBorder="1"/>
    <xf numFmtId="166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 vertical="center" wrapText="1"/>
    </xf>
    <xf numFmtId="165" fontId="0" fillId="3" borderId="7" xfId="0" applyNumberForma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/>
    </xf>
    <xf numFmtId="167" fontId="0" fillId="4" borderId="1" xfId="0" applyNumberFormat="1" applyFill="1" applyBorder="1" applyAlignment="1">
      <alignment horizontal="center"/>
    </xf>
    <xf numFmtId="167" fontId="0" fillId="4" borderId="7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 vertical="center"/>
    </xf>
    <xf numFmtId="2" fontId="0" fillId="4" borderId="7" xfId="0" applyNumberForma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167" fontId="3" fillId="4" borderId="1" xfId="0" applyNumberFormat="1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top" wrapText="1"/>
    </xf>
    <xf numFmtId="0" fontId="0" fillId="3" borderId="10" xfId="0" applyFill="1" applyBorder="1"/>
    <xf numFmtId="0" fontId="0" fillId="4" borderId="10" xfId="0" applyFill="1" applyBorder="1"/>
    <xf numFmtId="0" fontId="0" fillId="3" borderId="11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0" xfId="0" applyFill="1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0" fillId="3" borderId="7" xfId="0" applyFill="1" applyBorder="1"/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1" xfId="0" applyBorder="1" applyAlignment="1">
      <alignment horizontal="center" vertical="top" wrapText="1"/>
    </xf>
    <xf numFmtId="0" fontId="0" fillId="0" borderId="3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" xfId="0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top" wrapText="1"/>
    </xf>
    <xf numFmtId="0" fontId="0" fillId="0" borderId="8" xfId="0" applyBorder="1"/>
    <xf numFmtId="0" fontId="0" fillId="0" borderId="9" xfId="0" applyBorder="1"/>
  </cellXfs>
  <cellStyles count="1">
    <cellStyle name="Įprastas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B14"/>
  <sheetViews>
    <sheetView workbookViewId="0"/>
  </sheetViews>
  <sheetFormatPr defaultRowHeight="14.5" x14ac:dyDescent="0.35"/>
  <cols>
    <col min="1" max="28" width="15" customWidth="1"/>
  </cols>
  <sheetData>
    <row r="3" spans="1:28" ht="15.5" x14ac:dyDescent="0.35">
      <c r="A3" s="86" t="s">
        <v>0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</row>
    <row r="5" spans="1:28" ht="130" customHeight="1" x14ac:dyDescent="0.35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  <c r="Q5" s="1" t="s">
        <v>17</v>
      </c>
      <c r="R5" s="1" t="s">
        <v>18</v>
      </c>
      <c r="S5" s="1" t="s">
        <v>19</v>
      </c>
      <c r="T5" s="1" t="s">
        <v>20</v>
      </c>
      <c r="U5" s="1" t="s">
        <v>21</v>
      </c>
      <c r="V5" s="1" t="s">
        <v>22</v>
      </c>
      <c r="W5" s="1" t="s">
        <v>23</v>
      </c>
      <c r="X5" s="1" t="s">
        <v>24</v>
      </c>
      <c r="Y5" s="1" t="s">
        <v>25</v>
      </c>
      <c r="Z5" s="1" t="s">
        <v>26</v>
      </c>
      <c r="AA5" s="1" t="s">
        <v>27</v>
      </c>
      <c r="AB5" s="1" t="s">
        <v>28</v>
      </c>
    </row>
    <row r="6" spans="1:28" x14ac:dyDescent="0.35">
      <c r="A6" s="84" t="s">
        <v>29</v>
      </c>
      <c r="B6" s="84">
        <v>5</v>
      </c>
      <c r="C6" s="84" t="s">
        <v>30</v>
      </c>
      <c r="D6" s="5">
        <v>5</v>
      </c>
      <c r="E6" s="11">
        <v>0.73</v>
      </c>
      <c r="F6" s="11">
        <v>0.61</v>
      </c>
      <c r="G6" s="12">
        <v>0.82699999999999996</v>
      </c>
      <c r="H6" s="13">
        <f>Paėmimas!$V$9</f>
        <v>63.033333333333339</v>
      </c>
      <c r="I6" s="14">
        <v>1012</v>
      </c>
      <c r="J6" s="14">
        <v>0.35</v>
      </c>
      <c r="K6" s="15">
        <f t="shared" ref="K6:K12" si="0">I6+J6</f>
        <v>1012.35</v>
      </c>
      <c r="L6" s="16">
        <f>AA6*22.4</f>
        <v>29.52251008</v>
      </c>
      <c r="M6" s="17">
        <f>G6*129*(SQRT(E6*(273+H6)/(I6+J6)/L6))</f>
        <v>9.6650887553236231</v>
      </c>
      <c r="N6" s="17">
        <f>G6*129*(SQRT(F6*(273+H6)/(I6+J6)/L6))</f>
        <v>8.8350565576759319</v>
      </c>
      <c r="O6" s="17">
        <f>AVERAGE(M6,M7,M8,M9,M10,M11,M12,N6,N7,N8,N9,N10,N11,N12)</f>
        <v>10.098211086686707</v>
      </c>
      <c r="P6" s="18" t="s">
        <v>31</v>
      </c>
      <c r="Q6" s="19">
        <f>(P6^2*3.14)/4</f>
        <v>1.1304000000000001</v>
      </c>
      <c r="R6" s="20">
        <f>$O$6*Q6</f>
        <v>11.415017812390653</v>
      </c>
      <c r="S6" s="20">
        <f>R6*0.269*($I$6+$J$6)/(273+$H$6)</f>
        <v>9.2507554596523747</v>
      </c>
      <c r="T6" s="21">
        <f>H2O!I7</f>
        <v>1.4999999999999999E-2</v>
      </c>
      <c r="U6" s="16">
        <f>T6/(1.29*W6)</f>
        <v>0.12493956371121842</v>
      </c>
      <c r="V6" s="20">
        <f>S6*(1/(1+(U6*1.29/0.8038)))</f>
        <v>7.7056712028060383</v>
      </c>
      <c r="W6" s="22">
        <f>H2O!H7</f>
        <v>9.3068253412670637E-2</v>
      </c>
      <c r="X6" s="12">
        <v>7.9000000000000001E-2</v>
      </c>
      <c r="Y6" s="20">
        <f>V6*$X$6</f>
        <v>0.60874802502167702</v>
      </c>
      <c r="Z6" s="17">
        <f>$O$6*X6</f>
        <v>0.79775867584824989</v>
      </c>
      <c r="AA6" s="23">
        <f>Aerodinamika!G27</f>
        <v>1.3179692000000001</v>
      </c>
      <c r="AB6" s="82" t="s">
        <v>32</v>
      </c>
    </row>
    <row r="7" spans="1:28" x14ac:dyDescent="0.35">
      <c r="A7" s="85"/>
      <c r="B7" s="85"/>
      <c r="C7" s="85"/>
      <c r="D7" s="5">
        <v>16</v>
      </c>
      <c r="E7" s="11">
        <v>0.87</v>
      </c>
      <c r="F7" s="11">
        <v>0.76</v>
      </c>
      <c r="G7" s="21">
        <v>0.82699999999999996</v>
      </c>
      <c r="H7" s="13">
        <f>Paėmimas!$V$9</f>
        <v>63.033333333333339</v>
      </c>
      <c r="I7" s="24">
        <v>1012</v>
      </c>
      <c r="J7" s="24">
        <v>0.35</v>
      </c>
      <c r="K7" s="15">
        <f t="shared" si="0"/>
        <v>1012.35</v>
      </c>
      <c r="L7" s="16">
        <f>AA6*22.4</f>
        <v>29.52251008</v>
      </c>
      <c r="M7" s="17">
        <f>G6*129*(SQRT(E7*(273+H7)/(I7+J7)/L7))</f>
        <v>10.551253146635817</v>
      </c>
      <c r="N7" s="17">
        <f>G6*129*(SQRT(F7*(273+H7)/(I7+J7)/L7))</f>
        <v>9.8616869609626541</v>
      </c>
      <c r="O7" s="4"/>
      <c r="P7" s="25"/>
      <c r="Q7" s="26"/>
      <c r="R7" s="20">
        <f>$O$6*Q7</f>
        <v>0</v>
      </c>
      <c r="S7" s="20">
        <f>R7*0.269*($I$6+$J$6)/(273+$H$6)</f>
        <v>0</v>
      </c>
      <c r="T7" s="21">
        <f>H2O!I7</f>
        <v>1.4999999999999999E-2</v>
      </c>
      <c r="U7" s="16">
        <f>T7/(1.29*W7)</f>
        <v>0.12493956371121842</v>
      </c>
      <c r="V7" s="20">
        <f>S7*(1/(1+(U7*1.29/0.8038)))</f>
        <v>0</v>
      </c>
      <c r="W7" s="22">
        <f>H2O!H7</f>
        <v>9.3068253412670637E-2</v>
      </c>
      <c r="X7" s="12">
        <v>7.9000000000000001E-2</v>
      </c>
      <c r="Y7" s="20">
        <f>V7*$X$6</f>
        <v>0</v>
      </c>
      <c r="Z7" s="17">
        <f>$O$6*X7</f>
        <v>0.79775867584824989</v>
      </c>
      <c r="AB7" s="83"/>
    </row>
    <row r="8" spans="1:28" x14ac:dyDescent="0.35">
      <c r="A8" s="85"/>
      <c r="B8" s="85"/>
      <c r="C8" s="85"/>
      <c r="D8" s="5">
        <v>31</v>
      </c>
      <c r="E8" s="11">
        <v>0.94</v>
      </c>
      <c r="F8" s="11">
        <v>0.78</v>
      </c>
      <c r="G8" s="21">
        <v>0.82699999999999996</v>
      </c>
      <c r="H8" s="13">
        <f>Paėmimas!$V$9</f>
        <v>63.033333333333339</v>
      </c>
      <c r="I8" s="24">
        <v>1012</v>
      </c>
      <c r="J8" s="24">
        <v>0.35</v>
      </c>
      <c r="K8" s="15">
        <f t="shared" si="0"/>
        <v>1012.35</v>
      </c>
      <c r="L8" s="16">
        <f>AA6*22.4</f>
        <v>29.52251008</v>
      </c>
      <c r="M8" s="17">
        <f>G6*129*(SQRT(E8*(273+H8)/(I8+J8)/L8))</f>
        <v>10.967517682796174</v>
      </c>
      <c r="N8" s="17">
        <f>G6*129*(SQRT(F8*(273+H8)/(I8+J8)/L8))</f>
        <v>9.9906033732292308</v>
      </c>
      <c r="O8" s="4"/>
      <c r="P8" s="25"/>
      <c r="Q8" s="4"/>
      <c r="R8" s="4"/>
      <c r="S8" s="4"/>
    </row>
    <row r="9" spans="1:28" x14ac:dyDescent="0.35">
      <c r="A9" s="85"/>
      <c r="B9" s="85"/>
      <c r="C9" s="85"/>
      <c r="D9" s="5">
        <v>60</v>
      </c>
      <c r="E9" s="11">
        <v>0.92</v>
      </c>
      <c r="F9" s="11">
        <v>0.87</v>
      </c>
      <c r="G9" s="21">
        <v>0.82699999999999996</v>
      </c>
      <c r="H9" s="13">
        <f>Paėmimas!$V$9</f>
        <v>63.033333333333339</v>
      </c>
      <c r="I9" s="24">
        <v>1012</v>
      </c>
      <c r="J9" s="24">
        <v>0.35</v>
      </c>
      <c r="K9" s="15">
        <f t="shared" si="0"/>
        <v>1012.35</v>
      </c>
      <c r="L9" s="16">
        <f>AA6*22.4</f>
        <v>29.52251008</v>
      </c>
      <c r="M9" s="17">
        <f>G6*129*(SQRT(E9*(273+H9)/(I9+J9)/L9))</f>
        <v>10.850214655816185</v>
      </c>
      <c r="N9" s="17">
        <f>G6*129*(SQRT(F9*(273+H9)/(I9+J9)/L9))</f>
        <v>10.551253146635817</v>
      </c>
      <c r="O9" s="4"/>
      <c r="P9" s="4"/>
      <c r="Q9" s="4"/>
      <c r="R9" s="4"/>
      <c r="S9" s="4"/>
    </row>
    <row r="10" spans="1:28" x14ac:dyDescent="0.35">
      <c r="A10" s="85"/>
      <c r="B10" s="85"/>
      <c r="C10" s="85"/>
      <c r="D10" s="5">
        <v>89</v>
      </c>
      <c r="E10" s="11">
        <v>0.86</v>
      </c>
      <c r="F10" s="11">
        <v>0.82</v>
      </c>
      <c r="G10" s="21">
        <v>0.82699999999999996</v>
      </c>
      <c r="H10" s="13">
        <f>Paėmimas!$V$9</f>
        <v>63.033333333333339</v>
      </c>
      <c r="I10" s="24">
        <v>1012</v>
      </c>
      <c r="J10" s="24">
        <v>0.35</v>
      </c>
      <c r="K10" s="15">
        <f t="shared" si="0"/>
        <v>1012.35</v>
      </c>
      <c r="L10" s="16">
        <f>AA6*22.4</f>
        <v>29.52251008</v>
      </c>
      <c r="M10" s="17">
        <f>G6*129*(SQRT(E10*(273+H10)/(I10+J10)/L10))</f>
        <v>10.490438500930884</v>
      </c>
      <c r="N10" s="17">
        <f>G6*129*(SQRT(F10*(273+H10)/(I10+J10)/L10))</f>
        <v>10.243570073538624</v>
      </c>
    </row>
    <row r="11" spans="1:28" x14ac:dyDescent="0.35">
      <c r="A11" s="85"/>
      <c r="B11" s="85"/>
      <c r="C11" s="85"/>
      <c r="D11" s="5">
        <v>104</v>
      </c>
      <c r="E11" s="11">
        <v>0.77</v>
      </c>
      <c r="F11" s="11">
        <v>0.81</v>
      </c>
      <c r="G11" s="21">
        <v>0.82699999999999996</v>
      </c>
      <c r="H11" s="13">
        <f>Paėmimas!$V$9</f>
        <v>63.033333333333339</v>
      </c>
      <c r="I11" s="24">
        <v>1012</v>
      </c>
      <c r="J11" s="24">
        <v>0.35</v>
      </c>
      <c r="K11" s="15">
        <f t="shared" si="0"/>
        <v>1012.35</v>
      </c>
      <c r="L11" s="16">
        <f>AA6*22.4</f>
        <v>29.52251008</v>
      </c>
      <c r="M11" s="17">
        <f>G6*129*(SQRT(E11*(273+H11)/(I11+J11)/L11))</f>
        <v>9.9263544536048087</v>
      </c>
      <c r="N11" s="17">
        <f>G6*129*(SQRT(F11*(273+H11)/(I11+J11)/L11))</f>
        <v>10.180917681079487</v>
      </c>
    </row>
    <row r="12" spans="1:28" x14ac:dyDescent="0.35">
      <c r="A12" s="83"/>
      <c r="B12" s="83"/>
      <c r="C12" s="83"/>
      <c r="D12" s="5">
        <v>115</v>
      </c>
      <c r="E12" s="11">
        <v>0.7</v>
      </c>
      <c r="F12" s="11">
        <v>0.75</v>
      </c>
      <c r="G12" s="21">
        <v>0.82699999999999996</v>
      </c>
      <c r="H12" s="13">
        <f>Paėmimas!$V$9</f>
        <v>63.033333333333339</v>
      </c>
      <c r="I12" s="24">
        <v>1012</v>
      </c>
      <c r="J12" s="24">
        <v>0.35</v>
      </c>
      <c r="K12" s="15">
        <f t="shared" si="0"/>
        <v>1012.35</v>
      </c>
      <c r="L12" s="16">
        <f>AA6*22.4</f>
        <v>29.52251008</v>
      </c>
      <c r="M12" s="17">
        <f>G6*129*(SQRT(E12*(273+H12)/(I12+J12)/L12))</f>
        <v>9.4644076191035573</v>
      </c>
      <c r="N12" s="17">
        <f>G6*129*(SQRT(F12*(273+H12)/(I12+J12)/L12))</f>
        <v>9.796592606281104</v>
      </c>
    </row>
    <row r="13" spans="1:28" x14ac:dyDescent="0.3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28" x14ac:dyDescent="0.35">
      <c r="A14" s="4"/>
      <c r="B14" s="4"/>
      <c r="C14" s="4"/>
      <c r="D14" s="4" t="s">
        <v>33</v>
      </c>
      <c r="E14" s="79" t="s">
        <v>34</v>
      </c>
      <c r="F14" s="80"/>
      <c r="G14" s="80"/>
      <c r="H14" s="80"/>
      <c r="I14" s="80"/>
      <c r="J14" s="80"/>
      <c r="K14" s="80"/>
      <c r="L14" s="80"/>
      <c r="M14" s="80"/>
      <c r="N14" s="81"/>
    </row>
  </sheetData>
  <mergeCells count="6">
    <mergeCell ref="E14:N14"/>
    <mergeCell ref="AB6:AB7"/>
    <mergeCell ref="C6:C12"/>
    <mergeCell ref="A6:A12"/>
    <mergeCell ref="A3:AB3"/>
    <mergeCell ref="B6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L10"/>
  <sheetViews>
    <sheetView workbookViewId="0"/>
  </sheetViews>
  <sheetFormatPr defaultRowHeight="14.5" x14ac:dyDescent="0.35"/>
  <cols>
    <col min="1" max="12" width="14" customWidth="1"/>
  </cols>
  <sheetData>
    <row r="3" spans="1:12" x14ac:dyDescent="0.35">
      <c r="A3" s="88" t="s">
        <v>35</v>
      </c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</row>
    <row r="5" spans="1:12" ht="72.5" x14ac:dyDescent="0.35">
      <c r="A5" s="1"/>
      <c r="B5" s="1" t="s">
        <v>36</v>
      </c>
      <c r="C5" s="1" t="s">
        <v>37</v>
      </c>
      <c r="D5" s="1" t="s">
        <v>38</v>
      </c>
      <c r="E5" s="1" t="s">
        <v>39</v>
      </c>
      <c r="F5" s="1" t="s">
        <v>40</v>
      </c>
      <c r="G5" s="1" t="s">
        <v>41</v>
      </c>
      <c r="H5" s="1" t="s">
        <v>23</v>
      </c>
      <c r="I5" s="1" t="s">
        <v>20</v>
      </c>
      <c r="J5" s="1" t="s">
        <v>42</v>
      </c>
      <c r="K5" s="1" t="s">
        <v>43</v>
      </c>
      <c r="L5" s="1" t="s">
        <v>44</v>
      </c>
    </row>
    <row r="6" spans="1:12" x14ac:dyDescent="0.3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x14ac:dyDescent="0.35">
      <c r="A7" s="28" t="s">
        <v>45</v>
      </c>
      <c r="B7" s="29">
        <v>10</v>
      </c>
      <c r="C7" s="29">
        <v>10</v>
      </c>
      <c r="D7" s="30">
        <v>1012</v>
      </c>
      <c r="E7" s="31">
        <v>27.2</v>
      </c>
      <c r="F7" s="31">
        <v>12.7</v>
      </c>
      <c r="G7" s="32">
        <f>+(D7-E7)*B7*C7*0.27/(273+F7)</f>
        <v>93.068253412670643</v>
      </c>
      <c r="H7" s="33">
        <f>G7/1000</f>
        <v>9.3068253412670637E-2</v>
      </c>
      <c r="I7" s="34">
        <v>1.4999999999999999E-2</v>
      </c>
      <c r="J7" s="35">
        <f>Aerodinamika!G27</f>
        <v>1.3179692000000001</v>
      </c>
      <c r="K7" s="36">
        <f>(100*((I7/(H7*J7))/0.8038))/(((I7/(H7*J7))/0.8038)+(1/J7))</f>
        <v>16.702249492868962</v>
      </c>
      <c r="L7" s="37"/>
    </row>
    <row r="8" spans="1:12" x14ac:dyDescent="0.35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x14ac:dyDescent="0.35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x14ac:dyDescent="0.35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Y28"/>
  <sheetViews>
    <sheetView workbookViewId="0"/>
  </sheetViews>
  <sheetFormatPr defaultRowHeight="14.5" x14ac:dyDescent="0.35"/>
  <cols>
    <col min="1" max="25" width="14" customWidth="1"/>
  </cols>
  <sheetData>
    <row r="2" spans="1:25" x14ac:dyDescent="0.35">
      <c r="A2" s="88" t="s">
        <v>46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</row>
    <row r="5" spans="1:25" ht="58" x14ac:dyDescent="0.35">
      <c r="A5" s="1" t="s">
        <v>1</v>
      </c>
      <c r="B5" s="1" t="s">
        <v>2</v>
      </c>
      <c r="C5" s="1" t="s">
        <v>3</v>
      </c>
      <c r="D5" s="1" t="s">
        <v>47</v>
      </c>
      <c r="E5" s="1" t="s">
        <v>48</v>
      </c>
      <c r="F5" s="1" t="s">
        <v>49</v>
      </c>
      <c r="G5" s="1" t="s">
        <v>50</v>
      </c>
      <c r="H5" s="1" t="s">
        <v>51</v>
      </c>
      <c r="I5" s="1" t="s">
        <v>52</v>
      </c>
      <c r="J5" s="1" t="s">
        <v>53</v>
      </c>
      <c r="K5" s="1" t="s">
        <v>54</v>
      </c>
      <c r="L5" s="1" t="s">
        <v>55</v>
      </c>
      <c r="M5" s="1" t="s">
        <v>56</v>
      </c>
      <c r="N5" s="1" t="s">
        <v>57</v>
      </c>
      <c r="O5" s="1" t="s">
        <v>58</v>
      </c>
      <c r="P5" s="1" t="s">
        <v>59</v>
      </c>
      <c r="Q5" s="1" t="s">
        <v>60</v>
      </c>
      <c r="R5" s="1" t="s">
        <v>61</v>
      </c>
      <c r="S5" s="1" t="s">
        <v>44</v>
      </c>
      <c r="T5" s="1" t="s">
        <v>62</v>
      </c>
      <c r="U5" s="1" t="s">
        <v>63</v>
      </c>
      <c r="V5" s="1" t="s">
        <v>49</v>
      </c>
      <c r="W5" s="2"/>
      <c r="X5" s="1" t="s">
        <v>64</v>
      </c>
      <c r="Y5" s="1" t="s">
        <v>65</v>
      </c>
    </row>
    <row r="6" spans="1:25" x14ac:dyDescent="0.35">
      <c r="A6" s="38" t="s">
        <v>29</v>
      </c>
      <c r="B6" s="6">
        <v>5</v>
      </c>
      <c r="C6" s="89" t="s">
        <v>30</v>
      </c>
      <c r="D6" s="39" t="s">
        <v>31</v>
      </c>
      <c r="E6" s="40">
        <f>Greitis!Q6</f>
        <v>1.1304000000000001</v>
      </c>
      <c r="F6" s="13">
        <f>Paėmimas!$V$9</f>
        <v>63.033333333333339</v>
      </c>
      <c r="G6" s="41">
        <f>Greitis!M6</f>
        <v>9.6650887553236231</v>
      </c>
      <c r="H6" s="42">
        <f>Greitis!I6</f>
        <v>1012</v>
      </c>
      <c r="I6" s="43">
        <f>Greitis!J6</f>
        <v>0.35</v>
      </c>
      <c r="J6" s="44">
        <v>58.6</v>
      </c>
      <c r="K6" s="44">
        <v>5</v>
      </c>
      <c r="L6" s="20">
        <f t="shared" ref="L6:L12" si="0">M6*N6/1000</f>
        <v>3.3000000000000002E-2</v>
      </c>
      <c r="M6" s="18">
        <v>3</v>
      </c>
      <c r="N6" s="18">
        <v>11</v>
      </c>
      <c r="O6" s="44">
        <v>13.4</v>
      </c>
      <c r="P6" s="43">
        <f>Paėmimas!$T$9</f>
        <v>7.94</v>
      </c>
      <c r="Q6" s="43">
        <f>Paėmimas!$U$9</f>
        <v>7.3999999999999995</v>
      </c>
      <c r="R6" s="45" t="s">
        <v>32</v>
      </c>
      <c r="S6" s="46" t="s">
        <v>66</v>
      </c>
      <c r="T6" s="47">
        <v>7.92</v>
      </c>
      <c r="U6" s="47">
        <v>7.41</v>
      </c>
      <c r="V6" s="44">
        <v>63.1</v>
      </c>
      <c r="X6" s="48">
        <v>0.73</v>
      </c>
      <c r="Y6" s="49"/>
    </row>
    <row r="7" spans="1:25" x14ac:dyDescent="0.35">
      <c r="A7" s="7"/>
      <c r="B7" s="7"/>
      <c r="C7" s="85"/>
      <c r="D7" s="7"/>
      <c r="E7" s="7"/>
      <c r="F7" s="13">
        <f>Paėmimas!$V$9</f>
        <v>63.033333333333339</v>
      </c>
      <c r="G7" s="41">
        <f>Greitis!M7</f>
        <v>10.551253146635817</v>
      </c>
      <c r="H7" s="42">
        <f t="shared" ref="H7:H12" si="1">$H$6</f>
        <v>1012</v>
      </c>
      <c r="I7" s="43">
        <f t="shared" ref="I7:I12" si="2">$I$6</f>
        <v>0.35</v>
      </c>
      <c r="J7" s="44">
        <v>72.400000000000006</v>
      </c>
      <c r="K7" s="50">
        <v>5</v>
      </c>
      <c r="L7" s="20">
        <f t="shared" si="0"/>
        <v>3.5999999999999997E-2</v>
      </c>
      <c r="M7" s="51">
        <v>3</v>
      </c>
      <c r="N7" s="18">
        <v>12</v>
      </c>
      <c r="O7" s="44">
        <v>12.9</v>
      </c>
      <c r="P7" s="43">
        <f>Paėmimas!$T$9</f>
        <v>7.94</v>
      </c>
      <c r="Q7" s="43">
        <f>Paėmimas!$U$9</f>
        <v>7.3999999999999995</v>
      </c>
      <c r="R7" s="7"/>
      <c r="S7" s="7"/>
      <c r="T7" s="47">
        <v>7.94</v>
      </c>
      <c r="U7" s="47">
        <v>7.4</v>
      </c>
      <c r="V7" s="44">
        <v>62.7</v>
      </c>
      <c r="X7" s="48">
        <v>0.87</v>
      </c>
      <c r="Y7" s="49"/>
    </row>
    <row r="8" spans="1:25" x14ac:dyDescent="0.35">
      <c r="A8" s="7"/>
      <c r="B8" s="7"/>
      <c r="C8" s="85"/>
      <c r="D8" s="7"/>
      <c r="E8" s="7"/>
      <c r="F8" s="13">
        <f>Paėmimas!$V$9</f>
        <v>63.033333333333339</v>
      </c>
      <c r="G8" s="41">
        <f>Greitis!M8</f>
        <v>10.967517682796174</v>
      </c>
      <c r="H8" s="42">
        <f t="shared" si="1"/>
        <v>1012</v>
      </c>
      <c r="I8" s="43">
        <f t="shared" si="2"/>
        <v>0.35</v>
      </c>
      <c r="J8" s="44">
        <v>72.7</v>
      </c>
      <c r="K8" s="50">
        <v>5</v>
      </c>
      <c r="L8" s="20">
        <f t="shared" si="0"/>
        <v>3.5999999999999997E-2</v>
      </c>
      <c r="M8" s="51">
        <v>3</v>
      </c>
      <c r="N8" s="18">
        <v>12</v>
      </c>
      <c r="O8" s="44">
        <v>12.8</v>
      </c>
      <c r="P8" s="43">
        <f>Paėmimas!$T$9</f>
        <v>7.94</v>
      </c>
      <c r="Q8" s="43">
        <f>Paėmimas!$U$9</f>
        <v>7.3999999999999995</v>
      </c>
      <c r="R8" s="7"/>
      <c r="S8" s="7"/>
      <c r="T8" s="47">
        <v>7.96</v>
      </c>
      <c r="U8" s="47">
        <v>7.39</v>
      </c>
      <c r="V8" s="44">
        <v>63.3</v>
      </c>
      <c r="X8" s="48">
        <v>0.94</v>
      </c>
      <c r="Y8" s="49"/>
    </row>
    <row r="9" spans="1:25" x14ac:dyDescent="0.35">
      <c r="A9" s="7"/>
      <c r="B9" s="7"/>
      <c r="C9" s="85"/>
      <c r="D9" s="7"/>
      <c r="E9" s="7"/>
      <c r="F9" s="13">
        <f>Paėmimas!$V$9</f>
        <v>63.033333333333339</v>
      </c>
      <c r="G9" s="41">
        <f>Greitis!M9</f>
        <v>10.850214655816185</v>
      </c>
      <c r="H9" s="42">
        <f t="shared" si="1"/>
        <v>1012</v>
      </c>
      <c r="I9" s="43">
        <f t="shared" si="2"/>
        <v>0.35</v>
      </c>
      <c r="J9" s="44">
        <v>73.900000000000006</v>
      </c>
      <c r="K9" s="50">
        <v>5</v>
      </c>
      <c r="L9" s="20">
        <f t="shared" si="0"/>
        <v>3.5999999999999997E-2</v>
      </c>
      <c r="M9" s="51">
        <v>3</v>
      </c>
      <c r="N9" s="18">
        <v>12</v>
      </c>
      <c r="O9" s="44">
        <v>12.9</v>
      </c>
      <c r="P9" s="43">
        <f>Paėmimas!$T$9</f>
        <v>7.94</v>
      </c>
      <c r="Q9" s="43">
        <f>Paėmimas!$U$9</f>
        <v>7.3999999999999995</v>
      </c>
      <c r="R9" s="7"/>
      <c r="S9" s="7"/>
      <c r="T9" s="52">
        <f>AVERAGE(T6:T8)</f>
        <v>7.94</v>
      </c>
      <c r="U9" s="52">
        <f>AVERAGE(U6:U8)</f>
        <v>7.3999999999999995</v>
      </c>
      <c r="V9" s="53">
        <f>AVERAGE(V6:V8)</f>
        <v>63.033333333333339</v>
      </c>
      <c r="X9" s="48">
        <v>0.92</v>
      </c>
      <c r="Y9" s="49"/>
    </row>
    <row r="10" spans="1:25" ht="29" x14ac:dyDescent="0.35">
      <c r="A10" s="7"/>
      <c r="B10" s="7"/>
      <c r="C10" s="85"/>
      <c r="D10" s="7"/>
      <c r="E10" s="7"/>
      <c r="F10" s="13">
        <f>Paėmimas!$V$9</f>
        <v>63.033333333333339</v>
      </c>
      <c r="G10" s="41">
        <f>Greitis!M10</f>
        <v>10.490438500930884</v>
      </c>
      <c r="H10" s="42">
        <f t="shared" si="1"/>
        <v>1012</v>
      </c>
      <c r="I10" s="43">
        <f t="shared" si="2"/>
        <v>0.35</v>
      </c>
      <c r="J10" s="44">
        <v>75.099999999999994</v>
      </c>
      <c r="K10" s="50">
        <v>5</v>
      </c>
      <c r="L10" s="20">
        <f t="shared" si="0"/>
        <v>3.5999999999999997E-2</v>
      </c>
      <c r="M10" s="51">
        <v>3</v>
      </c>
      <c r="N10" s="18">
        <v>12</v>
      </c>
      <c r="O10" s="44">
        <v>13.1</v>
      </c>
      <c r="P10" s="43">
        <f>Paėmimas!$T$9</f>
        <v>7.94</v>
      </c>
      <c r="Q10" s="43">
        <f>Paėmimas!$U$9</f>
        <v>7.3999999999999995</v>
      </c>
      <c r="R10" s="7"/>
      <c r="S10" s="7"/>
      <c r="T10" s="3" t="s">
        <v>67</v>
      </c>
      <c r="U10" s="3" t="s">
        <v>68</v>
      </c>
      <c r="V10" s="3" t="s">
        <v>69</v>
      </c>
      <c r="X10" s="48">
        <v>0.86</v>
      </c>
      <c r="Y10" s="49"/>
    </row>
    <row r="11" spans="1:25" x14ac:dyDescent="0.35">
      <c r="A11" s="7"/>
      <c r="B11" s="7"/>
      <c r="C11" s="85"/>
      <c r="D11" s="7"/>
      <c r="E11" s="7"/>
      <c r="F11" s="13">
        <f>Paėmimas!$V$9</f>
        <v>63.033333333333339</v>
      </c>
      <c r="G11" s="41">
        <f>Greitis!M11</f>
        <v>9.9263544536048087</v>
      </c>
      <c r="H11" s="42">
        <f t="shared" si="1"/>
        <v>1012</v>
      </c>
      <c r="I11" s="43">
        <f t="shared" si="2"/>
        <v>0.35</v>
      </c>
      <c r="J11" s="44">
        <v>67.5</v>
      </c>
      <c r="K11" s="50">
        <v>5</v>
      </c>
      <c r="L11" s="20">
        <f t="shared" si="0"/>
        <v>3.3000000000000002E-2</v>
      </c>
      <c r="M11" s="51">
        <v>3</v>
      </c>
      <c r="N11" s="18">
        <v>11</v>
      </c>
      <c r="O11" s="44">
        <v>13.2</v>
      </c>
      <c r="P11" s="43">
        <f>Paėmimas!$T$9</f>
        <v>7.94</v>
      </c>
      <c r="Q11" s="43">
        <f>Paėmimas!$U$9</f>
        <v>7.3999999999999995</v>
      </c>
      <c r="R11" s="7"/>
      <c r="S11" s="7"/>
      <c r="X11" s="48">
        <v>0.77</v>
      </c>
      <c r="Y11" s="49"/>
    </row>
    <row r="12" spans="1:25" x14ac:dyDescent="0.35">
      <c r="A12" s="8"/>
      <c r="B12" s="8"/>
      <c r="C12" s="83"/>
      <c r="D12" s="8"/>
      <c r="E12" s="8"/>
      <c r="F12" s="13">
        <f>Paėmimas!$V$9</f>
        <v>63.033333333333339</v>
      </c>
      <c r="G12" s="41">
        <f>Greitis!M12</f>
        <v>9.4644076191035573</v>
      </c>
      <c r="H12" s="42">
        <f t="shared" si="1"/>
        <v>1012</v>
      </c>
      <c r="I12" s="43">
        <f t="shared" si="2"/>
        <v>0.35</v>
      </c>
      <c r="J12" s="44">
        <v>62.4</v>
      </c>
      <c r="K12" s="50">
        <v>5</v>
      </c>
      <c r="L12" s="20">
        <f t="shared" si="0"/>
        <v>0.03</v>
      </c>
      <c r="M12" s="51">
        <v>3</v>
      </c>
      <c r="N12" s="18">
        <v>10</v>
      </c>
      <c r="O12" s="44">
        <v>13.4</v>
      </c>
      <c r="P12" s="43">
        <f>Paėmimas!$T$9</f>
        <v>7.94</v>
      </c>
      <c r="Q12" s="43">
        <f>Paėmimas!$U$9</f>
        <v>7.3999999999999995</v>
      </c>
      <c r="R12" s="8"/>
      <c r="S12" s="8"/>
      <c r="X12" s="48">
        <v>0.7</v>
      </c>
      <c r="Y12" s="49"/>
    </row>
    <row r="13" spans="1:25" x14ac:dyDescent="0.35">
      <c r="L13" s="20">
        <f>SUM(L6:L12)</f>
        <v>0.24000000000000002</v>
      </c>
      <c r="M13" s="54">
        <f>SUM(M6:M12)</f>
        <v>21</v>
      </c>
      <c r="N13" s="54">
        <f>AVERAGE(N6:N12)</f>
        <v>11.428571428571429</v>
      </c>
    </row>
    <row r="14" spans="1:25" ht="29" x14ac:dyDescent="0.35">
      <c r="L14" s="3" t="s">
        <v>70</v>
      </c>
      <c r="M14" s="3" t="s">
        <v>71</v>
      </c>
      <c r="N14" s="3" t="s">
        <v>72</v>
      </c>
    </row>
    <row r="17" spans="1:25" x14ac:dyDescent="0.35">
      <c r="A17" s="38" t="s">
        <v>29</v>
      </c>
      <c r="B17" s="38">
        <v>5</v>
      </c>
      <c r="C17" s="89" t="s">
        <v>30</v>
      </c>
      <c r="D17" s="55" t="str">
        <f>$D$6</f>
        <v>1,20</v>
      </c>
      <c r="E17" s="56">
        <f>$E$6</f>
        <v>1.1304000000000001</v>
      </c>
      <c r="F17" s="13">
        <f>Paėmimas!$V$9</f>
        <v>63.033333333333339</v>
      </c>
      <c r="G17" s="41">
        <f>Greitis!N6</f>
        <v>8.8350565576759319</v>
      </c>
      <c r="H17" s="42">
        <f t="shared" ref="H17:H23" si="3">$H$6</f>
        <v>1012</v>
      </c>
      <c r="I17" s="43">
        <f t="shared" ref="I17:I23" si="4">$I$6</f>
        <v>0.35</v>
      </c>
      <c r="J17" s="44">
        <v>62.6</v>
      </c>
      <c r="K17" s="50">
        <v>5</v>
      </c>
      <c r="L17" s="20">
        <f t="shared" ref="L17:L23" si="5">M17*N17/1000</f>
        <v>0.03</v>
      </c>
      <c r="M17" s="51">
        <v>3</v>
      </c>
      <c r="N17" s="18">
        <v>10</v>
      </c>
      <c r="O17" s="44">
        <v>13.7</v>
      </c>
      <c r="P17" s="43">
        <f>Paėmimas!$T$9</f>
        <v>7.94</v>
      </c>
      <c r="Q17" s="43">
        <f>Paėmimas!$U$9</f>
        <v>7.3999999999999995</v>
      </c>
      <c r="R17" s="57" t="s">
        <v>32</v>
      </c>
      <c r="S17" s="46" t="s">
        <v>73</v>
      </c>
      <c r="X17" s="48">
        <v>0.61</v>
      </c>
      <c r="Y17" s="49"/>
    </row>
    <row r="18" spans="1:25" x14ac:dyDescent="0.35">
      <c r="A18" s="7"/>
      <c r="B18" s="7"/>
      <c r="C18" s="85"/>
      <c r="D18" s="7"/>
      <c r="E18" s="7"/>
      <c r="F18" s="13">
        <f>Paėmimas!$V$9</f>
        <v>63.033333333333339</v>
      </c>
      <c r="G18" s="41">
        <f>Greitis!N7</f>
        <v>9.8616869609626541</v>
      </c>
      <c r="H18" s="42">
        <f t="shared" si="3"/>
        <v>1012</v>
      </c>
      <c r="I18" s="43">
        <f t="shared" si="4"/>
        <v>0.35</v>
      </c>
      <c r="J18" s="44">
        <v>67.599999999999994</v>
      </c>
      <c r="K18" s="50">
        <v>5</v>
      </c>
      <c r="L18" s="20">
        <f t="shared" si="5"/>
        <v>3.3000000000000002E-2</v>
      </c>
      <c r="M18" s="51">
        <v>3</v>
      </c>
      <c r="N18" s="18">
        <v>11</v>
      </c>
      <c r="O18" s="44">
        <v>13.8</v>
      </c>
      <c r="P18" s="43">
        <f>Paėmimas!$T$9</f>
        <v>7.94</v>
      </c>
      <c r="Q18" s="43">
        <f>Paėmimas!$U$9</f>
        <v>7.3999999999999995</v>
      </c>
      <c r="R18" s="7"/>
      <c r="S18" s="7"/>
      <c r="X18" s="48">
        <v>0.76</v>
      </c>
      <c r="Y18" s="49"/>
    </row>
    <row r="19" spans="1:25" x14ac:dyDescent="0.35">
      <c r="A19" s="7"/>
      <c r="B19" s="7"/>
      <c r="C19" s="85"/>
      <c r="D19" s="7"/>
      <c r="E19" s="7"/>
      <c r="F19" s="13">
        <f>Paėmimas!$V$9</f>
        <v>63.033333333333339</v>
      </c>
      <c r="G19" s="41">
        <f>Greitis!N8</f>
        <v>9.9906033732292308</v>
      </c>
      <c r="H19" s="42">
        <f t="shared" si="3"/>
        <v>1012</v>
      </c>
      <c r="I19" s="43">
        <f t="shared" si="4"/>
        <v>0.35</v>
      </c>
      <c r="J19" s="44">
        <v>67.900000000000006</v>
      </c>
      <c r="K19" s="50">
        <v>5</v>
      </c>
      <c r="L19" s="20">
        <f t="shared" si="5"/>
        <v>3.3000000000000002E-2</v>
      </c>
      <c r="M19" s="51">
        <v>3</v>
      </c>
      <c r="N19" s="18">
        <v>11</v>
      </c>
      <c r="O19" s="44">
        <v>13.8</v>
      </c>
      <c r="P19" s="43">
        <f>Paėmimas!$T$9</f>
        <v>7.94</v>
      </c>
      <c r="Q19" s="43">
        <f>Paėmimas!$U$9</f>
        <v>7.3999999999999995</v>
      </c>
      <c r="R19" s="7"/>
      <c r="S19" s="7"/>
      <c r="X19" s="48">
        <v>0.78</v>
      </c>
      <c r="Y19" s="49"/>
    </row>
    <row r="20" spans="1:25" x14ac:dyDescent="0.35">
      <c r="A20" s="7"/>
      <c r="B20" s="7"/>
      <c r="C20" s="85"/>
      <c r="D20" s="7"/>
      <c r="E20" s="7"/>
      <c r="F20" s="13">
        <f>Paėmimas!$V$9</f>
        <v>63.033333333333339</v>
      </c>
      <c r="G20" s="41">
        <f>Greitis!N9</f>
        <v>10.551253146635817</v>
      </c>
      <c r="H20" s="42">
        <f t="shared" si="3"/>
        <v>1012</v>
      </c>
      <c r="I20" s="43">
        <f t="shared" si="4"/>
        <v>0.35</v>
      </c>
      <c r="J20" s="44">
        <v>76.2</v>
      </c>
      <c r="K20" s="50">
        <v>5</v>
      </c>
      <c r="L20" s="20">
        <f t="shared" si="5"/>
        <v>3.5999999999999997E-2</v>
      </c>
      <c r="M20" s="51">
        <v>3</v>
      </c>
      <c r="N20" s="18">
        <v>12</v>
      </c>
      <c r="O20" s="44">
        <v>13.7</v>
      </c>
      <c r="P20" s="43">
        <f>Paėmimas!$T$9</f>
        <v>7.94</v>
      </c>
      <c r="Q20" s="43">
        <f>Paėmimas!$U$9</f>
        <v>7.3999999999999995</v>
      </c>
      <c r="R20" s="7"/>
      <c r="S20" s="7"/>
      <c r="X20" s="48">
        <v>0.87</v>
      </c>
      <c r="Y20" s="49"/>
    </row>
    <row r="21" spans="1:25" x14ac:dyDescent="0.35">
      <c r="A21" s="7"/>
      <c r="B21" s="7"/>
      <c r="C21" s="85"/>
      <c r="D21" s="7"/>
      <c r="E21" s="7"/>
      <c r="F21" s="13">
        <f>Paėmimas!$V$9</f>
        <v>63.033333333333339</v>
      </c>
      <c r="G21" s="41">
        <f>Greitis!N10</f>
        <v>10.243570073538624</v>
      </c>
      <c r="H21" s="42">
        <f t="shared" si="3"/>
        <v>1012</v>
      </c>
      <c r="I21" s="43">
        <f t="shared" si="4"/>
        <v>0.35</v>
      </c>
      <c r="J21" s="44">
        <v>69.8</v>
      </c>
      <c r="K21" s="50">
        <v>5</v>
      </c>
      <c r="L21" s="20">
        <f t="shared" si="5"/>
        <v>3.3000000000000002E-2</v>
      </c>
      <c r="M21" s="51">
        <v>3</v>
      </c>
      <c r="N21" s="18">
        <v>11</v>
      </c>
      <c r="O21" s="44">
        <v>13.7</v>
      </c>
      <c r="P21" s="43">
        <f>Paėmimas!$T$9</f>
        <v>7.94</v>
      </c>
      <c r="Q21" s="43">
        <f>Paėmimas!$U$9</f>
        <v>7.3999999999999995</v>
      </c>
      <c r="R21" s="7"/>
      <c r="S21" s="7"/>
      <c r="X21" s="48">
        <v>0.82</v>
      </c>
      <c r="Y21" s="49"/>
    </row>
    <row r="22" spans="1:25" x14ac:dyDescent="0.35">
      <c r="A22" s="7"/>
      <c r="B22" s="7"/>
      <c r="C22" s="85"/>
      <c r="D22" s="7"/>
      <c r="E22" s="7"/>
      <c r="F22" s="13">
        <f>Paėmimas!$V$9</f>
        <v>63.033333333333339</v>
      </c>
      <c r="G22" s="41">
        <f>Greitis!N11</f>
        <v>10.180917681079487</v>
      </c>
      <c r="H22" s="42">
        <f t="shared" si="3"/>
        <v>1012</v>
      </c>
      <c r="I22" s="43">
        <f t="shared" si="4"/>
        <v>0.35</v>
      </c>
      <c r="J22" s="44">
        <v>70.400000000000006</v>
      </c>
      <c r="K22" s="50">
        <v>5</v>
      </c>
      <c r="L22" s="20">
        <f t="shared" si="5"/>
        <v>3.3000000000000002E-2</v>
      </c>
      <c r="M22" s="51">
        <v>3</v>
      </c>
      <c r="N22" s="18">
        <v>11</v>
      </c>
      <c r="O22" s="44">
        <v>13.6</v>
      </c>
      <c r="P22" s="43">
        <f>Paėmimas!$T$9</f>
        <v>7.94</v>
      </c>
      <c r="Q22" s="43">
        <f>Paėmimas!$U$9</f>
        <v>7.3999999999999995</v>
      </c>
      <c r="R22" s="7"/>
      <c r="S22" s="7"/>
      <c r="X22" s="48">
        <v>0.81</v>
      </c>
      <c r="Y22" s="49"/>
    </row>
    <row r="23" spans="1:25" x14ac:dyDescent="0.35">
      <c r="A23" s="8"/>
      <c r="B23" s="8"/>
      <c r="C23" s="83"/>
      <c r="D23" s="8"/>
      <c r="E23" s="8"/>
      <c r="F23" s="13">
        <f>Paėmimas!$V$9</f>
        <v>63.033333333333339</v>
      </c>
      <c r="G23" s="41">
        <f>Greitis!N12</f>
        <v>9.796592606281104</v>
      </c>
      <c r="H23" s="42">
        <f t="shared" si="3"/>
        <v>1012</v>
      </c>
      <c r="I23" s="43">
        <f t="shared" si="4"/>
        <v>0.35</v>
      </c>
      <c r="J23" s="44">
        <v>70.7</v>
      </c>
      <c r="K23" s="50">
        <v>5</v>
      </c>
      <c r="L23" s="20">
        <f t="shared" si="5"/>
        <v>3.3000000000000002E-2</v>
      </c>
      <c r="M23" s="51">
        <v>3</v>
      </c>
      <c r="N23" s="18">
        <v>11</v>
      </c>
      <c r="O23" s="44">
        <v>13.7</v>
      </c>
      <c r="P23" s="43">
        <f>Paėmimas!$T$9</f>
        <v>7.94</v>
      </c>
      <c r="Q23" s="43">
        <f>Paėmimas!$U$9</f>
        <v>7.3999999999999995</v>
      </c>
      <c r="R23" s="8"/>
      <c r="S23" s="8"/>
      <c r="X23" s="48">
        <v>0.75</v>
      </c>
      <c r="Y23" s="49"/>
    </row>
    <row r="24" spans="1:25" x14ac:dyDescent="0.35">
      <c r="L24" s="20">
        <f>SUM(L17:L23)</f>
        <v>0.23100000000000001</v>
      </c>
      <c r="M24" s="54">
        <f>SUM(M17:M23)</f>
        <v>21</v>
      </c>
      <c r="N24" s="54">
        <f>AVERAGE(N17:N23)</f>
        <v>11</v>
      </c>
    </row>
    <row r="25" spans="1:25" ht="29" x14ac:dyDescent="0.35">
      <c r="L25" s="3" t="s">
        <v>70</v>
      </c>
      <c r="M25" s="3" t="s">
        <v>71</v>
      </c>
      <c r="N25" s="3" t="s">
        <v>72</v>
      </c>
    </row>
    <row r="27" spans="1:25" x14ac:dyDescent="0.35">
      <c r="M27" s="58">
        <f>SUM(M13,M24)</f>
        <v>42</v>
      </c>
      <c r="N27" s="58">
        <f>AVERAGE(N13,N24)</f>
        <v>11.214285714285715</v>
      </c>
    </row>
    <row r="28" spans="1:25" ht="43.5" x14ac:dyDescent="0.35">
      <c r="M28" s="3" t="s">
        <v>74</v>
      </c>
      <c r="N28" s="3" t="s">
        <v>75</v>
      </c>
    </row>
  </sheetData>
  <mergeCells count="3">
    <mergeCell ref="A2:V2"/>
    <mergeCell ref="C17:C23"/>
    <mergeCell ref="C6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N28"/>
  <sheetViews>
    <sheetView tabSelected="1" topLeftCell="C1" workbookViewId="0">
      <selection activeCell="L8" sqref="L8"/>
    </sheetView>
  </sheetViews>
  <sheetFormatPr defaultRowHeight="14.5" x14ac:dyDescent="0.35"/>
  <cols>
    <col min="1" max="14" width="14" customWidth="1"/>
  </cols>
  <sheetData>
    <row r="2" spans="1:14" x14ac:dyDescent="0.35">
      <c r="A2" s="88" t="s">
        <v>76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</row>
    <row r="5" spans="1:14" ht="87" x14ac:dyDescent="0.35">
      <c r="A5" s="1" t="s">
        <v>1</v>
      </c>
      <c r="B5" s="1" t="s">
        <v>2</v>
      </c>
      <c r="C5" s="1" t="s">
        <v>3</v>
      </c>
      <c r="D5" s="1" t="s">
        <v>55</v>
      </c>
      <c r="E5" s="1" t="s">
        <v>77</v>
      </c>
      <c r="F5" s="1" t="s">
        <v>78</v>
      </c>
      <c r="G5" s="1" t="s">
        <v>42</v>
      </c>
      <c r="H5" s="1" t="s">
        <v>79</v>
      </c>
      <c r="I5" s="1" t="s">
        <v>80</v>
      </c>
      <c r="J5" s="1" t="s">
        <v>81</v>
      </c>
      <c r="K5" s="1" t="s">
        <v>65</v>
      </c>
      <c r="L5" s="1" t="s">
        <v>82</v>
      </c>
      <c r="M5" s="1" t="s">
        <v>83</v>
      </c>
      <c r="N5" s="1" t="s">
        <v>44</v>
      </c>
    </row>
    <row r="6" spans="1:14" x14ac:dyDescent="0.35">
      <c r="A6" s="38" t="s">
        <v>29</v>
      </c>
      <c r="B6" s="38">
        <v>5</v>
      </c>
      <c r="C6" s="89" t="s">
        <v>30</v>
      </c>
      <c r="D6" s="59">
        <f>Paėmimas!L6</f>
        <v>3.3000000000000002E-2</v>
      </c>
      <c r="E6" s="60">
        <f>D6*(273/(273+Paėmimas!O6)*(Paėmimas!H6-Paėmimas!J6)/1013)</f>
        <v>2.960528699531785E-2</v>
      </c>
      <c r="F6" s="61">
        <f>SUM(E6:E12)</f>
        <v>0.2131370035157322</v>
      </c>
      <c r="G6" s="17">
        <f>((Paėmimas!Q6/100)*1.965)+((Paėmimas!P6/100)*1.429)+((1-(Paėmimas!Q6/100)-(Paėmimas!P6/100))*1.251)</f>
        <v>1.3179691999999998</v>
      </c>
      <c r="H6" s="21">
        <f>H2O!K7</f>
        <v>16.702249492868962</v>
      </c>
      <c r="I6" s="62">
        <f>(E6/(1-(H6/1000))*((273+Paėmimas!F6)/273)*(1013/(Paėmimas!H6+Paėmimas!I6)))</f>
        <v>3.7083669428626703E-2</v>
      </c>
      <c r="J6" s="62">
        <f>(I6/(Paėmimas!M6*60)/((3.142*((Paėmimas!K6/1000)*(Paėmimas!K6/1000))/4)))</f>
        <v>10.491171774135852</v>
      </c>
      <c r="K6" s="41">
        <f>J6/Paėmimas!G6</f>
        <v>1.0854708156050004</v>
      </c>
      <c r="L6" s="63">
        <f>AVERAGE(K6:K12)</f>
        <v>1.0501402876709622</v>
      </c>
      <c r="M6" s="57" t="s">
        <v>32</v>
      </c>
      <c r="N6" s="64" t="s">
        <v>84</v>
      </c>
    </row>
    <row r="7" spans="1:14" x14ac:dyDescent="0.35">
      <c r="A7" s="7"/>
      <c r="B7" s="7"/>
      <c r="C7" s="85"/>
      <c r="D7" s="59">
        <f>Paėmimas!L7</f>
        <v>3.5999999999999997E-2</v>
      </c>
      <c r="E7" s="60">
        <f>D7*(273/(273+Paėmimas!O7)*(Paėmimas!H7-Paėmimas!J7)/1013)</f>
        <v>3.1884862993052543E-2</v>
      </c>
      <c r="F7" s="7"/>
      <c r="G7" s="17">
        <f>((Paėmimas!Q7/100)*1.965)+((Paėmimas!P7/100)*1.429)+((1-(Paėmimas!Q7/100)-(Paėmimas!P7/100))*1.251)</f>
        <v>1.3179691999999998</v>
      </c>
      <c r="H7" s="21">
        <f>H2O!K7</f>
        <v>16.702249492868962</v>
      </c>
      <c r="I7" s="62">
        <f>(E7/(1-(H7/1000))*((273+Paėmimas!F7)/273)*(1013/(Paėmimas!H7+Paėmimas!I7)))</f>
        <v>3.9939073017546296E-2</v>
      </c>
      <c r="J7" s="62">
        <f>(I7/(Paėmimas!M7*60)/((3.142*((Paėmimas!K7/1000)*(Paėmimas!K7/1000))/4)))</f>
        <v>11.29898097957318</v>
      </c>
      <c r="K7" s="41">
        <f>J7/Paėmimas!G7</f>
        <v>1.0708662584951598</v>
      </c>
      <c r="L7" s="7"/>
      <c r="M7" s="7"/>
      <c r="N7" s="7"/>
    </row>
    <row r="8" spans="1:14" x14ac:dyDescent="0.35">
      <c r="A8" s="7"/>
      <c r="B8" s="7"/>
      <c r="C8" s="85"/>
      <c r="D8" s="59">
        <f>Paėmimas!L8</f>
        <v>3.5999999999999997E-2</v>
      </c>
      <c r="E8" s="60">
        <f>D8*(273/(273+Paėmimas!O8)*(Paėmimas!H8-Paėmimas!J8)/1013)</f>
        <v>3.188583543397E-2</v>
      </c>
      <c r="F8" s="7"/>
      <c r="G8" s="17">
        <f>((Paėmimas!Q8/100)*1.965)+((Paėmimas!P8/100)*1.429)+((1-(Paėmimas!Q8/100)-(Paėmimas!P8/100))*1.251)</f>
        <v>1.3179691999999998</v>
      </c>
      <c r="H8" s="21">
        <f>H2O!K7</f>
        <v>16.702249492868962</v>
      </c>
      <c r="I8" s="62">
        <f>(E8/(1-(H8/1000))*((273+Paėmimas!F8)/273)*(1013/(Paėmimas!H8+Paėmimas!I8)))</f>
        <v>3.994029109989515E-2</v>
      </c>
      <c r="J8" s="62">
        <f>(I8/(Paėmimas!M8*60)/((3.142*((Paėmimas!K8/1000)*(Paėmimas!K8/1000))/4)))</f>
        <v>11.299325581694648</v>
      </c>
      <c r="K8" s="41">
        <f>J8/Paėmimas!G8</f>
        <v>1.0302536917190435</v>
      </c>
      <c r="L8" s="7"/>
      <c r="M8" s="7"/>
      <c r="N8" s="7"/>
    </row>
    <row r="9" spans="1:14" x14ac:dyDescent="0.35">
      <c r="A9" s="7"/>
      <c r="B9" s="7"/>
      <c r="C9" s="85"/>
      <c r="D9" s="59">
        <f>Paėmimas!L9</f>
        <v>3.5999999999999997E-2</v>
      </c>
      <c r="E9" s="60">
        <f>D9*(273/(273+Paėmimas!O9)*(Paėmimas!H9-Paėmimas!J9)/1013)</f>
        <v>3.1833961232207948E-2</v>
      </c>
      <c r="F9" s="7"/>
      <c r="G9" s="17">
        <f>((Paėmimas!Q9/100)*1.965)+((Paėmimas!P9/100)*1.429)+((1-(Paėmimas!Q9/100)-(Paėmimas!P9/100))*1.251)</f>
        <v>1.3179691999999998</v>
      </c>
      <c r="H9" s="21">
        <f>H2O!K7</f>
        <v>16.702249492868962</v>
      </c>
      <c r="I9" s="62">
        <f>(E9/(1-(H9/1000))*((273+Paėmimas!F9)/273)*(1013/(Paėmimas!H9+Paėmimas!I9)))</f>
        <v>3.9875313322435275E-2</v>
      </c>
      <c r="J9" s="62">
        <f>(I9/(Paėmimas!M9*60)/((3.142*((Paėmimas!K9/1000)*(Paėmimas!K9/1000))/4)))</f>
        <v>11.280943015046404</v>
      </c>
      <c r="K9" s="41">
        <f>J9/Paėmimas!G9</f>
        <v>1.0396976809117164</v>
      </c>
      <c r="L9" s="7"/>
      <c r="M9" s="7"/>
      <c r="N9" s="7"/>
    </row>
    <row r="10" spans="1:14" x14ac:dyDescent="0.35">
      <c r="A10" s="7"/>
      <c r="B10" s="7"/>
      <c r="C10" s="85"/>
      <c r="D10" s="59">
        <f>Paėmimas!L10</f>
        <v>3.5999999999999997E-2</v>
      </c>
      <c r="E10" s="60">
        <f>D10*(273/(273+Paėmimas!O10)*(Paėmimas!H10-Paėmimas!J10)/1013)</f>
        <v>3.177101455976189E-2</v>
      </c>
      <c r="F10" s="7"/>
      <c r="G10" s="17">
        <f>((Paėmimas!Q10/100)*1.965)+((Paėmimas!P10/100)*1.429)+((1-(Paėmimas!Q10/100)-(Paėmimas!P10/100))*1.251)</f>
        <v>1.3179691999999998</v>
      </c>
      <c r="H10" s="21">
        <f>H2O!K7</f>
        <v>16.702249492868962</v>
      </c>
      <c r="I10" s="62">
        <f>(E10/(1-(H10/1000))*((273+Paėmimas!F10)/273)*(1013/(Paėmimas!H10+Paėmimas!I10)))</f>
        <v>3.9796466135681399E-2</v>
      </c>
      <c r="J10" s="62">
        <f>(I10/(Paėmimas!M10*60)/((3.142*((Paėmimas!K10/1000)*(Paėmimas!K10/1000))/4)))</f>
        <v>11.258636717075154</v>
      </c>
      <c r="K10" s="41">
        <f>J10/Paėmimas!G10</f>
        <v>1.0732284180567002</v>
      </c>
      <c r="L10" s="7"/>
      <c r="M10" s="7"/>
      <c r="N10" s="7"/>
    </row>
    <row r="11" spans="1:14" x14ac:dyDescent="0.35">
      <c r="A11" s="7"/>
      <c r="B11" s="7"/>
      <c r="C11" s="85"/>
      <c r="D11" s="59">
        <f>Paėmimas!L11</f>
        <v>3.3000000000000002E-2</v>
      </c>
      <c r="E11" s="60">
        <f>D11*(273/(273+Paėmimas!O11)*(Paėmimas!H11-Paėmimas!J11)/1013)</f>
        <v>2.9349416702366099E-2</v>
      </c>
      <c r="F11" s="7"/>
      <c r="G11" s="17">
        <f>((Paėmimas!Q11/100)*1.965)+((Paėmimas!P11/100)*1.429)+((1-(Paėmimas!Q11/100)-(Paėmimas!P11/100))*1.251)</f>
        <v>1.3179691999999998</v>
      </c>
      <c r="H11" s="21">
        <f>H2O!K7</f>
        <v>16.702249492868962</v>
      </c>
      <c r="I11" s="62">
        <f>(E11/(1-(H11/1000))*((273+Paėmimas!F11)/273)*(1013/(Paėmimas!H11+Paėmimas!I11)))</f>
        <v>3.6763165548291774E-2</v>
      </c>
      <c r="J11" s="62">
        <f>(I11/(Paėmimas!M11*60)/((3.142*((Paėmimas!K11/1000)*(Paėmimas!K11/1000))/4)))</f>
        <v>10.400499483214308</v>
      </c>
      <c r="K11" s="41">
        <f>J11/Paėmimas!G11</f>
        <v>1.0477662803424586</v>
      </c>
      <c r="L11" s="7"/>
      <c r="M11" s="7"/>
      <c r="N11" s="7"/>
    </row>
    <row r="12" spans="1:14" x14ac:dyDescent="0.35">
      <c r="A12" s="8"/>
      <c r="B12" s="8"/>
      <c r="C12" s="83"/>
      <c r="D12" s="59">
        <f>Paėmimas!L12</f>
        <v>0.03</v>
      </c>
      <c r="E12" s="60">
        <f>D12*(273/(273+Paėmimas!O12)*(Paėmimas!H12-Paėmimas!J12)/1013)</f>
        <v>2.6806625599055851E-2</v>
      </c>
      <c r="F12" s="8"/>
      <c r="G12" s="17">
        <f>((Paėmimas!Q12/100)*1.965)+((Paėmimas!P12/100)*1.429)+((1-(Paėmimas!Q12/100)-(Paėmimas!P12/100))*1.251)</f>
        <v>1.3179691999999998</v>
      </c>
      <c r="H12" s="21">
        <f>H2O!K7</f>
        <v>16.702249492868962</v>
      </c>
      <c r="I12" s="62">
        <f>(E12/(1-(H12/1000))*((273+Paėmimas!F12)/273)*(1013/(Paėmimas!H12+Paėmimas!I12)))</f>
        <v>3.3578057945176036E-2</v>
      </c>
      <c r="J12" s="62">
        <f>(I12/(Paėmimas!M12*60)/((3.142*((Paėmimas!K12/1000)*(Paėmimas!K12/1000))/4)))</f>
        <v>9.4994152189478864</v>
      </c>
      <c r="K12" s="41">
        <f>J12/Paėmimas!G12</f>
        <v>1.0036988685666568</v>
      </c>
      <c r="L12" s="8"/>
      <c r="M12" s="8"/>
      <c r="N12" s="8"/>
    </row>
    <row r="13" spans="1:14" x14ac:dyDescent="0.35">
      <c r="G13" s="65">
        <f>AVERAGE(G6:G12)</f>
        <v>1.3179692000000001</v>
      </c>
      <c r="I13" s="66">
        <f>SUM(I6:I12)</f>
        <v>0.26697603649765267</v>
      </c>
    </row>
    <row r="14" spans="1:14" ht="29" x14ac:dyDescent="0.35">
      <c r="G14" s="3" t="s">
        <v>85</v>
      </c>
      <c r="I14" s="3" t="s">
        <v>86</v>
      </c>
    </row>
    <row r="17" spans="1:14" x14ac:dyDescent="0.35">
      <c r="A17" s="38" t="s">
        <v>29</v>
      </c>
      <c r="B17" s="38">
        <v>5</v>
      </c>
      <c r="C17" s="89" t="s">
        <v>30</v>
      </c>
      <c r="D17" s="59">
        <f>Paėmimas!L17</f>
        <v>0.03</v>
      </c>
      <c r="E17" s="60">
        <f>D17*(273/(273+Paėmimas!O17)*(Paėmimas!H17-Paėmimas!J17)/1013)</f>
        <v>2.6772935445762463E-2</v>
      </c>
      <c r="F17" s="61">
        <f>SUM(E17:E23)</f>
        <v>0.20464508459809672</v>
      </c>
      <c r="G17" s="17">
        <f>((Paėmimas!Q17/100)*1.965)+((Paėmimas!P17/100)*1.429)+((1-(Paėmimas!Q17/100)-(Paėmimas!P17/100))*1.251)</f>
        <v>1.3179691999999998</v>
      </c>
      <c r="H17" s="21">
        <f>H2O!K7</f>
        <v>16.702249492868962</v>
      </c>
      <c r="I17" s="62">
        <f>(E17/(1-(H17/1000))*((273+Paėmimas!F17)/273)*(1013/(Paėmimas!H17+Paėmimas!I17)))</f>
        <v>3.3535857560226916E-2</v>
      </c>
      <c r="J17" s="62">
        <f>(I17/(Paėmimas!M17*60)/((3.142*((Paėmimas!K17/1000)*(Paėmimas!K17/1000))/4)))</f>
        <v>9.4874765005239166</v>
      </c>
      <c r="K17" s="41">
        <f>J17/Paėmimas!G17</f>
        <v>1.0738444557302986</v>
      </c>
      <c r="L17" s="63">
        <f>AVERAGE(K17:K23)</f>
        <v>1.0446323824802357</v>
      </c>
      <c r="M17" s="57" t="s">
        <v>32</v>
      </c>
      <c r="N17" s="64" t="s">
        <v>87</v>
      </c>
    </row>
    <row r="18" spans="1:14" x14ac:dyDescent="0.35">
      <c r="A18" s="7"/>
      <c r="B18" s="7"/>
      <c r="C18" s="85"/>
      <c r="D18" s="59">
        <f>Paėmimas!L18</f>
        <v>3.3000000000000002E-2</v>
      </c>
      <c r="E18" s="60">
        <f>D18*(273/(273+Paėmimas!O18)*(Paėmimas!H18-Paėmimas!J18)/1013)</f>
        <v>2.9284915347346424E-2</v>
      </c>
      <c r="F18" s="7"/>
      <c r="G18" s="17">
        <f>((Paėmimas!Q18/100)*1.965)+((Paėmimas!P18/100)*1.429)+((1-(Paėmimas!Q18/100)-(Paėmimas!P18/100))*1.251)</f>
        <v>1.3179691999999998</v>
      </c>
      <c r="H18" s="21">
        <f>H2O!K7</f>
        <v>16.702249492868962</v>
      </c>
      <c r="I18" s="62">
        <f>(E18/(1-(H18/1000))*((273+Paėmimas!F18)/273)*(1013/(Paėmimas!H18+Paėmimas!I18)))</f>
        <v>3.6682370961580744E-2</v>
      </c>
      <c r="J18" s="62">
        <f>(I18/(Paėmimas!M18*60)/((3.142*((Paėmimas!K18/1000)*(Paėmimas!K18/1000))/4)))</f>
        <v>10.377642255203549</v>
      </c>
      <c r="K18" s="41">
        <f>J18/Paėmimas!G18</f>
        <v>1.0523191717890961</v>
      </c>
      <c r="L18" s="7"/>
      <c r="M18" s="7"/>
      <c r="N18" s="7"/>
    </row>
    <row r="19" spans="1:14" x14ac:dyDescent="0.35">
      <c r="A19" s="7"/>
      <c r="B19" s="7"/>
      <c r="C19" s="85"/>
      <c r="D19" s="59">
        <f>Paėmimas!L19</f>
        <v>3.3000000000000002E-2</v>
      </c>
      <c r="E19" s="60">
        <f>D19*(273/(273+Paėmimas!O19)*(Paėmimas!H19-Paėmimas!J19)/1013)</f>
        <v>2.9275612642344087E-2</v>
      </c>
      <c r="F19" s="7"/>
      <c r="G19" s="17">
        <f>((Paėmimas!Q19/100)*1.965)+((Paėmimas!P19/100)*1.429)+((1-(Paėmimas!Q19/100)-(Paėmimas!P19/100))*1.251)</f>
        <v>1.3179691999999998</v>
      </c>
      <c r="H19" s="21">
        <f>H2O!K7</f>
        <v>16.702249492868962</v>
      </c>
      <c r="I19" s="62">
        <f>(E19/(1-(H19/1000))*((273+Paėmimas!F19)/273)*(1013/(Paėmimas!H19+Paėmimas!I19)))</f>
        <v>3.6670718365976677E-2</v>
      </c>
      <c r="J19" s="62">
        <f>(I19/(Paėmimas!M19*60)/((3.142*((Paėmimas!K19/1000)*(Paėmimas!K19/1000))/4)))</f>
        <v>10.374345672530357</v>
      </c>
      <c r="K19" s="41">
        <f>J19/Paėmimas!G19</f>
        <v>1.0384103226767465</v>
      </c>
      <c r="L19" s="7"/>
      <c r="M19" s="7"/>
      <c r="N19" s="7"/>
    </row>
    <row r="20" spans="1:14" x14ac:dyDescent="0.35">
      <c r="A20" s="7"/>
      <c r="B20" s="7"/>
      <c r="C20" s="85"/>
      <c r="D20" s="59">
        <f>Paėmimas!L20</f>
        <v>3.5999999999999997E-2</v>
      </c>
      <c r="E20" s="60">
        <f>D20*(273/(273+Paėmimas!O20)*(Paėmimas!H20-Paėmimas!J20)/1013)</f>
        <v>3.1667301019773976E-2</v>
      </c>
      <c r="F20" s="7"/>
      <c r="G20" s="17">
        <f>((Paėmimas!Q20/100)*1.965)+((Paėmimas!P20/100)*1.429)+((1-(Paėmimas!Q20/100)-(Paėmimas!P20/100))*1.251)</f>
        <v>1.3179691999999998</v>
      </c>
      <c r="H20" s="21">
        <f>H2O!K7</f>
        <v>16.702249492868962</v>
      </c>
      <c r="I20" s="62">
        <f>(E20/(1-(H20/1000))*((273+Paėmimas!F20)/273)*(1013/(Paėmimas!H20+Paėmimas!I20)))</f>
        <v>3.9666554250929444E-2</v>
      </c>
      <c r="J20" s="62">
        <f>(I20/(Paėmimas!M20*60)/((3.142*((Paėmimas!K20/1000)*(Paėmimas!K20/1000))/4)))</f>
        <v>11.221883938306654</v>
      </c>
      <c r="K20" s="41">
        <f>J20/Paėmimas!G20</f>
        <v>1.0635593499985982</v>
      </c>
      <c r="L20" s="7"/>
      <c r="M20" s="7"/>
      <c r="N20" s="7"/>
    </row>
    <row r="21" spans="1:14" x14ac:dyDescent="0.35">
      <c r="A21" s="7"/>
      <c r="B21" s="7"/>
      <c r="C21" s="85"/>
      <c r="D21" s="59">
        <f>Paėmimas!L21</f>
        <v>3.3000000000000002E-2</v>
      </c>
      <c r="E21" s="60">
        <f>D21*(273/(273+Paėmimas!O21)*(Paėmimas!H21-Paėmimas!J21)/1013)</f>
        <v>2.9226886196226182E-2</v>
      </c>
      <c r="F21" s="7"/>
      <c r="G21" s="17">
        <f>((Paėmimas!Q21/100)*1.965)+((Paėmimas!P21/100)*1.429)+((1-(Paėmimas!Q21/100)-(Paėmimas!P21/100))*1.251)</f>
        <v>1.3179691999999998</v>
      </c>
      <c r="H21" s="21">
        <f>H2O!K7</f>
        <v>16.702249492868962</v>
      </c>
      <c r="I21" s="62">
        <f>(E21/(1-(H21/1000))*((273+Paėmimas!F21)/273)*(1013/(Paėmimas!H21+Paėmimas!I21)))</f>
        <v>3.6609683476480283E-2</v>
      </c>
      <c r="J21" s="62">
        <f>(I21/(Paėmimas!M21*60)/((3.142*((Paėmimas!K21/1000)*(Paėmimas!K21/1000))/4)))</f>
        <v>10.357078570331787</v>
      </c>
      <c r="K21" s="41">
        <f>J21/Paėmimas!G21</f>
        <v>1.0110809508773098</v>
      </c>
      <c r="L21" s="7"/>
      <c r="M21" s="7"/>
      <c r="N21" s="7"/>
    </row>
    <row r="22" spans="1:14" x14ac:dyDescent="0.35">
      <c r="A22" s="7"/>
      <c r="B22" s="7"/>
      <c r="C22" s="85"/>
      <c r="D22" s="59">
        <f>Paėmimas!L22</f>
        <v>3.3000000000000002E-2</v>
      </c>
      <c r="E22" s="60">
        <f>D22*(273/(273+Paėmimas!O22)*(Paėmimas!H22-Paėmimas!J22)/1013)</f>
        <v>2.921846559968146E-2</v>
      </c>
      <c r="F22" s="7"/>
      <c r="G22" s="17">
        <f>((Paėmimas!Q22/100)*1.965)+((Paėmimas!P22/100)*1.429)+((1-(Paėmimas!Q22/100)-(Paėmimas!P22/100))*1.251)</f>
        <v>1.3179691999999998</v>
      </c>
      <c r="H22" s="21">
        <f>H2O!K7</f>
        <v>16.702249492868962</v>
      </c>
      <c r="I22" s="62">
        <f>(E22/(1-(H22/1000))*((273+Paėmimas!F22)/273)*(1013/(Paėmimas!H22+Paėmimas!I22)))</f>
        <v>3.6599135812520611E-2</v>
      </c>
      <c r="J22" s="62">
        <f>(I22/(Paėmimas!M22*60)/((3.142*((Paėmimas!K22/1000)*(Paėmimas!K22/1000))/4)))</f>
        <v>10.35409457883036</v>
      </c>
      <c r="K22" s="41">
        <f>J22/Paėmimas!G22</f>
        <v>1.0170099497094167</v>
      </c>
      <c r="L22" s="7"/>
      <c r="M22" s="7"/>
      <c r="N22" s="7"/>
    </row>
    <row r="23" spans="1:14" x14ac:dyDescent="0.35">
      <c r="A23" s="8"/>
      <c r="B23" s="8"/>
      <c r="C23" s="83"/>
      <c r="D23" s="59">
        <f>Paėmimas!L23</f>
        <v>3.3000000000000002E-2</v>
      </c>
      <c r="E23" s="60">
        <f>D23*(273/(273+Paėmimas!O23)*(Paėmimas!H23-Paėmimas!J23)/1013)</f>
        <v>2.9198968346962111E-2</v>
      </c>
      <c r="F23" s="8"/>
      <c r="G23" s="17">
        <f>((Paėmimas!Q23/100)*1.965)+((Paėmimas!P23/100)*1.429)+((1-(Paėmimas!Q23/100)-(Paėmimas!P23/100))*1.251)</f>
        <v>1.3179691999999998</v>
      </c>
      <c r="H23" s="21">
        <f>H2O!K7</f>
        <v>16.702249492868962</v>
      </c>
      <c r="I23" s="62">
        <f>(E23/(1-(H23/1000))*((273+Paėmimas!F23)/273)*(1013/(Paėmimas!H23+Paėmimas!I23)))</f>
        <v>3.6574713496509113E-2</v>
      </c>
      <c r="J23" s="62">
        <f>(I23/(Paėmimas!M23*60)/((3.142*((Paėmimas!K23/1000)*(Paėmimas!K23/1000))/4)))</f>
        <v>10.347185372801221</v>
      </c>
      <c r="K23" s="41">
        <f>J23/Paėmimas!G23</f>
        <v>1.0562024765801838</v>
      </c>
      <c r="L23" s="8"/>
      <c r="M23" s="8"/>
      <c r="N23" s="8"/>
    </row>
    <row r="24" spans="1:14" x14ac:dyDescent="0.35">
      <c r="F24" s="67">
        <f>SUM(F6,F17)</f>
        <v>0.41778208811382889</v>
      </c>
      <c r="G24" s="65">
        <f>AVERAGE(G17:G23)</f>
        <v>1.3179692000000001</v>
      </c>
      <c r="I24" s="66">
        <f>SUM(I17:I23)</f>
        <v>0.25633903392422375</v>
      </c>
      <c r="L24" s="65">
        <f>AVERAGE(L6,L17)</f>
        <v>1.047386335075599</v>
      </c>
    </row>
    <row r="25" spans="1:14" ht="43.5" x14ac:dyDescent="0.35">
      <c r="F25" s="3" t="s">
        <v>88</v>
      </c>
      <c r="G25" s="3" t="s">
        <v>85</v>
      </c>
      <c r="I25" s="3" t="s">
        <v>86</v>
      </c>
      <c r="L25" s="3" t="s">
        <v>89</v>
      </c>
    </row>
    <row r="27" spans="1:14" x14ac:dyDescent="0.35">
      <c r="G27" s="65">
        <f>AVERAGE(G13,G24)</f>
        <v>1.3179692000000001</v>
      </c>
      <c r="I27" s="66">
        <f>I13+I24</f>
        <v>0.52331507042187642</v>
      </c>
    </row>
    <row r="28" spans="1:14" ht="43.5" x14ac:dyDescent="0.35">
      <c r="G28" s="3" t="s">
        <v>90</v>
      </c>
      <c r="I28" s="3" t="s">
        <v>91</v>
      </c>
    </row>
  </sheetData>
  <mergeCells count="3">
    <mergeCell ref="C17:C23"/>
    <mergeCell ref="C6:C12"/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P8"/>
  <sheetViews>
    <sheetView workbookViewId="0"/>
  </sheetViews>
  <sheetFormatPr defaultRowHeight="14.5" x14ac:dyDescent="0.35"/>
  <cols>
    <col min="1" max="15" width="14" customWidth="1"/>
    <col min="16" max="16" width="17" customWidth="1"/>
  </cols>
  <sheetData>
    <row r="2" spans="1:16" x14ac:dyDescent="0.35">
      <c r="A2" s="88" t="s">
        <v>92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</row>
    <row r="5" spans="1:16" ht="58" x14ac:dyDescent="0.35">
      <c r="A5" s="1" t="s">
        <v>1</v>
      </c>
      <c r="B5" s="1" t="s">
        <v>2</v>
      </c>
      <c r="C5" s="1" t="s">
        <v>3</v>
      </c>
      <c r="D5" s="1" t="s">
        <v>93</v>
      </c>
      <c r="E5" s="1" t="s">
        <v>94</v>
      </c>
      <c r="F5" s="1" t="s">
        <v>95</v>
      </c>
      <c r="G5" s="1" t="s">
        <v>96</v>
      </c>
      <c r="H5" s="1" t="s">
        <v>97</v>
      </c>
      <c r="I5" s="1" t="s">
        <v>98</v>
      </c>
      <c r="J5" s="1" t="s">
        <v>99</v>
      </c>
      <c r="K5" s="1" t="s">
        <v>100</v>
      </c>
      <c r="L5" s="1" t="s">
        <v>101</v>
      </c>
      <c r="M5" s="1" t="s">
        <v>102</v>
      </c>
      <c r="N5" s="1" t="s">
        <v>83</v>
      </c>
      <c r="O5" s="1" t="s">
        <v>103</v>
      </c>
      <c r="P5" s="1" t="s">
        <v>44</v>
      </c>
    </row>
    <row r="6" spans="1:16" ht="25" customHeight="1" x14ac:dyDescent="0.35">
      <c r="A6" s="68" t="s">
        <v>29</v>
      </c>
      <c r="B6" s="68">
        <v>5</v>
      </c>
      <c r="C6" s="89" t="s">
        <v>30</v>
      </c>
      <c r="D6" s="69"/>
      <c r="E6" s="69"/>
      <c r="F6" s="69"/>
      <c r="G6" s="69"/>
      <c r="H6" s="70"/>
      <c r="I6" s="69"/>
      <c r="J6" s="69"/>
      <c r="K6" s="70"/>
      <c r="L6" s="70"/>
      <c r="M6" s="90"/>
      <c r="N6" s="71" t="s">
        <v>32</v>
      </c>
      <c r="O6" s="72">
        <v>1</v>
      </c>
      <c r="P6" s="73" t="s">
        <v>87</v>
      </c>
    </row>
    <row r="7" spans="1:16" ht="25" customHeight="1" x14ac:dyDescent="0.35">
      <c r="A7" s="9"/>
      <c r="B7" s="9"/>
      <c r="C7" s="85"/>
      <c r="M7" s="91"/>
      <c r="N7" s="74"/>
    </row>
    <row r="8" spans="1:16" ht="25" customHeight="1" x14ac:dyDescent="0.35">
      <c r="A8" s="10"/>
      <c r="B8" s="10"/>
      <c r="C8" s="83"/>
      <c r="M8" s="92"/>
      <c r="N8" s="75"/>
    </row>
  </sheetData>
  <mergeCells count="3">
    <mergeCell ref="C6:C8"/>
    <mergeCell ref="M6:M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16"/>
  <sheetViews>
    <sheetView workbookViewId="0"/>
  </sheetViews>
  <sheetFormatPr defaultRowHeight="14.5" x14ac:dyDescent="0.35"/>
  <cols>
    <col min="1" max="14" width="16" customWidth="1"/>
    <col min="15" max="15" width="38" customWidth="1"/>
  </cols>
  <sheetData>
    <row r="2" spans="1:15" x14ac:dyDescent="0.35">
      <c r="A2" s="88" t="s">
        <v>104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</row>
    <row r="4" spans="1:15" ht="60" customHeight="1" x14ac:dyDescent="0.35">
      <c r="A4" s="93" t="s">
        <v>2</v>
      </c>
      <c r="B4" s="93" t="s">
        <v>3</v>
      </c>
      <c r="C4" s="93" t="s">
        <v>105</v>
      </c>
      <c r="D4" s="93" t="s">
        <v>106</v>
      </c>
      <c r="E4" s="93" t="s">
        <v>107</v>
      </c>
      <c r="F4" s="80"/>
      <c r="G4" s="81"/>
      <c r="H4" s="93" t="s">
        <v>108</v>
      </c>
      <c r="I4" s="93" t="s">
        <v>109</v>
      </c>
      <c r="J4" s="93" t="s">
        <v>110</v>
      </c>
      <c r="K4" s="80"/>
      <c r="L4" s="81"/>
      <c r="M4" s="93" t="s">
        <v>111</v>
      </c>
      <c r="N4" s="93" t="s">
        <v>108</v>
      </c>
      <c r="O4" s="93" t="s">
        <v>44</v>
      </c>
    </row>
    <row r="5" spans="1:15" x14ac:dyDescent="0.35">
      <c r="A5" s="83"/>
      <c r="B5" s="83"/>
      <c r="C5" s="83"/>
      <c r="D5" s="83"/>
      <c r="E5" s="3" t="s">
        <v>112</v>
      </c>
      <c r="F5" s="3" t="s">
        <v>113</v>
      </c>
      <c r="G5" s="3" t="s">
        <v>114</v>
      </c>
      <c r="H5" s="83"/>
      <c r="I5" s="83"/>
      <c r="J5" s="3" t="s">
        <v>112</v>
      </c>
      <c r="K5" s="3" t="s">
        <v>113</v>
      </c>
      <c r="L5" s="3" t="s">
        <v>114</v>
      </c>
      <c r="M5" s="83"/>
      <c r="N5" s="83"/>
      <c r="O5" s="83"/>
    </row>
    <row r="6" spans="1:15" x14ac:dyDescent="0.35">
      <c r="A6" s="38">
        <v>5</v>
      </c>
      <c r="B6" s="94" t="s">
        <v>30</v>
      </c>
      <c r="C6" s="5">
        <v>1</v>
      </c>
      <c r="D6" s="76"/>
      <c r="E6" s="25"/>
      <c r="F6" s="25"/>
      <c r="G6" s="25"/>
      <c r="H6" s="57" t="s">
        <v>32</v>
      </c>
      <c r="I6" s="46"/>
      <c r="J6" s="25"/>
      <c r="K6" s="25"/>
      <c r="L6" s="25"/>
      <c r="M6" s="26"/>
      <c r="N6" s="46"/>
      <c r="O6" s="77" t="s">
        <v>87</v>
      </c>
    </row>
    <row r="7" spans="1:15" x14ac:dyDescent="0.35">
      <c r="A7" s="9"/>
      <c r="B7" s="95"/>
      <c r="C7" s="4"/>
      <c r="D7" s="7"/>
      <c r="E7" s="4"/>
      <c r="F7" s="4"/>
      <c r="G7" s="4"/>
      <c r="H7" s="7"/>
      <c r="I7" s="7"/>
      <c r="J7" s="4"/>
      <c r="K7" s="4"/>
      <c r="L7" s="4"/>
      <c r="M7" s="26"/>
      <c r="N7" s="7"/>
      <c r="O7" s="4"/>
    </row>
    <row r="8" spans="1:15" x14ac:dyDescent="0.35">
      <c r="A8" s="9"/>
      <c r="B8" s="95"/>
      <c r="C8" s="4"/>
      <c r="D8" s="7"/>
      <c r="E8" s="4"/>
      <c r="F8" s="4"/>
      <c r="G8" s="4"/>
      <c r="H8" s="7"/>
      <c r="I8" s="7"/>
      <c r="J8" s="4"/>
      <c r="K8" s="4"/>
      <c r="L8" s="4"/>
      <c r="M8" s="26"/>
      <c r="N8" s="7"/>
      <c r="O8" s="4"/>
    </row>
    <row r="9" spans="1:15" x14ac:dyDescent="0.35">
      <c r="A9" s="9"/>
      <c r="B9" s="95"/>
      <c r="C9" s="5" t="s">
        <v>113</v>
      </c>
      <c r="D9" s="7"/>
      <c r="E9" s="25"/>
      <c r="F9" s="25"/>
      <c r="G9" s="25"/>
      <c r="H9" s="7"/>
      <c r="I9" s="7"/>
      <c r="J9" s="25"/>
      <c r="K9" s="25"/>
      <c r="L9" s="25"/>
      <c r="M9" s="26"/>
      <c r="N9" s="7"/>
      <c r="O9" s="78" t="s">
        <v>115</v>
      </c>
    </row>
    <row r="10" spans="1:15" x14ac:dyDescent="0.35">
      <c r="A10" s="9"/>
      <c r="B10" s="95"/>
      <c r="C10" s="4"/>
      <c r="D10" s="7"/>
      <c r="E10" s="4"/>
      <c r="F10" s="4"/>
      <c r="G10" s="4"/>
      <c r="H10" s="7"/>
      <c r="I10" s="7"/>
      <c r="J10" s="4"/>
      <c r="K10" s="4"/>
      <c r="L10" s="4"/>
      <c r="M10" s="4"/>
      <c r="N10" s="7"/>
      <c r="O10" s="4"/>
    </row>
    <row r="11" spans="1:15" x14ac:dyDescent="0.35">
      <c r="A11" s="9"/>
      <c r="B11" s="95"/>
      <c r="C11" s="5" t="s">
        <v>116</v>
      </c>
      <c r="D11" s="7"/>
      <c r="E11" s="25"/>
      <c r="F11" s="25"/>
      <c r="G11" s="25"/>
      <c r="H11" s="7"/>
      <c r="I11" s="7"/>
      <c r="J11" s="25"/>
      <c r="K11" s="25"/>
      <c r="L11" s="25"/>
      <c r="M11" s="26"/>
      <c r="N11" s="7"/>
      <c r="O11" s="78" t="s">
        <v>117</v>
      </c>
    </row>
    <row r="12" spans="1:15" ht="29" x14ac:dyDescent="0.35">
      <c r="A12" s="9"/>
      <c r="B12" s="95"/>
      <c r="C12" s="5" t="s">
        <v>118</v>
      </c>
      <c r="D12" s="7"/>
      <c r="E12" s="25"/>
      <c r="F12" s="25"/>
      <c r="G12" s="25"/>
      <c r="H12" s="7"/>
      <c r="I12" s="7"/>
      <c r="J12" s="25"/>
      <c r="K12" s="25"/>
      <c r="L12" s="25"/>
      <c r="M12" s="26"/>
      <c r="N12" s="7"/>
      <c r="O12" s="78" t="s">
        <v>119</v>
      </c>
    </row>
    <row r="13" spans="1:15" x14ac:dyDescent="0.35">
      <c r="A13" s="9"/>
      <c r="B13" s="95"/>
      <c r="C13" s="5" t="s">
        <v>120</v>
      </c>
      <c r="D13" s="7"/>
      <c r="E13" s="25"/>
      <c r="F13" s="25"/>
      <c r="G13" s="25"/>
      <c r="H13" s="7"/>
      <c r="I13" s="7"/>
      <c r="J13" s="25"/>
      <c r="K13" s="25"/>
      <c r="L13" s="25"/>
      <c r="M13" s="26"/>
      <c r="N13" s="7"/>
      <c r="O13" s="78" t="s">
        <v>121</v>
      </c>
    </row>
    <row r="14" spans="1:15" x14ac:dyDescent="0.35">
      <c r="A14" s="9"/>
      <c r="B14" s="95"/>
      <c r="C14" s="5" t="s">
        <v>122</v>
      </c>
      <c r="D14" s="7"/>
      <c r="E14" s="25"/>
      <c r="F14" s="25"/>
      <c r="G14" s="25"/>
      <c r="H14" s="7"/>
      <c r="I14" s="7"/>
      <c r="J14" s="25"/>
      <c r="K14" s="25"/>
      <c r="L14" s="25"/>
      <c r="M14" s="26"/>
      <c r="N14" s="7"/>
      <c r="O14" s="78" t="s">
        <v>123</v>
      </c>
    </row>
    <row r="15" spans="1:15" x14ac:dyDescent="0.35">
      <c r="A15" s="9"/>
      <c r="B15" s="95"/>
      <c r="C15" s="5" t="s">
        <v>124</v>
      </c>
      <c r="D15" s="7"/>
      <c r="E15" s="25"/>
      <c r="F15" s="25"/>
      <c r="G15" s="25"/>
      <c r="H15" s="7"/>
      <c r="I15" s="7"/>
      <c r="J15" s="25"/>
      <c r="K15" s="25"/>
      <c r="L15" s="25"/>
      <c r="M15" s="26"/>
      <c r="N15" s="7"/>
      <c r="O15" s="78" t="s">
        <v>125</v>
      </c>
    </row>
    <row r="16" spans="1:15" ht="29" x14ac:dyDescent="0.35">
      <c r="A16" s="10"/>
      <c r="B16" s="96"/>
      <c r="C16" s="4"/>
      <c r="D16" s="8"/>
      <c r="E16" s="4"/>
      <c r="F16" s="4"/>
      <c r="G16" s="4"/>
      <c r="H16" s="8"/>
      <c r="I16" s="8"/>
      <c r="J16" s="4"/>
      <c r="K16" s="4"/>
      <c r="L16" s="4"/>
      <c r="M16" s="26"/>
      <c r="N16" s="8"/>
      <c r="O16" s="78" t="s">
        <v>126</v>
      </c>
    </row>
  </sheetData>
  <mergeCells count="13">
    <mergeCell ref="B6:B16"/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E4:G4"/>
    <mergeCell ref="J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D5"/>
  <sheetViews>
    <sheetView workbookViewId="0"/>
  </sheetViews>
  <sheetFormatPr defaultRowHeight="14.5" x14ac:dyDescent="0.35"/>
  <cols>
    <col min="1" max="4" width="18" customWidth="1"/>
  </cols>
  <sheetData>
    <row r="3" spans="1:4" ht="45" customHeight="1" x14ac:dyDescent="0.35">
      <c r="A3" s="88" t="s">
        <v>127</v>
      </c>
      <c r="B3" s="87"/>
      <c r="C3" s="87"/>
      <c r="D3" s="87"/>
    </row>
    <row r="5" spans="1:4" ht="72.5" x14ac:dyDescent="0.35">
      <c r="A5" s="1" t="s">
        <v>128</v>
      </c>
      <c r="B5" s="1" t="s">
        <v>129</v>
      </c>
      <c r="C5" s="1" t="s">
        <v>130</v>
      </c>
      <c r="D5" s="1" t="s">
        <v>131</v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7</vt:i4>
      </vt:variant>
    </vt:vector>
  </HeadingPairs>
  <TitlesOfParts>
    <vt:vector size="7" baseType="lpstr">
      <vt:lpstr>Greitis</vt:lpstr>
      <vt:lpstr>H2O</vt:lpstr>
      <vt:lpstr>Paėmimas</vt:lpstr>
      <vt:lpstr>Aerodinamika</vt:lpstr>
      <vt:lpstr>Koncentracija</vt:lpstr>
      <vt:lpstr>Svėrimas</vt:lpstr>
      <vt:lpstr>Koncentracijos ribinės vertės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2026-03-31T07:15:18Z</dcterms:created>
  <dcterms:modified xsi:type="dcterms:W3CDTF">2026-03-31T07:19:08Z</dcterms:modified>
</cp:coreProperties>
</file>