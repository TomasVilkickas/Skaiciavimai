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4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1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2">
      <c r="A2" s="2" t="inlineStr">
        <is>
          <t>Debitas pagal matuotą diferencinį slėgį</t>
        </is>
      </c>
    </row>
    <row r="4" ht="130" customHeight="1">
      <c r="A4" s="3" t="inlineStr">
        <is>
          <t>Matavimo data</t>
        </is>
      </c>
      <c r="B4" s="3" t="inlineStr">
        <is>
          <t>Ėminių registracijos Nr. T-107-2026-E-</t>
        </is>
      </c>
      <c r="C4" s="3" t="inlineStr">
        <is>
          <t>Objekto pavadinimas, adresas, taršos šaltinio Nr.</t>
        </is>
      </c>
      <c r="D4" s="3" t="inlineStr">
        <is>
          <t>Matavimo taškai ortakyje nuo vidinės sienelės, cm</t>
        </is>
      </c>
      <c r="E4" s="3" t="inlineStr">
        <is>
          <t>Išmatuotas diferencinis slėgis taškuose 1 linija, Pdi, hPa</t>
        </is>
      </c>
      <c r="F4" s="3" t="inlineStr">
        <is>
          <t>Pito vamzdelio koeficientas, K</t>
        </is>
      </c>
      <c r="G4" s="3" t="inlineStr">
        <is>
          <t>Temperatūra ortakyje t, oC</t>
        </is>
      </c>
      <c r="H4" s="3" t="inlineStr">
        <is>
          <t>Atmosferinis slėgis P, hPa</t>
        </is>
      </c>
      <c r="I4" s="3" t="inlineStr">
        <is>
          <t>Statinis slėgis ortakyje ± ΔP, hPa</t>
        </is>
      </c>
      <c r="J4" s="3" t="inlineStr">
        <is>
          <t>Dujų slėgis kamine Pk= P+ ΔP, hPa</t>
        </is>
      </c>
      <c r="K4" s="3" t="inlineStr">
        <is>
          <t>Dujų mol. masė Ms= qn *22.4, kg/</t>
        </is>
      </c>
      <c r="L4" s="3" t="inlineStr">
        <is>
          <t>Dujų srauto greitis matavimo taškuose, 1 linija, wi = K*129 *√t *√Pdi/ √Pk/√Ms, m/s</t>
        </is>
      </c>
      <c r="M4" s="3" t="inlineStr">
        <is>
          <t>Vidutinis dujų srauto greitis ortakyje w, m/s</t>
        </is>
      </c>
      <c r="N4" s="3" t="inlineStr">
        <is>
          <t>Ortakio diametras, matmenys, m</t>
        </is>
      </c>
      <c r="O4" s="3" t="inlineStr">
        <is>
          <t>Ortakio skerspjūvio plotas F, m2</t>
        </is>
      </c>
      <c r="P4" s="3" t="inlineStr">
        <is>
          <t>Dujų tūrio debitas realiomis sąlygomis Vk = wvid × F, m3/s</t>
        </is>
      </c>
      <c r="Q4" s="3" t="inlineStr">
        <is>
          <t>Dujų tūrio debitas normaliosiomis sąlygomis Vdr n.s =Vk *0,269*(P±ΔP)/(273+t), m3/s</t>
        </is>
      </c>
      <c r="R4" s="3" t="inlineStr">
        <is>
          <t>Vandens kondensato masė m H2O, kg</t>
        </is>
      </c>
      <c r="S4" s="3" t="inlineStr">
        <is>
          <t>Vandens garų konc. dujose x=mH2O/Vmn*qn, kg/kg</t>
        </is>
      </c>
      <c r="T4" s="3" t="inlineStr">
        <is>
          <t>Sausų dujų tūrio debitas normaliosiomis sąlygomis Vn= Vdr n.s *((1/(1+(x*qn/0.8038)))</t>
        </is>
      </c>
      <c r="U4" s="3" t="inlineStr">
        <is>
          <t>Prasiurbtas dujų tūris normaliosiomis sąlygomis Vmn, Nm3</t>
        </is>
      </c>
      <c r="V4" s="3" t="inlineStr">
        <is>
          <t>Išplėstinės neapibrėžties koef. A</t>
        </is>
      </c>
      <c r="W4" s="3" t="inlineStr">
        <is>
          <t>Išplėstinė neapibrėžtis (dujų tūrio debitas) Uv</t>
        </is>
      </c>
      <c r="X4" s="3" t="inlineStr">
        <is>
          <t>Išplėstinė neapibrėžtis (dujų srauto greitis) Uw</t>
        </is>
      </c>
      <c r="Y4" s="3" t="inlineStr">
        <is>
          <t>Sausų dujų tankis normaliosioms sąlygomis qn, (kg/m3)</t>
        </is>
      </c>
      <c r="Z4" s="3" t="inlineStr">
        <is>
          <t>Skaičiavimus atliko (inicialai, data)</t>
        </is>
      </c>
    </row>
    <row r="5">
      <c r="A5" s="1" t="n"/>
      <c r="B5" s="1" t="n"/>
      <c r="C5" s="1" t="n"/>
      <c r="D5" s="1" t="n">
        <v>5</v>
      </c>
      <c r="F5" s="6" t="n">
        <v>0.827</v>
      </c>
      <c r="N5" s="1" t="inlineStr">
        <is>
          <t>1,20</t>
        </is>
      </c>
      <c r="O5" s="7">
        <f>(N5^2*3.14)/4</f>
        <v/>
      </c>
      <c r="V5" s="6" t="n">
        <v>0.079</v>
      </c>
    </row>
    <row r="6">
      <c r="D6" s="1" t="n">
        <v>8</v>
      </c>
      <c r="F6" s="6" t="n">
        <v>0.827</v>
      </c>
      <c r="V6" s="6" t="n">
        <v>0.079</v>
      </c>
    </row>
    <row r="7">
      <c r="D7" s="1" t="n">
        <v>14</v>
      </c>
      <c r="F7" s="6" t="n">
        <v>0.827</v>
      </c>
    </row>
    <row r="8">
      <c r="D8" s="1" t="n">
        <v>20</v>
      </c>
      <c r="F8" s="6" t="n">
        <v>0.827</v>
      </c>
    </row>
    <row r="9">
      <c r="D9" s="1" t="n">
        <v>28</v>
      </c>
      <c r="F9" s="6" t="n">
        <v>0.827</v>
      </c>
    </row>
    <row r="10">
      <c r="D10" s="1" t="n">
        <v>39</v>
      </c>
      <c r="F10" s="6" t="n">
        <v>0.827</v>
      </c>
    </row>
    <row r="11">
      <c r="D11" s="1" t="n">
        <v>60</v>
      </c>
      <c r="F11" s="6" t="n">
        <v>0.827</v>
      </c>
    </row>
    <row r="12">
      <c r="D12" s="1" t="n">
        <v>81</v>
      </c>
      <c r="F12" s="6" t="n">
        <v>0.827</v>
      </c>
    </row>
    <row r="13">
      <c r="D13" s="1" t="n">
        <v>92</v>
      </c>
      <c r="F13" s="6" t="n">
        <v>0.827</v>
      </c>
    </row>
    <row r="14">
      <c r="D14" s="1" t="n">
        <v>100</v>
      </c>
      <c r="F14" s="6" t="n">
        <v>0.827</v>
      </c>
    </row>
    <row r="15">
      <c r="D15" s="1" t="n">
        <v>106</v>
      </c>
      <c r="F15" s="6" t="n">
        <v>0.827</v>
      </c>
    </row>
    <row r="16">
      <c r="D16" s="1" t="n">
        <v>112</v>
      </c>
      <c r="F16" s="6" t="n">
        <v>0.827</v>
      </c>
    </row>
    <row r="17">
      <c r="D17" s="1" t="n">
        <v>115</v>
      </c>
      <c r="F17" s="6" t="n">
        <v>0.827</v>
      </c>
    </row>
  </sheetData>
  <mergeCells count="4">
    <mergeCell ref="A5:A17"/>
    <mergeCell ref="B5:B17"/>
    <mergeCell ref="A2:Z2"/>
    <mergeCell ref="C5:C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skersmuo d,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Vidutinis 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</row>
    <row r="6">
      <c r="D6" s="9" t="inlineStr">
        <is>
          <t>1,20</t>
        </is>
      </c>
      <c r="E6" s="10">
        <f>'Greitis'!O5</f>
        <v/>
      </c>
    </row>
  </sheetData>
  <mergeCells count="1">
    <mergeCell ref="A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</sheetData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</sheetData>
  <mergeCells count="1"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1" t="inlineStr">
        <is>
          <t>Ėminių registracijos Nr. T-107-2026-E-</t>
        </is>
      </c>
      <c r="B4" s="11" t="inlineStr">
        <is>
          <t>Objekto pavadinimas, adresas, taršos šaltinio Nr.</t>
        </is>
      </c>
      <c r="C4" s="11" t="inlineStr">
        <is>
          <t>Filtro/ indo Nr.</t>
        </is>
      </c>
      <c r="D4" s="11" t="inlineStr">
        <is>
          <t>Tuščio filtro/indo svėrimo data</t>
        </is>
      </c>
      <c r="E4" s="11" t="inlineStr">
        <is>
          <t>Filtro/indo svoris prieš KD ėmimą mpr (g)</t>
        </is>
      </c>
      <c r="F4" s="13" t="n"/>
      <c r="G4" s="14" t="n"/>
      <c r="H4" s="11" t="inlineStr">
        <is>
          <t>Atsakingo asmens inicialai, data</t>
        </is>
      </c>
      <c r="I4" s="11" t="inlineStr">
        <is>
          <t>Filtro/indo su ėminiu svėrimo data</t>
        </is>
      </c>
      <c r="J4" s="11" t="inlineStr">
        <is>
          <t>Filtro/indo svoris po KD ėmimo mpo (g)</t>
        </is>
      </c>
      <c r="K4" s="13" t="n"/>
      <c r="L4" s="14" t="n"/>
      <c r="M4" s="11" t="inlineStr">
        <is>
          <t>Kietųjų dalelių svoris mf/Svorių pokytis (g) (&lt;2,20 g filtro talpumas)</t>
        </is>
      </c>
      <c r="N4" s="11" t="inlineStr">
        <is>
          <t>Atsakingo asmens inicialai, data</t>
        </is>
      </c>
      <c r="O4" s="11" t="inlineStr">
        <is>
          <t>Pastabos</t>
        </is>
      </c>
    </row>
    <row r="5">
      <c r="A5" s="15" t="n"/>
      <c r="B5" s="15" t="n"/>
      <c r="C5" s="15" t="n"/>
      <c r="D5" s="15" t="n"/>
      <c r="E5" s="11" t="inlineStr">
        <is>
          <t>1</t>
        </is>
      </c>
      <c r="F5" s="11" t="inlineStr">
        <is>
          <t>2</t>
        </is>
      </c>
      <c r="G5" s="11" t="inlineStr">
        <is>
          <t>3</t>
        </is>
      </c>
      <c r="H5" s="15" t="n"/>
      <c r="I5" s="15" t="n"/>
      <c r="J5" s="11" t="inlineStr">
        <is>
          <t>1</t>
        </is>
      </c>
      <c r="K5" s="11" t="inlineStr">
        <is>
          <t>2</t>
        </is>
      </c>
      <c r="L5" s="11" t="inlineStr">
        <is>
          <t>3</t>
        </is>
      </c>
      <c r="M5" s="15" t="n"/>
      <c r="N5" s="15" t="n"/>
      <c r="O5" s="15" t="n"/>
    </row>
    <row r="6">
      <c r="A6" s="16" t="n"/>
      <c r="B6" s="16" t="n"/>
      <c r="C6" s="17" t="n">
        <v>1</v>
      </c>
      <c r="D6" s="16" t="n"/>
      <c r="E6" s="18" t="n"/>
      <c r="F6" s="18" t="n"/>
      <c r="G6" s="18" t="n"/>
      <c r="H6" s="16" t="n"/>
      <c r="I6" s="16" t="n"/>
      <c r="J6" s="18" t="n"/>
      <c r="K6" s="18" t="n"/>
      <c r="L6" s="18" t="n"/>
      <c r="M6" s="19" t="n"/>
      <c r="N6" s="16" t="n"/>
      <c r="O6" s="20" t="inlineStr">
        <is>
          <t>1 linija, 1 filtras</t>
        </is>
      </c>
    </row>
    <row r="7">
      <c r="A7" s="21" t="n"/>
      <c r="B7" s="21" t="n"/>
      <c r="C7" s="12" t="n"/>
      <c r="D7" s="21" t="n"/>
      <c r="E7" s="12" t="n"/>
      <c r="F7" s="12" t="n"/>
      <c r="G7" s="12" t="n"/>
      <c r="H7" s="21" t="n"/>
      <c r="I7" s="21" t="n"/>
      <c r="J7" s="12" t="n"/>
      <c r="K7" s="12" t="n"/>
      <c r="L7" s="12" t="n"/>
      <c r="M7" s="19" t="n"/>
      <c r="N7" s="21" t="n"/>
      <c r="O7" s="12" t="n"/>
    </row>
    <row r="8">
      <c r="A8" s="21" t="n"/>
      <c r="B8" s="21" t="n"/>
      <c r="C8" s="12" t="n"/>
      <c r="D8" s="21" t="n"/>
      <c r="E8" s="12" t="n"/>
      <c r="F8" s="12" t="n"/>
      <c r="G8" s="12" t="n"/>
      <c r="H8" s="21" t="n"/>
      <c r="I8" s="21" t="n"/>
      <c r="J8" s="12" t="n"/>
      <c r="K8" s="12" t="n"/>
      <c r="L8" s="12" t="n"/>
      <c r="M8" s="19" t="n"/>
      <c r="N8" s="21" t="n"/>
      <c r="O8" s="12" t="n"/>
    </row>
    <row r="9">
      <c r="A9" s="21" t="n"/>
      <c r="B9" s="21" t="n"/>
      <c r="C9" s="17" t="inlineStr">
        <is>
          <t>2</t>
        </is>
      </c>
      <c r="D9" s="21" t="n"/>
      <c r="E9" s="18" t="n"/>
      <c r="F9" s="18" t="n"/>
      <c r="G9" s="18" t="n"/>
      <c r="H9" s="21" t="n"/>
      <c r="I9" s="21" t="n"/>
      <c r="J9" s="18" t="n"/>
      <c r="K9" s="18" t="n"/>
      <c r="L9" s="18" t="n"/>
      <c r="M9" s="19" t="n"/>
      <c r="N9" s="21" t="n"/>
      <c r="O9" s="22" t="inlineStr">
        <is>
          <t>Tuščiasis ėminys (mt)</t>
        </is>
      </c>
    </row>
    <row r="10">
      <c r="A10" s="21" t="n"/>
      <c r="B10" s="21" t="n"/>
      <c r="C10" s="12" t="n"/>
      <c r="D10" s="21" t="n"/>
      <c r="E10" s="12" t="n"/>
      <c r="F10" s="12" t="n"/>
      <c r="G10" s="12" t="n"/>
      <c r="H10" s="21" t="n"/>
      <c r="I10" s="21" t="n"/>
      <c r="J10" s="12" t="n"/>
      <c r="K10" s="12" t="n"/>
      <c r="L10" s="12" t="n"/>
      <c r="M10" s="12" t="n"/>
      <c r="N10" s="21" t="n"/>
      <c r="O10" s="12" t="n"/>
    </row>
    <row r="11">
      <c r="A11" s="21" t="n"/>
      <c r="B11" s="21" t="n"/>
      <c r="C11" s="17" t="inlineStr">
        <is>
          <t>41</t>
        </is>
      </c>
      <c r="D11" s="21" t="n"/>
      <c r="E11" s="18" t="n"/>
      <c r="F11" s="18" t="n"/>
      <c r="G11" s="18" t="n"/>
      <c r="H11" s="21" t="n"/>
      <c r="I11" s="21" t="n"/>
      <c r="J11" s="18" t="n"/>
      <c r="K11" s="18" t="n"/>
      <c r="L11" s="18" t="n"/>
      <c r="M11" s="19" t="n"/>
      <c r="N11" s="21" t="n"/>
      <c r="O11" s="22" t="inlineStr">
        <is>
          <t>Išplautos nuosėdos (mn)</t>
        </is>
      </c>
    </row>
    <row r="12">
      <c r="A12" s="21" t="n"/>
      <c r="B12" s="21" t="n"/>
      <c r="C12" s="17" t="inlineStr">
        <is>
          <t>00</t>
        </is>
      </c>
      <c r="D12" s="21" t="n"/>
      <c r="E12" s="18" t="n"/>
      <c r="F12" s="18" t="n"/>
      <c r="G12" s="18" t="n"/>
      <c r="H12" s="21" t="n"/>
      <c r="I12" s="21" t="n"/>
      <c r="J12" s="18" t="n"/>
      <c r="K12" s="18" t="n"/>
      <c r="L12" s="18" t="n"/>
      <c r="M12" s="19" t="n"/>
      <c r="N12" s="21" t="n"/>
      <c r="O12" s="22" t="inlineStr">
        <is>
          <t>Išvalytos ėminių sistemos tuščiasis ėminys (mIt)</t>
        </is>
      </c>
    </row>
    <row r="13">
      <c r="A13" s="21" t="n"/>
      <c r="B13" s="21" t="n"/>
      <c r="C13" s="17" t="inlineStr">
        <is>
          <t>01</t>
        </is>
      </c>
      <c r="D13" s="21" t="n"/>
      <c r="E13" s="18" t="n"/>
      <c r="F13" s="18" t="n"/>
      <c r="G13" s="18" t="n"/>
      <c r="H13" s="21" t="n"/>
      <c r="I13" s="21" t="n"/>
      <c r="J13" s="18" t="n"/>
      <c r="K13" s="18" t="n"/>
      <c r="L13" s="18" t="n"/>
      <c r="M13" s="19" t="n"/>
      <c r="N13" s="21" t="n"/>
      <c r="O13" s="22" t="inlineStr">
        <is>
          <t>Tušti indai svorio kontrolei (mIt1)</t>
        </is>
      </c>
    </row>
    <row r="14">
      <c r="A14" s="21" t="n"/>
      <c r="B14" s="21" t="n"/>
      <c r="C14" s="17" t="inlineStr">
        <is>
          <t>02</t>
        </is>
      </c>
      <c r="D14" s="21" t="n"/>
      <c r="E14" s="18" t="n"/>
      <c r="F14" s="18" t="n"/>
      <c r="G14" s="18" t="n"/>
      <c r="H14" s="21" t="n"/>
      <c r="I14" s="21" t="n"/>
      <c r="J14" s="18" t="n"/>
      <c r="K14" s="18" t="n"/>
      <c r="L14" s="18" t="n"/>
      <c r="M14" s="19" t="n"/>
      <c r="N14" s="21" t="n"/>
      <c r="O14" s="22" t="inlineStr">
        <is>
          <t>Tušti indai svorio kontrolei (mIt2)</t>
        </is>
      </c>
    </row>
    <row r="15">
      <c r="A15" s="21" t="n"/>
      <c r="B15" s="21" t="n"/>
      <c r="C15" s="17" t="inlineStr">
        <is>
          <t>03</t>
        </is>
      </c>
      <c r="D15" s="21" t="n"/>
      <c r="E15" s="18" t="n"/>
      <c r="F15" s="18" t="n"/>
      <c r="G15" s="18" t="n"/>
      <c r="H15" s="21" t="n"/>
      <c r="I15" s="21" t="n"/>
      <c r="J15" s="18" t="n"/>
      <c r="K15" s="18" t="n"/>
      <c r="L15" s="18" t="n"/>
      <c r="M15" s="19" t="n"/>
      <c r="N15" s="21" t="n"/>
      <c r="O15" s="22" t="inlineStr">
        <is>
          <t>Tušti indai svorio kontrolei (mIt3)</t>
        </is>
      </c>
    </row>
    <row r="16">
      <c r="A16" s="23" t="n"/>
      <c r="B16" s="23" t="n"/>
      <c r="C16" s="12" t="n"/>
      <c r="D16" s="23" t="n"/>
      <c r="E16" s="12" t="n"/>
      <c r="F16" s="12" t="n"/>
      <c r="G16" s="12" t="n"/>
      <c r="H16" s="23" t="n"/>
      <c r="I16" s="23" t="n"/>
      <c r="J16" s="12" t="n"/>
      <c r="K16" s="12" t="n"/>
      <c r="L16" s="12" t="n"/>
      <c r="M16" s="19" t="n"/>
      <c r="N16" s="23" t="n"/>
      <c r="O16" s="22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2026-03-10T13:06:55Z</dcterms:created>
  <dcterms:modified xsi:type="dcterms:W3CDTF">2026-03-10T13:07:03Z</dcterms:modified>
</cp:coreProperties>
</file>