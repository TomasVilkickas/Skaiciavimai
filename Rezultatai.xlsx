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agentura2020.sharepoint.com/sites/VidurioLietuvosaplinkostyrimuskyrius/Bendrai naudojami dokumentai/EB7-014 Darbuotojų failai/Tomo/Python 3.14.3/Skaiciavimai/"/>
    </mc:Choice>
  </mc:AlternateContent>
  <xr:revisionPtr revIDLastSave="0" documentId="11_34E908E31D912AB964FD643F89B419E183BA5843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Greitis" sheetId="1" r:id="rId1"/>
    <sheet name="H2O" sheetId="2" r:id="rId2"/>
    <sheet name="Paėmimas" sheetId="3" r:id="rId3"/>
    <sheet name="Aerodinamika" sheetId="4" r:id="rId4"/>
    <sheet name="Koncentracija" sheetId="5" r:id="rId5"/>
    <sheet name="Svėrimas" sheetId="6" r:id="rId6"/>
    <sheet name="Koncentracijos ribinės vertė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9" i="3" l="1"/>
  <c r="U9" i="3"/>
  <c r="T9" i="3"/>
  <c r="W7" i="1"/>
  <c r="E118" i="3" s="1"/>
  <c r="E46" i="3" l="1"/>
  <c r="E70" i="3"/>
  <c r="E78" i="3"/>
  <c r="E54" i="3"/>
  <c r="E14" i="3"/>
  <c r="E22" i="3"/>
  <c r="E86" i="3"/>
  <c r="E62" i="3"/>
  <c r="E30" i="3"/>
  <c r="E94" i="3"/>
  <c r="E102" i="3"/>
  <c r="E110" i="3"/>
  <c r="E38" i="3"/>
  <c r="E6" i="3"/>
</calcChain>
</file>

<file path=xl/sharedStrings.xml><?xml version="1.0" encoding="utf-8"?>
<sst xmlns="http://schemas.openxmlformats.org/spreadsheetml/2006/main" count="328" uniqueCount="154">
  <si>
    <t>Debitas pagal matuotą diferencinį slėgį</t>
  </si>
  <si>
    <t>Matavimo data</t>
  </si>
  <si>
    <t>Ėminių registracijos Nr. T-107-2026-E-</t>
  </si>
  <si>
    <t>Objekto pavadinimas, adresas, taršos šaltinio Nr.</t>
  </si>
  <si>
    <t>Matavimo taškai ortakyje nuo vidinės sienelės, cm</t>
  </si>
  <si>
    <t>Išmatuotas diferencinis slėgis taškuose 1 linija, Pdi, hPa</t>
  </si>
  <si>
    <t>Išmatuotas diferencinis slėgis taškuose 2 linija, Pdi, hPa</t>
  </si>
  <si>
    <t>Išmatuotas diferencinis slėgis taškuose 3 linija, Pdi, hPa</t>
  </si>
  <si>
    <t>Išmatuotas diferencinis slėgis taškuose 4 linija, Pdi, hPa</t>
  </si>
  <si>
    <t>Išmatuotas diferencinis slėgis taškuose 5 linija, Pdi, hPa</t>
  </si>
  <si>
    <t>Pito vamzdelio koeficientas, K</t>
  </si>
  <si>
    <t>Temperatūra ortakyje t, oC</t>
  </si>
  <si>
    <t>Atmosferinis slėgis P, hPa</t>
  </si>
  <si>
    <t>Statinis slėgis ortakyje ± ΔP, hPa</t>
  </si>
  <si>
    <t>Dujų slėgis kamine Pk= P+ ΔP, hPa</t>
  </si>
  <si>
    <t>Dujų mol. masė Ms= qn *22.4, kg/</t>
  </si>
  <si>
    <t>Dujų srauto greitis matavimo taškuose, 1 linija, wi = K*129 *√t *√Pdi/ √Pk/√Ms, m/s</t>
  </si>
  <si>
    <t>Dujų srauto greitis matavimo taškuose, 2 linija, wi = K*129 *√t *√Pdi/ √Pk/√Ms, m/s</t>
  </si>
  <si>
    <t>Dujų srauto greitis matavimo taškuose, 3 linija, wi = K*129 *√t *√Pdi/ √Pk/√Ms, m/s</t>
  </si>
  <si>
    <t>Dujų srauto greitis matavimo taškuose, 4 linija, wi = K*129 *√t *√Pdi/ √Pk/√Ms, m/s</t>
  </si>
  <si>
    <t>Dujų srauto greitis matavimo taškuose, 5 linija, wi = K*129 *√t *√Pdi/ √Pk/√Ms, m/s</t>
  </si>
  <si>
    <t>Vidutinis dujų srauto greitis ortakyje w, m/s</t>
  </si>
  <si>
    <t>Ortakio diametras, matmenys, m</t>
  </si>
  <si>
    <t>Ortakio skerspjūvio plotas F, m2</t>
  </si>
  <si>
    <t>Dujų tūrio debitas realiomis sąlygomis Vk = wvid × F, m3/s</t>
  </si>
  <si>
    <t>Dujų tūrio debitas normaliosiomis sąlygomis Vdr n.s =Vk *0,269*(P±ΔP)/(273+t), m3/s</t>
  </si>
  <si>
    <t>Vandens kondensato masė m H2O, kg</t>
  </si>
  <si>
    <t>Vandens garų konc. dujose x=mH2O/Vmn*qn, kg/kg</t>
  </si>
  <si>
    <t>Sausų dujų tūrio debitas normaliosiomis sąlygomis Vn= Vdr n.s *((1/(1+(x*qn/0.8038)))</t>
  </si>
  <si>
    <t>Prasiurbtas dujų tūris normaliosiomis sąlygomis Vmn, Nm3</t>
  </si>
  <si>
    <t>Išplėstinės neapibrėžties koef. A</t>
  </si>
  <si>
    <t>Išplėstinė neapibrėžtis (dujų tūrio debitas) Uv</t>
  </si>
  <si>
    <t>Išplėstinė neapibrėžtis (dujų srauto greitis) Uw</t>
  </si>
  <si>
    <t>Sausų dujų tankis normaliosioms sąlygomis qn, (kg/m3)</t>
  </si>
  <si>
    <t>Skaičiavimus atliko (inicialai, data)</t>
  </si>
  <si>
    <t>2026-02-10</t>
  </si>
  <si>
    <t>Ekopartneris</t>
  </si>
  <si>
    <t>1,58</t>
  </si>
  <si>
    <t>1,59</t>
  </si>
  <si>
    <t>RPU***</t>
  </si>
  <si>
    <t>Kai bus 2 linijos, RPU*** yra 2 linijos vidurinis taškas</t>
  </si>
  <si>
    <t>Skaičiuoklė kietųjų dalelių koncentracijai nustatyti. H2O skaičiavimas</t>
  </si>
  <si>
    <t>Ėminių ėmimo laikas t, min.</t>
  </si>
  <si>
    <t>Paėmimo greitis, l/min</t>
  </si>
  <si>
    <t>Atmosferinis slėgis, hPa</t>
  </si>
  <si>
    <t>Išretėjimas, -hPa</t>
  </si>
  <si>
    <t>Temperatūra prie aspiratoriaus, Vtr oC</t>
  </si>
  <si>
    <t>Dujų tūris normaliomis sąlygomis, Vn l.</t>
  </si>
  <si>
    <t>Sausų dujų tankis normaliosioms sąlygomis qn (kg/m3)</t>
  </si>
  <si>
    <t>Drėgmės kiekis X (%) (izokinetinei sistemai)</t>
  </si>
  <si>
    <t>Pastabos</t>
  </si>
  <si>
    <t>TŠ 001 H2O</t>
  </si>
  <si>
    <t>Skaičiuoklė kietųjų dalelių koncentracijai nustatyti. Pradinių duomenų nustatymas</t>
  </si>
  <si>
    <t>Ortakio matmenys, m</t>
  </si>
  <si>
    <t>Skerspjūvio plotas A (m2)</t>
  </si>
  <si>
    <t>Temperatūra ortakyje tor (°C)</t>
  </si>
  <si>
    <t>Srauto greitis ortakyje wor (m/s)</t>
  </si>
  <si>
    <t>Atmosferinis slėgis P (hPa)</t>
  </si>
  <si>
    <t>Statinis slėgis ortakyje ΔPor (hPa)</t>
  </si>
  <si>
    <t>Slėgis prieš rotametrą ΔPr (±hPa)</t>
  </si>
  <si>
    <t>Antgalio diametras da (mm)</t>
  </si>
  <si>
    <t>Prasiurbtas dujų tūris Vm (m3)</t>
  </si>
  <si>
    <t>Siurbimo laikas t (min)</t>
  </si>
  <si>
    <t>Siurbimo greitis Vo (l/min)</t>
  </si>
  <si>
    <t>Siurbiamų dujų temperatūra prieš rotametrą tr (°C)</t>
  </si>
  <si>
    <t>O2iš (%) (ore 21 %)</t>
  </si>
  <si>
    <t>CO2iš (%) (ore 0,04 %)</t>
  </si>
  <si>
    <t>Darbuotojo inicialai, data</t>
  </si>
  <si>
    <t>Išmatuota O2 koncentracija (%)</t>
  </si>
  <si>
    <t>Išmatuota CO2 koncentracija (%)</t>
  </si>
  <si>
    <t>Išmatuotas diferencinis slėgis taškuose, Pdi, hPa</t>
  </si>
  <si>
    <t>Izokinetiškumas (0,95-1,15)</t>
  </si>
  <si>
    <t>1,58 x 1,59</t>
  </si>
  <si>
    <t>1 filtras, 1 linija</t>
  </si>
  <si>
    <t>O2iš, (%) vidurkis</t>
  </si>
  <si>
    <t>CO2iš, (%) vidurkis</t>
  </si>
  <si>
    <t xml:space="preserve"> tor vidurkis, °C</t>
  </si>
  <si>
    <t>Suma Vm, m3</t>
  </si>
  <si>
    <t>Suma t, min</t>
  </si>
  <si>
    <t>Vidurkis Vo (l/min)</t>
  </si>
  <si>
    <t>1 filtras, 2 linija</t>
  </si>
  <si>
    <t>1 filtras, 3 linija</t>
  </si>
  <si>
    <t>1 filtras, 4 linija</t>
  </si>
  <si>
    <t>1 filtras, 5 linija</t>
  </si>
  <si>
    <t>2 filtras, 1 linija</t>
  </si>
  <si>
    <t>2 filtras, 2 linija</t>
  </si>
  <si>
    <t>2 filtras, 3 linija</t>
  </si>
  <si>
    <t>2 filtras, 4 linija</t>
  </si>
  <si>
    <t>2 filtras, 5 linija</t>
  </si>
  <si>
    <t>3 filtras, 1 linija</t>
  </si>
  <si>
    <t>3 filtras, 2 linija</t>
  </si>
  <si>
    <t>3 filtras, 3 linija</t>
  </si>
  <si>
    <t>3 filtras, 4 linija</t>
  </si>
  <si>
    <t>3 filtras, 5 linija</t>
  </si>
  <si>
    <t>Viso suma t, min</t>
  </si>
  <si>
    <t xml:space="preserve">Vidurkių vidurkis Vo vid (l/min) </t>
  </si>
  <si>
    <t>Skaičiuoklė kietųjų dalelių koncentracijai nustatyti. Izokinetiškumo nustatymas</t>
  </si>
  <si>
    <t>Prasiurbtas dujų tūris normaliosiomis sąlygomis Vmn (Nm3)</t>
  </si>
  <si>
    <t>Prasiurbto dujų tūrio normaliosiomis sąlygomis suma Vmn(sum) (Nm3)</t>
  </si>
  <si>
    <t>Drėgmės kiekis X (%)</t>
  </si>
  <si>
    <t>Pratrauktas drėgnų dujų tūris realiomis sąlygomis Vmk (m3)</t>
  </si>
  <si>
    <t>Dujų srauto greitis antgalyje v antg. (m/s)</t>
  </si>
  <si>
    <t>Izokinetiškumo vidurkis (0,95-1,15)</t>
  </si>
  <si>
    <t>Skaičiavimus atlikusio asmens inicialai, data</t>
  </si>
  <si>
    <t>Vidurkis qn, (kg/m3)</t>
  </si>
  <si>
    <t>Suma Vmk (m3)</t>
  </si>
  <si>
    <t>Viso suma Vmn(sum), Nm3.</t>
  </si>
  <si>
    <t>Izokinetiškumo vidurkių vidurkis</t>
  </si>
  <si>
    <t>Vidurkių vidurkis qn, (kg/m3)</t>
  </si>
  <si>
    <t>Viso suma Vmk(sum), m3.</t>
  </si>
  <si>
    <t>Skaičiuoklė kietųjų dalelių koncentracijai nustatyti. Kietųjų dalelių koncentracijos nustatymas</t>
  </si>
  <si>
    <t>Filtro Nr.</t>
  </si>
  <si>
    <t>Filtro svoris prieš KD ėmimą mpr (g)</t>
  </si>
  <si>
    <t>Filtro svoris po KD ėmimo mpo (g)</t>
  </si>
  <si>
    <t>Tuščiojo ėminio KD svoris mt (g)</t>
  </si>
  <si>
    <t>Nuosėdų kiekis mn (g)</t>
  </si>
  <si>
    <t>Indų svorių pokytis mIt (g)</t>
  </si>
  <si>
    <t>Sausų dujų tūris n.s. Vmn (Nm3)</t>
  </si>
  <si>
    <t>Kietų dalelių koncentracija c1 (neįvert. O2) (mg/Nm3)</t>
  </si>
  <si>
    <t>Tuščiojo filtro vertė mft (mg/m3) (&lt; 2 mg/m3)</t>
  </si>
  <si>
    <t>Surinktų dulkių ir tuščiojo ėminio santykis mFtk (&gt;5)</t>
  </si>
  <si>
    <t>Filtrų skaičius Fsk (vnt.)</t>
  </si>
  <si>
    <t>5 linijos, 1 filtras</t>
  </si>
  <si>
    <t>5 linijos, 2 filtras</t>
  </si>
  <si>
    <t>5 linijos, 3 filtras</t>
  </si>
  <si>
    <t>Skaičiuoklė kietųjų dalelių koncentracijai nustatyti. Svėrimas</t>
  </si>
  <si>
    <t>Filtro/ indo Nr.</t>
  </si>
  <si>
    <t>Tuščio filtro/indo svėrimo data</t>
  </si>
  <si>
    <t>Filtro/indo svoris prieš KD ėmimą mpr (g)</t>
  </si>
  <si>
    <t>Atsakingo asmens inicialai, data</t>
  </si>
  <si>
    <t>Filtro/indo su ėminiu svėrimo data</t>
  </si>
  <si>
    <t>Filtro/indo svoris po KD ėmimo mpo (g)</t>
  </si>
  <si>
    <t>Kietųjų dalelių svoris mf/Svorių pokytis (g) (&lt;2,00 g filtro talpumas)</t>
  </si>
  <si>
    <t>1</t>
  </si>
  <si>
    <t>2</t>
  </si>
  <si>
    <t>3</t>
  </si>
  <si>
    <t>5 linijos, 3 filtrai</t>
  </si>
  <si>
    <t>Tuščiasis ėminys (mt)</t>
  </si>
  <si>
    <t>41</t>
  </si>
  <si>
    <t>Išplautos nuosėdos (mn)</t>
  </si>
  <si>
    <t>00</t>
  </si>
  <si>
    <t>Išvalytos ėminių sistemos tuščiasis ėminys (mIt)</t>
  </si>
  <si>
    <t>01</t>
  </si>
  <si>
    <t>Tušti indai svorio kontrolei (mIt1)</t>
  </si>
  <si>
    <t>02</t>
  </si>
  <si>
    <t>Tušti indai svorio kontrolei (mIt2)</t>
  </si>
  <si>
    <t>03</t>
  </si>
  <si>
    <t>Tušti indai svorio kontrolei (mIt3)</t>
  </si>
  <si>
    <t>Tuščių indų ir išvalytos ėminių sistemos tuščiojo ėminio svorio pokytis (mItp)</t>
  </si>
  <si>
    <t>Patikrinimas, ar planuojamas surinkti dulkių kiekis suderinamas su tuščiojo ėminio verte ir ar filtras nebus per daug apkrautas</t>
  </si>
  <si>
    <t>Planuojama surinkti dulkių masė m, g (&lt;2,20 g)</t>
  </si>
  <si>
    <t>Mažiausia ėminio ėmimo trukmė t, 30 min</t>
  </si>
  <si>
    <t>Tikėtina dulkių koncentracija cexs, mg/Nm3;</t>
  </si>
  <si>
    <t>Planuojamas dujų tūrio siurbimo greitis matavimo metu ortakio sąlygomis Vo, l/min.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</si>
</sst>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7" formatCode="0.0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7" xfId="0" applyBorder="1" applyAlignment="1">
      <alignment horizontal="center" vertical="top" wrapText="1"/>
    </xf>
    <xf numFmtId="0" fontId="0" fillId="0" borderId="8" xfId="0" applyBorder="1"/>
    <xf numFmtId="0" fontId="0" fillId="0" borderId="9" xfId="0" applyBorder="1"/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2" fontId="0" fillId="2" borderId="1" xfId="0" applyNumberForma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/>
    <xf numFmtId="0" fontId="0" fillId="2" borderId="1" xfId="0" applyFill="1" applyBorder="1" applyAlignment="1">
      <alignment horizontal="center" vertical="center" wrapText="1"/>
    </xf>
    <xf numFmtId="0" fontId="0" fillId="4" borderId="1" xfId="0" applyFill="1" applyBorder="1"/>
    <xf numFmtId="0" fontId="0" fillId="2" borderId="1" xfId="0" applyFill="1" applyBorder="1"/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/>
    <xf numFmtId="0" fontId="3" fillId="0" borderId="10" xfId="0" applyFont="1" applyBorder="1" applyAlignment="1">
      <alignment horizontal="center" vertical="center"/>
    </xf>
    <xf numFmtId="1" fontId="2" fillId="2" borderId="10" xfId="0" applyNumberFormat="1" applyFont="1" applyFill="1" applyBorder="1" applyAlignment="1">
      <alignment horizontal="center" vertical="center"/>
    </xf>
    <xf numFmtId="1" fontId="2" fillId="3" borderId="10" xfId="0" applyNumberFormat="1" applyFont="1" applyFill="1" applyBorder="1" applyAlignment="1">
      <alignment horizontal="center" vertical="center"/>
    </xf>
    <xf numFmtId="166" fontId="2" fillId="2" borderId="10" xfId="0" applyNumberFormat="1" applyFont="1" applyFill="1" applyBorder="1" applyAlignment="1">
      <alignment horizontal="center" vertical="center"/>
    </xf>
    <xf numFmtId="2" fontId="2" fillId="4" borderId="10" xfId="0" applyNumberFormat="1" applyFont="1" applyFill="1" applyBorder="1" applyAlignment="1">
      <alignment horizontal="center" vertical="center"/>
    </xf>
    <xf numFmtId="167" fontId="2" fillId="4" borderId="10" xfId="0" applyNumberFormat="1" applyFont="1" applyFill="1" applyBorder="1" applyAlignment="1">
      <alignment horizontal="center" vertical="center"/>
    </xf>
    <xf numFmtId="164" fontId="2" fillId="2" borderId="10" xfId="0" applyNumberFormat="1" applyFont="1" applyFill="1" applyBorder="1" applyAlignment="1">
      <alignment horizontal="center" vertical="center"/>
    </xf>
    <xf numFmtId="2" fontId="2" fillId="3" borderId="10" xfId="0" applyNumberFormat="1" applyFont="1" applyFill="1" applyBorder="1" applyAlignment="1">
      <alignment horizontal="center" vertical="center"/>
    </xf>
    <xf numFmtId="164" fontId="2" fillId="4" borderId="10" xfId="0" applyNumberFormat="1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3" borderId="7" xfId="0" applyFill="1" applyBorder="1" applyAlignment="1">
      <alignment horizontal="center" vertical="top" wrapText="1"/>
    </xf>
    <xf numFmtId="0" fontId="0" fillId="2" borderId="7" xfId="0" applyFill="1" applyBorder="1" applyAlignment="1">
      <alignment horizontal="center" vertical="center" wrapText="1"/>
    </xf>
    <xf numFmtId="165" fontId="0" fillId="2" borderId="7" xfId="0" applyNumberFormat="1" applyFill="1" applyBorder="1" applyAlignment="1">
      <alignment horizontal="center" vertical="center" wrapText="1"/>
    </xf>
    <xf numFmtId="166" fontId="0" fillId="2" borderId="1" xfId="0" applyNumberFormat="1" applyFill="1" applyBorder="1" applyAlignment="1">
      <alignment horizontal="center" vertical="center"/>
    </xf>
    <xf numFmtId="0" fontId="0" fillId="0" borderId="7" xfId="0" applyBorder="1"/>
    <xf numFmtId="2" fontId="0" fillId="2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 wrapText="1"/>
    </xf>
    <xf numFmtId="166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166" fontId="2" fillId="4" borderId="1" xfId="0" applyNumberFormat="1" applyFont="1" applyFill="1" applyBorder="1" applyAlignment="1">
      <alignment horizontal="center" vertical="center"/>
    </xf>
    <xf numFmtId="0" fontId="0" fillId="3" borderId="7" xfId="0" applyFill="1" applyBorder="1"/>
    <xf numFmtId="1" fontId="3" fillId="4" borderId="1" xfId="0" applyNumberFormat="1" applyFont="1" applyFill="1" applyBorder="1" applyAlignment="1">
      <alignment horizontal="center" vertical="center" wrapText="1"/>
    </xf>
    <xf numFmtId="0" fontId="0" fillId="4" borderId="7" xfId="0" applyFill="1" applyBorder="1"/>
    <xf numFmtId="2" fontId="3" fillId="4" borderId="1" xfId="0" applyNumberFormat="1" applyFont="1" applyFill="1" applyBorder="1" applyAlignment="1">
      <alignment horizontal="center" vertical="center" wrapText="1"/>
    </xf>
    <xf numFmtId="167" fontId="3" fillId="4" borderId="1" xfId="0" applyNumberFormat="1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top" wrapText="1"/>
    </xf>
    <xf numFmtId="0" fontId="0" fillId="3" borderId="10" xfId="0" applyFill="1" applyBorder="1"/>
    <xf numFmtId="0" fontId="0" fillId="4" borderId="10" xfId="0" applyFill="1" applyBorder="1"/>
    <xf numFmtId="0" fontId="0" fillId="3" borderId="11" xfId="0" applyFill="1" applyBorder="1"/>
    <xf numFmtId="0" fontId="0" fillId="0" borderId="10" xfId="0" applyBorder="1" applyAlignment="1">
      <alignment horizontal="center" vertical="center"/>
    </xf>
    <xf numFmtId="0" fontId="0" fillId="3" borderId="10" xfId="0" applyFill="1" applyBorder="1" applyAlignment="1">
      <alignment horizontal="left" vertical="center"/>
    </xf>
    <xf numFmtId="0" fontId="0" fillId="0" borderId="12" xfId="0" applyBorder="1"/>
    <xf numFmtId="0" fontId="0" fillId="0" borderId="13" xfId="0" applyBorder="1"/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3" borderId="7" xfId="0" applyFill="1" applyBorder="1" applyAlignment="1">
      <alignment horizontal="center" vertical="center" wrapText="1"/>
    </xf>
    <xf numFmtId="165" fontId="0" fillId="3" borderId="7" xfId="0" applyNumberForma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horizontal="center" vertical="top" wrapText="1"/>
    </xf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3" fillId="0" borderId="0" xfId="0" applyFont="1" applyAlignment="1">
      <alignment horizontal="center" vertical="center" wrapText="1"/>
    </xf>
    <xf numFmtId="0" fontId="0" fillId="3" borderId="1" xfId="0" applyFill="1" applyBorder="1" applyAlignment="1">
      <alignment horizontal="center" vertical="top" wrapText="1"/>
    </xf>
    <xf numFmtId="0" fontId="0" fillId="4" borderId="10" xfId="0" applyFill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0" fillId="0" borderId="1" xfId="0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top" wrapText="1"/>
    </xf>
    <xf numFmtId="0" fontId="0" fillId="0" borderId="8" xfId="0" applyBorder="1"/>
    <xf numFmtId="0" fontId="0" fillId="0" borderId="9" xfId="0" applyBorder="1"/>
  </cellXfs>
  <cellStyles count="1">
    <cellStyle name="Įprastas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H11"/>
  <sheetViews>
    <sheetView workbookViewId="0"/>
  </sheetViews>
  <sheetFormatPr defaultRowHeight="14.5" x14ac:dyDescent="0.35"/>
  <cols>
    <col min="1" max="34" width="15" customWidth="1"/>
  </cols>
  <sheetData>
    <row r="3" spans="1:34" ht="15.5" x14ac:dyDescent="0.35">
      <c r="A3" s="61" t="s">
        <v>0</v>
      </c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</row>
    <row r="5" spans="1:34" ht="130" customHeight="1" x14ac:dyDescent="0.35">
      <c r="A5" s="1" t="s">
        <v>1</v>
      </c>
      <c r="B5" s="1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1" t="s">
        <v>7</v>
      </c>
      <c r="H5" s="1" t="s">
        <v>8</v>
      </c>
      <c r="I5" s="1" t="s">
        <v>9</v>
      </c>
      <c r="J5" s="1" t="s">
        <v>10</v>
      </c>
      <c r="K5" s="1" t="s">
        <v>11</v>
      </c>
      <c r="L5" s="1" t="s">
        <v>12</v>
      </c>
      <c r="M5" s="1" t="s">
        <v>13</v>
      </c>
      <c r="N5" s="1" t="s">
        <v>14</v>
      </c>
      <c r="O5" s="1" t="s">
        <v>15</v>
      </c>
      <c r="P5" s="1" t="s">
        <v>16</v>
      </c>
      <c r="Q5" s="1" t="s">
        <v>17</v>
      </c>
      <c r="R5" s="1" t="s">
        <v>18</v>
      </c>
      <c r="S5" s="1" t="s">
        <v>19</v>
      </c>
      <c r="T5" s="1" t="s">
        <v>20</v>
      </c>
      <c r="U5" s="1" t="s">
        <v>21</v>
      </c>
      <c r="V5" s="1" t="s">
        <v>22</v>
      </c>
      <c r="W5" s="1" t="s">
        <v>23</v>
      </c>
      <c r="X5" s="1" t="s">
        <v>24</v>
      </c>
      <c r="Y5" s="1" t="s">
        <v>25</v>
      </c>
      <c r="Z5" s="1" t="s">
        <v>26</v>
      </c>
      <c r="AA5" s="1" t="s">
        <v>27</v>
      </c>
      <c r="AB5" s="1" t="s">
        <v>28</v>
      </c>
      <c r="AC5" s="1" t="s">
        <v>29</v>
      </c>
      <c r="AD5" s="1" t="s">
        <v>30</v>
      </c>
      <c r="AE5" s="1" t="s">
        <v>31</v>
      </c>
      <c r="AF5" s="1" t="s">
        <v>32</v>
      </c>
      <c r="AG5" s="1" t="s">
        <v>33</v>
      </c>
      <c r="AH5" s="1" t="s">
        <v>34</v>
      </c>
    </row>
    <row r="6" spans="1:34" x14ac:dyDescent="0.35">
      <c r="A6" s="66" t="s">
        <v>35</v>
      </c>
      <c r="B6" s="66">
        <v>5</v>
      </c>
      <c r="C6" s="66" t="s">
        <v>36</v>
      </c>
      <c r="D6" s="20">
        <v>19</v>
      </c>
      <c r="E6" s="10">
        <v>1</v>
      </c>
      <c r="F6" s="10">
        <v>2</v>
      </c>
      <c r="G6" s="10">
        <v>3</v>
      </c>
      <c r="H6" s="10">
        <v>4</v>
      </c>
      <c r="I6" s="10">
        <v>5</v>
      </c>
      <c r="J6" s="11">
        <v>0.82699999999999996</v>
      </c>
      <c r="K6" s="12"/>
      <c r="L6" s="13">
        <v>1012</v>
      </c>
      <c r="M6" s="13">
        <v>-0.25</v>
      </c>
      <c r="N6" s="14"/>
      <c r="O6" s="14"/>
      <c r="P6" s="14"/>
      <c r="Q6" s="14"/>
      <c r="R6" s="14"/>
      <c r="S6" s="14"/>
      <c r="T6" s="14"/>
      <c r="U6" s="14"/>
      <c r="V6" s="15"/>
      <c r="W6" s="14"/>
      <c r="X6" s="14"/>
      <c r="Y6" s="14"/>
      <c r="Z6" s="12"/>
      <c r="AA6" s="14"/>
      <c r="AB6" s="14"/>
      <c r="AC6" s="12"/>
      <c r="AD6" s="11">
        <v>7.9000000000000001E-2</v>
      </c>
      <c r="AE6" s="14"/>
      <c r="AF6" s="14"/>
      <c r="AG6" s="12"/>
      <c r="AH6" s="69"/>
    </row>
    <row r="7" spans="1:34" x14ac:dyDescent="0.35">
      <c r="A7" s="67"/>
      <c r="B7" s="67"/>
      <c r="C7" s="67"/>
      <c r="D7" s="20">
        <v>58</v>
      </c>
      <c r="E7" s="10">
        <v>1</v>
      </c>
      <c r="F7" s="10">
        <v>2</v>
      </c>
      <c r="G7" s="10">
        <v>3</v>
      </c>
      <c r="H7" s="10">
        <v>4</v>
      </c>
      <c r="I7" s="10">
        <v>5</v>
      </c>
      <c r="J7" s="16">
        <v>0.82699999999999996</v>
      </c>
      <c r="K7" s="12"/>
      <c r="L7" s="17">
        <v>1012</v>
      </c>
      <c r="M7" s="17">
        <v>-0.25</v>
      </c>
      <c r="N7" s="14"/>
      <c r="O7" s="14"/>
      <c r="P7" s="14"/>
      <c r="Q7" s="14"/>
      <c r="R7" s="14"/>
      <c r="S7" s="14"/>
      <c r="T7" s="14"/>
      <c r="U7" s="4"/>
      <c r="V7" s="18" t="s">
        <v>37</v>
      </c>
      <c r="W7" s="19">
        <f>V7*V8</f>
        <v>2.5122000000000004</v>
      </c>
      <c r="X7" s="14"/>
      <c r="Y7" s="14"/>
      <c r="Z7" s="12"/>
      <c r="AA7" s="14"/>
      <c r="AB7" s="14"/>
      <c r="AC7" s="12"/>
      <c r="AD7" s="11">
        <v>7.9000000000000001E-2</v>
      </c>
      <c r="AE7" s="14"/>
      <c r="AF7" s="14"/>
      <c r="AH7" s="68"/>
    </row>
    <row r="8" spans="1:34" x14ac:dyDescent="0.35">
      <c r="A8" s="67"/>
      <c r="B8" s="67"/>
      <c r="C8" s="67"/>
      <c r="D8" s="20">
        <v>97</v>
      </c>
      <c r="E8" s="10">
        <v>1</v>
      </c>
      <c r="F8" s="10">
        <v>2</v>
      </c>
      <c r="G8" s="10">
        <v>3</v>
      </c>
      <c r="H8" s="10">
        <v>4</v>
      </c>
      <c r="I8" s="10">
        <v>5</v>
      </c>
      <c r="J8" s="16">
        <v>0.82699999999999996</v>
      </c>
      <c r="K8" s="12"/>
      <c r="L8" s="17">
        <v>1012</v>
      </c>
      <c r="M8" s="17">
        <v>-0.25</v>
      </c>
      <c r="N8" s="14"/>
      <c r="O8" s="14"/>
      <c r="P8" s="14"/>
      <c r="Q8" s="14"/>
      <c r="R8" s="14"/>
      <c r="S8" s="14"/>
      <c r="T8" s="14"/>
      <c r="U8" s="4"/>
      <c r="V8" s="18" t="s">
        <v>38</v>
      </c>
      <c r="W8" s="4"/>
      <c r="X8" s="4"/>
      <c r="Y8" s="4"/>
    </row>
    <row r="9" spans="1:34" x14ac:dyDescent="0.35">
      <c r="A9" s="68"/>
      <c r="B9" s="68"/>
      <c r="C9" s="68"/>
      <c r="D9" s="20">
        <v>136</v>
      </c>
      <c r="E9" s="10">
        <v>1</v>
      </c>
      <c r="F9" s="10">
        <v>2</v>
      </c>
      <c r="G9" s="10">
        <v>3</v>
      </c>
      <c r="H9" s="10">
        <v>4</v>
      </c>
      <c r="I9" s="10">
        <v>5</v>
      </c>
      <c r="J9" s="16">
        <v>0.82699999999999996</v>
      </c>
      <c r="K9" s="12"/>
      <c r="L9" s="17">
        <v>1012</v>
      </c>
      <c r="M9" s="17">
        <v>-0.25</v>
      </c>
      <c r="N9" s="14"/>
      <c r="O9" s="14"/>
      <c r="P9" s="14"/>
      <c r="Q9" s="14"/>
      <c r="R9" s="14"/>
      <c r="S9" s="14"/>
      <c r="T9" s="14"/>
      <c r="U9" s="4"/>
      <c r="V9" s="4"/>
      <c r="W9" s="4"/>
      <c r="X9" s="4"/>
      <c r="Y9" s="4"/>
    </row>
    <row r="10" spans="1:34" x14ac:dyDescent="0.3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</row>
    <row r="11" spans="1:34" x14ac:dyDescent="0.35">
      <c r="A11" s="4"/>
      <c r="B11" s="4"/>
      <c r="C11" s="4"/>
      <c r="D11" s="4" t="s">
        <v>39</v>
      </c>
      <c r="E11" s="63" t="s">
        <v>40</v>
      </c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5"/>
    </row>
  </sheetData>
  <mergeCells count="6">
    <mergeCell ref="A3:AH3"/>
    <mergeCell ref="E11:T11"/>
    <mergeCell ref="A6:A9"/>
    <mergeCell ref="B6:B9"/>
    <mergeCell ref="AH6:AH7"/>
    <mergeCell ref="C6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L10"/>
  <sheetViews>
    <sheetView workbookViewId="0"/>
  </sheetViews>
  <sheetFormatPr defaultRowHeight="14.5" x14ac:dyDescent="0.35"/>
  <cols>
    <col min="1" max="12" width="14" customWidth="1"/>
  </cols>
  <sheetData>
    <row r="3" spans="1:12" x14ac:dyDescent="0.35">
      <c r="A3" s="70" t="s">
        <v>41</v>
      </c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</row>
    <row r="5" spans="1:12" ht="72.5" x14ac:dyDescent="0.35">
      <c r="A5" s="1"/>
      <c r="B5" s="1" t="s">
        <v>42</v>
      </c>
      <c r="C5" s="1" t="s">
        <v>43</v>
      </c>
      <c r="D5" s="1" t="s">
        <v>44</v>
      </c>
      <c r="E5" s="1" t="s">
        <v>45</v>
      </c>
      <c r="F5" s="1" t="s">
        <v>46</v>
      </c>
      <c r="G5" s="1" t="s">
        <v>47</v>
      </c>
      <c r="H5" s="1" t="s">
        <v>29</v>
      </c>
      <c r="I5" s="1" t="s">
        <v>26</v>
      </c>
      <c r="J5" s="1" t="s">
        <v>48</v>
      </c>
      <c r="K5" s="1" t="s">
        <v>49</v>
      </c>
      <c r="L5" s="1" t="s">
        <v>50</v>
      </c>
    </row>
    <row r="6" spans="1:12" x14ac:dyDescent="0.35">
      <c r="A6" s="21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</row>
    <row r="7" spans="1:12" x14ac:dyDescent="0.35">
      <c r="A7" s="22" t="s">
        <v>51</v>
      </c>
      <c r="B7" s="23">
        <v>10</v>
      </c>
      <c r="C7" s="23">
        <v>10</v>
      </c>
      <c r="D7" s="24"/>
      <c r="E7" s="25">
        <v>25.2</v>
      </c>
      <c r="F7" s="25">
        <v>14</v>
      </c>
      <c r="G7" s="26"/>
      <c r="H7" s="27"/>
      <c r="I7" s="28">
        <v>5.0000000000000001E-3</v>
      </c>
      <c r="J7" s="29"/>
      <c r="K7" s="30"/>
      <c r="L7" s="31"/>
    </row>
    <row r="8" spans="1:12" x14ac:dyDescent="0.35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</row>
    <row r="9" spans="1:12" x14ac:dyDescent="0.35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</row>
    <row r="10" spans="1:12" x14ac:dyDescent="0.35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Y126"/>
  <sheetViews>
    <sheetView tabSelected="1" workbookViewId="0"/>
  </sheetViews>
  <sheetFormatPr defaultRowHeight="14.5" x14ac:dyDescent="0.35"/>
  <cols>
    <col min="1" max="25" width="14" customWidth="1"/>
  </cols>
  <sheetData>
    <row r="2" spans="1:25" x14ac:dyDescent="0.35">
      <c r="A2" s="70" t="s">
        <v>52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</row>
    <row r="5" spans="1:25" ht="58" x14ac:dyDescent="0.35">
      <c r="A5" s="1" t="s">
        <v>1</v>
      </c>
      <c r="B5" s="1" t="s">
        <v>2</v>
      </c>
      <c r="C5" s="1" t="s">
        <v>3</v>
      </c>
      <c r="D5" s="1" t="s">
        <v>53</v>
      </c>
      <c r="E5" s="1" t="s">
        <v>54</v>
      </c>
      <c r="F5" s="1" t="s">
        <v>55</v>
      </c>
      <c r="G5" s="1" t="s">
        <v>56</v>
      </c>
      <c r="H5" s="1" t="s">
        <v>57</v>
      </c>
      <c r="I5" s="1" t="s">
        <v>58</v>
      </c>
      <c r="J5" s="1" t="s">
        <v>59</v>
      </c>
      <c r="K5" s="1" t="s">
        <v>60</v>
      </c>
      <c r="L5" s="1" t="s">
        <v>61</v>
      </c>
      <c r="M5" s="1" t="s">
        <v>62</v>
      </c>
      <c r="N5" s="1" t="s">
        <v>63</v>
      </c>
      <c r="O5" s="1" t="s">
        <v>64</v>
      </c>
      <c r="P5" s="1" t="s">
        <v>65</v>
      </c>
      <c r="Q5" s="1" t="s">
        <v>66</v>
      </c>
      <c r="R5" s="1" t="s">
        <v>67</v>
      </c>
      <c r="S5" s="1" t="s">
        <v>50</v>
      </c>
      <c r="T5" s="1" t="s">
        <v>68</v>
      </c>
      <c r="U5" s="1" t="s">
        <v>69</v>
      </c>
      <c r="V5" s="1" t="s">
        <v>55</v>
      </c>
      <c r="W5" s="2"/>
      <c r="X5" s="1" t="s">
        <v>70</v>
      </c>
      <c r="Y5" s="1" t="s">
        <v>71</v>
      </c>
    </row>
    <row r="6" spans="1:25" x14ac:dyDescent="0.35">
      <c r="A6" s="32" t="s">
        <v>35</v>
      </c>
      <c r="B6" s="5">
        <v>5</v>
      </c>
      <c r="C6" s="71" t="s">
        <v>36</v>
      </c>
      <c r="D6" s="33" t="s">
        <v>72</v>
      </c>
      <c r="E6" s="34">
        <f>Greitis!W7</f>
        <v>2.5122000000000004</v>
      </c>
      <c r="F6" s="12"/>
      <c r="G6" s="14"/>
      <c r="H6" s="12"/>
      <c r="I6" s="12"/>
      <c r="J6" s="35">
        <v>111</v>
      </c>
      <c r="K6" s="35">
        <v>1</v>
      </c>
      <c r="L6" s="14"/>
      <c r="M6" s="18">
        <v>3</v>
      </c>
      <c r="N6" s="18">
        <v>112</v>
      </c>
      <c r="O6" s="35">
        <v>113</v>
      </c>
      <c r="P6" s="12"/>
      <c r="Q6" s="12"/>
      <c r="R6" s="36"/>
      <c r="S6" s="36" t="s">
        <v>73</v>
      </c>
      <c r="T6" s="37">
        <v>10.02</v>
      </c>
      <c r="U6" s="37">
        <v>4.0999999999999996</v>
      </c>
      <c r="V6" s="35">
        <v>40.200000000000003</v>
      </c>
      <c r="X6" s="38">
        <v>1</v>
      </c>
      <c r="Y6" s="12"/>
    </row>
    <row r="7" spans="1:25" x14ac:dyDescent="0.35">
      <c r="A7" s="6"/>
      <c r="B7" s="6"/>
      <c r="C7" s="67"/>
      <c r="D7" s="6"/>
      <c r="E7" s="6"/>
      <c r="F7" s="12"/>
      <c r="G7" s="14"/>
      <c r="H7" s="12"/>
      <c r="I7" s="12"/>
      <c r="J7" s="35">
        <v>111</v>
      </c>
      <c r="K7" s="39">
        <v>1</v>
      </c>
      <c r="L7" s="14"/>
      <c r="M7" s="40">
        <v>3</v>
      </c>
      <c r="N7" s="18">
        <v>112</v>
      </c>
      <c r="O7" s="35">
        <v>113</v>
      </c>
      <c r="P7" s="12"/>
      <c r="Q7" s="12"/>
      <c r="R7" s="6"/>
      <c r="S7" s="6"/>
      <c r="T7" s="37">
        <v>9.98</v>
      </c>
      <c r="U7" s="37">
        <v>3.9</v>
      </c>
      <c r="V7" s="35">
        <v>39.799999999999997</v>
      </c>
      <c r="X7" s="38">
        <v>1</v>
      </c>
      <c r="Y7" s="12"/>
    </row>
    <row r="8" spans="1:25" x14ac:dyDescent="0.35">
      <c r="A8" s="6"/>
      <c r="B8" s="6"/>
      <c r="C8" s="67"/>
      <c r="D8" s="6"/>
      <c r="E8" s="6"/>
      <c r="F8" s="12"/>
      <c r="G8" s="14"/>
      <c r="H8" s="12"/>
      <c r="I8" s="12"/>
      <c r="J8" s="35">
        <v>111</v>
      </c>
      <c r="K8" s="39">
        <v>1</v>
      </c>
      <c r="L8" s="14"/>
      <c r="M8" s="40">
        <v>3</v>
      </c>
      <c r="N8" s="18">
        <v>112</v>
      </c>
      <c r="O8" s="35">
        <v>113</v>
      </c>
      <c r="P8" s="12"/>
      <c r="Q8" s="12"/>
      <c r="R8" s="6"/>
      <c r="S8" s="6"/>
      <c r="T8" s="37">
        <v>10</v>
      </c>
      <c r="U8" s="37">
        <v>4</v>
      </c>
      <c r="V8" s="35">
        <v>40</v>
      </c>
      <c r="X8" s="38">
        <v>1</v>
      </c>
      <c r="Y8" s="12"/>
    </row>
    <row r="9" spans="1:25" x14ac:dyDescent="0.35">
      <c r="A9" s="7"/>
      <c r="B9" s="7"/>
      <c r="C9" s="68"/>
      <c r="D9" s="7"/>
      <c r="E9" s="7"/>
      <c r="F9" s="12"/>
      <c r="G9" s="14"/>
      <c r="H9" s="12"/>
      <c r="I9" s="12"/>
      <c r="J9" s="35">
        <v>111</v>
      </c>
      <c r="K9" s="39">
        <v>1</v>
      </c>
      <c r="L9" s="14"/>
      <c r="M9" s="40">
        <v>3</v>
      </c>
      <c r="N9" s="18">
        <v>112</v>
      </c>
      <c r="O9" s="35">
        <v>113</v>
      </c>
      <c r="P9" s="12"/>
      <c r="Q9" s="12"/>
      <c r="R9" s="7"/>
      <c r="S9" s="7"/>
      <c r="T9" s="41">
        <f>AVERAGE(T6:T8)</f>
        <v>10</v>
      </c>
      <c r="U9" s="41">
        <f>AVERAGE(U6:U8)</f>
        <v>4</v>
      </c>
      <c r="V9" s="42">
        <f>AVERAGE(V6:V8)</f>
        <v>40</v>
      </c>
      <c r="X9" s="38">
        <v>1</v>
      </c>
      <c r="Y9" s="12"/>
    </row>
    <row r="10" spans="1:25" ht="29" x14ac:dyDescent="0.35">
      <c r="L10" s="14"/>
      <c r="M10" s="14"/>
      <c r="N10" s="14"/>
      <c r="T10" s="3" t="s">
        <v>74</v>
      </c>
      <c r="U10" s="3" t="s">
        <v>75</v>
      </c>
      <c r="V10" s="3" t="s">
        <v>76</v>
      </c>
    </row>
    <row r="11" spans="1:25" ht="29" x14ac:dyDescent="0.35">
      <c r="L11" s="3" t="s">
        <v>77</v>
      </c>
      <c r="M11" s="3" t="s">
        <v>78</v>
      </c>
      <c r="N11" s="3" t="s">
        <v>79</v>
      </c>
    </row>
    <row r="14" spans="1:25" x14ac:dyDescent="0.35">
      <c r="A14" s="32" t="s">
        <v>35</v>
      </c>
      <c r="B14" s="32">
        <v>5</v>
      </c>
      <c r="C14" s="71" t="s">
        <v>36</v>
      </c>
      <c r="D14" s="59" t="s">
        <v>72</v>
      </c>
      <c r="E14" s="60">
        <f>Greitis!W7</f>
        <v>2.5122000000000004</v>
      </c>
      <c r="F14" s="12"/>
      <c r="G14" s="14"/>
      <c r="H14" s="12"/>
      <c r="I14" s="12"/>
      <c r="J14" s="35">
        <v>121</v>
      </c>
      <c r="K14" s="39">
        <v>1</v>
      </c>
      <c r="L14" s="14"/>
      <c r="M14" s="40">
        <v>3</v>
      </c>
      <c r="N14" s="18">
        <v>122</v>
      </c>
      <c r="O14" s="35">
        <v>123</v>
      </c>
      <c r="P14" s="12"/>
      <c r="Q14" s="12"/>
      <c r="R14" s="43"/>
      <c r="S14" s="36" t="s">
        <v>80</v>
      </c>
      <c r="X14" s="38">
        <v>2</v>
      </c>
      <c r="Y14" s="12"/>
    </row>
    <row r="15" spans="1:25" x14ac:dyDescent="0.35">
      <c r="A15" s="6"/>
      <c r="B15" s="6"/>
      <c r="C15" s="67"/>
      <c r="D15" s="6"/>
      <c r="E15" s="6"/>
      <c r="F15" s="12"/>
      <c r="G15" s="14"/>
      <c r="H15" s="12"/>
      <c r="I15" s="12"/>
      <c r="J15" s="35">
        <v>121</v>
      </c>
      <c r="K15" s="39">
        <v>1</v>
      </c>
      <c r="L15" s="14"/>
      <c r="M15" s="40">
        <v>3</v>
      </c>
      <c r="N15" s="18">
        <v>122</v>
      </c>
      <c r="O15" s="35">
        <v>123</v>
      </c>
      <c r="P15" s="12"/>
      <c r="Q15" s="12"/>
      <c r="R15" s="6"/>
      <c r="S15" s="6"/>
      <c r="X15" s="38">
        <v>2</v>
      </c>
      <c r="Y15" s="12"/>
    </row>
    <row r="16" spans="1:25" x14ac:dyDescent="0.35">
      <c r="A16" s="6"/>
      <c r="B16" s="6"/>
      <c r="C16" s="67"/>
      <c r="D16" s="6"/>
      <c r="E16" s="6"/>
      <c r="F16" s="12"/>
      <c r="G16" s="14"/>
      <c r="H16" s="12"/>
      <c r="I16" s="12"/>
      <c r="J16" s="35">
        <v>121</v>
      </c>
      <c r="K16" s="39">
        <v>1</v>
      </c>
      <c r="L16" s="14"/>
      <c r="M16" s="40">
        <v>3</v>
      </c>
      <c r="N16" s="18">
        <v>122</v>
      </c>
      <c r="O16" s="35">
        <v>123</v>
      </c>
      <c r="P16" s="12"/>
      <c r="Q16" s="12"/>
      <c r="R16" s="6"/>
      <c r="S16" s="6"/>
      <c r="X16" s="38">
        <v>2</v>
      </c>
      <c r="Y16" s="12"/>
    </row>
    <row r="17" spans="1:25" x14ac:dyDescent="0.35">
      <c r="A17" s="7"/>
      <c r="B17" s="7"/>
      <c r="C17" s="68"/>
      <c r="D17" s="7"/>
      <c r="E17" s="7"/>
      <c r="F17" s="12"/>
      <c r="G17" s="14"/>
      <c r="H17" s="12"/>
      <c r="I17" s="12"/>
      <c r="J17" s="35">
        <v>121</v>
      </c>
      <c r="K17" s="39">
        <v>1</v>
      </c>
      <c r="L17" s="14"/>
      <c r="M17" s="40">
        <v>3</v>
      </c>
      <c r="N17" s="18">
        <v>122</v>
      </c>
      <c r="O17" s="35">
        <v>123</v>
      </c>
      <c r="P17" s="12"/>
      <c r="Q17" s="12"/>
      <c r="R17" s="7"/>
      <c r="S17" s="7"/>
      <c r="X17" s="38">
        <v>2</v>
      </c>
      <c r="Y17" s="12"/>
    </row>
    <row r="18" spans="1:25" x14ac:dyDescent="0.35">
      <c r="L18" s="14"/>
      <c r="M18" s="14"/>
      <c r="N18" s="14"/>
    </row>
    <row r="19" spans="1:25" ht="29" x14ac:dyDescent="0.35">
      <c r="L19" s="3" t="s">
        <v>77</v>
      </c>
      <c r="M19" s="3" t="s">
        <v>78</v>
      </c>
      <c r="N19" s="3" t="s">
        <v>79</v>
      </c>
    </row>
    <row r="22" spans="1:25" x14ac:dyDescent="0.35">
      <c r="A22" s="32" t="s">
        <v>35</v>
      </c>
      <c r="B22" s="32">
        <v>5</v>
      </c>
      <c r="C22" s="71" t="s">
        <v>36</v>
      </c>
      <c r="D22" s="59" t="s">
        <v>72</v>
      </c>
      <c r="E22" s="60">
        <f>Greitis!W7</f>
        <v>2.5122000000000004</v>
      </c>
      <c r="F22" s="12"/>
      <c r="G22" s="14"/>
      <c r="H22" s="12"/>
      <c r="I22" s="12"/>
      <c r="J22" s="35">
        <v>131</v>
      </c>
      <c r="K22" s="39">
        <v>1</v>
      </c>
      <c r="L22" s="14"/>
      <c r="M22" s="40">
        <v>3</v>
      </c>
      <c r="N22" s="18">
        <v>132</v>
      </c>
      <c r="O22" s="35">
        <v>133</v>
      </c>
      <c r="P22" s="12"/>
      <c r="Q22" s="12"/>
      <c r="R22" s="43"/>
      <c r="S22" s="36" t="s">
        <v>81</v>
      </c>
      <c r="X22" s="38">
        <v>3</v>
      </c>
      <c r="Y22" s="12"/>
    </row>
    <row r="23" spans="1:25" x14ac:dyDescent="0.35">
      <c r="A23" s="6"/>
      <c r="B23" s="6"/>
      <c r="C23" s="67"/>
      <c r="D23" s="6"/>
      <c r="E23" s="6"/>
      <c r="F23" s="12"/>
      <c r="G23" s="14"/>
      <c r="H23" s="12"/>
      <c r="I23" s="12"/>
      <c r="J23" s="35">
        <v>131</v>
      </c>
      <c r="K23" s="39">
        <v>1</v>
      </c>
      <c r="L23" s="14"/>
      <c r="M23" s="40">
        <v>3</v>
      </c>
      <c r="N23" s="18">
        <v>132</v>
      </c>
      <c r="O23" s="35">
        <v>133</v>
      </c>
      <c r="P23" s="12"/>
      <c r="Q23" s="12"/>
      <c r="R23" s="6"/>
      <c r="S23" s="6"/>
      <c r="X23" s="38">
        <v>3</v>
      </c>
      <c r="Y23" s="12"/>
    </row>
    <row r="24" spans="1:25" x14ac:dyDescent="0.35">
      <c r="A24" s="6"/>
      <c r="B24" s="6"/>
      <c r="C24" s="67"/>
      <c r="D24" s="6"/>
      <c r="E24" s="6"/>
      <c r="F24" s="12"/>
      <c r="G24" s="14"/>
      <c r="H24" s="12"/>
      <c r="I24" s="12"/>
      <c r="J24" s="35">
        <v>131</v>
      </c>
      <c r="K24" s="39">
        <v>1</v>
      </c>
      <c r="L24" s="14"/>
      <c r="M24" s="40">
        <v>3</v>
      </c>
      <c r="N24" s="18">
        <v>132</v>
      </c>
      <c r="O24" s="35">
        <v>133</v>
      </c>
      <c r="P24" s="12"/>
      <c r="Q24" s="12"/>
      <c r="R24" s="6"/>
      <c r="S24" s="6"/>
      <c r="X24" s="38">
        <v>3</v>
      </c>
      <c r="Y24" s="12"/>
    </row>
    <row r="25" spans="1:25" x14ac:dyDescent="0.35">
      <c r="A25" s="7"/>
      <c r="B25" s="7"/>
      <c r="C25" s="68"/>
      <c r="D25" s="7"/>
      <c r="E25" s="7"/>
      <c r="F25" s="12"/>
      <c r="G25" s="14"/>
      <c r="H25" s="12"/>
      <c r="I25" s="12"/>
      <c r="J25" s="35">
        <v>131</v>
      </c>
      <c r="K25" s="39">
        <v>1</v>
      </c>
      <c r="L25" s="14"/>
      <c r="M25" s="40">
        <v>3</v>
      </c>
      <c r="N25" s="18">
        <v>132</v>
      </c>
      <c r="O25" s="35">
        <v>133</v>
      </c>
      <c r="P25" s="12"/>
      <c r="Q25" s="12"/>
      <c r="R25" s="7"/>
      <c r="S25" s="7"/>
      <c r="X25" s="38">
        <v>3</v>
      </c>
      <c r="Y25" s="12"/>
    </row>
    <row r="26" spans="1:25" x14ac:dyDescent="0.35">
      <c r="L26" s="14"/>
      <c r="M26" s="14"/>
      <c r="N26" s="14"/>
    </row>
    <row r="27" spans="1:25" ht="29" x14ac:dyDescent="0.35">
      <c r="L27" s="3" t="s">
        <v>77</v>
      </c>
      <c r="M27" s="3" t="s">
        <v>78</v>
      </c>
      <c r="N27" s="3" t="s">
        <v>79</v>
      </c>
    </row>
    <row r="30" spans="1:25" x14ac:dyDescent="0.35">
      <c r="A30" s="32" t="s">
        <v>35</v>
      </c>
      <c r="B30" s="32">
        <v>5</v>
      </c>
      <c r="C30" s="71" t="s">
        <v>36</v>
      </c>
      <c r="D30" s="59" t="s">
        <v>72</v>
      </c>
      <c r="E30" s="60">
        <f>Greitis!W7</f>
        <v>2.5122000000000004</v>
      </c>
      <c r="F30" s="12"/>
      <c r="G30" s="14"/>
      <c r="H30" s="12"/>
      <c r="I30" s="12"/>
      <c r="J30" s="35">
        <v>141</v>
      </c>
      <c r="K30" s="39">
        <v>1</v>
      </c>
      <c r="L30" s="14"/>
      <c r="M30" s="40">
        <v>3</v>
      </c>
      <c r="N30" s="18">
        <v>142</v>
      </c>
      <c r="O30" s="35">
        <v>143</v>
      </c>
      <c r="P30" s="12"/>
      <c r="Q30" s="12"/>
      <c r="R30" s="43"/>
      <c r="S30" s="36" t="s">
        <v>82</v>
      </c>
      <c r="X30" s="38">
        <v>4</v>
      </c>
      <c r="Y30" s="12"/>
    </row>
    <row r="31" spans="1:25" x14ac:dyDescent="0.35">
      <c r="A31" s="6"/>
      <c r="B31" s="6"/>
      <c r="C31" s="67"/>
      <c r="D31" s="6"/>
      <c r="E31" s="6"/>
      <c r="F31" s="12"/>
      <c r="G31" s="14"/>
      <c r="H31" s="12"/>
      <c r="I31" s="12"/>
      <c r="J31" s="35">
        <v>141</v>
      </c>
      <c r="K31" s="39">
        <v>1</v>
      </c>
      <c r="L31" s="14"/>
      <c r="M31" s="40">
        <v>3</v>
      </c>
      <c r="N31" s="18">
        <v>142</v>
      </c>
      <c r="O31" s="35">
        <v>143</v>
      </c>
      <c r="P31" s="12"/>
      <c r="Q31" s="12"/>
      <c r="R31" s="6"/>
      <c r="S31" s="6"/>
      <c r="X31" s="38">
        <v>4</v>
      </c>
      <c r="Y31" s="12"/>
    </row>
    <row r="32" spans="1:25" x14ac:dyDescent="0.35">
      <c r="A32" s="6"/>
      <c r="B32" s="6"/>
      <c r="C32" s="67"/>
      <c r="D32" s="6"/>
      <c r="E32" s="6"/>
      <c r="F32" s="12"/>
      <c r="G32" s="14"/>
      <c r="H32" s="12"/>
      <c r="I32" s="12"/>
      <c r="J32" s="35">
        <v>141</v>
      </c>
      <c r="K32" s="39">
        <v>1</v>
      </c>
      <c r="L32" s="14"/>
      <c r="M32" s="40">
        <v>3</v>
      </c>
      <c r="N32" s="18">
        <v>142</v>
      </c>
      <c r="O32" s="35">
        <v>143</v>
      </c>
      <c r="P32" s="12"/>
      <c r="Q32" s="12"/>
      <c r="R32" s="6"/>
      <c r="S32" s="6"/>
      <c r="X32" s="38">
        <v>4</v>
      </c>
      <c r="Y32" s="12"/>
    </row>
    <row r="33" spans="1:25" x14ac:dyDescent="0.35">
      <c r="A33" s="7"/>
      <c r="B33" s="7"/>
      <c r="C33" s="68"/>
      <c r="D33" s="7"/>
      <c r="E33" s="7"/>
      <c r="F33" s="12"/>
      <c r="G33" s="14"/>
      <c r="H33" s="12"/>
      <c r="I33" s="12"/>
      <c r="J33" s="35">
        <v>141</v>
      </c>
      <c r="K33" s="39">
        <v>1</v>
      </c>
      <c r="L33" s="14"/>
      <c r="M33" s="40">
        <v>3</v>
      </c>
      <c r="N33" s="18">
        <v>142</v>
      </c>
      <c r="O33" s="35">
        <v>143</v>
      </c>
      <c r="P33" s="12"/>
      <c r="Q33" s="12"/>
      <c r="R33" s="7"/>
      <c r="S33" s="7"/>
      <c r="X33" s="38">
        <v>4</v>
      </c>
      <c r="Y33" s="12"/>
    </row>
    <row r="34" spans="1:25" x14ac:dyDescent="0.35">
      <c r="L34" s="14"/>
      <c r="M34" s="14"/>
      <c r="N34" s="14"/>
    </row>
    <row r="35" spans="1:25" ht="29" x14ac:dyDescent="0.35">
      <c r="L35" s="3" t="s">
        <v>77</v>
      </c>
      <c r="M35" s="3" t="s">
        <v>78</v>
      </c>
      <c r="N35" s="3" t="s">
        <v>79</v>
      </c>
    </row>
    <row r="38" spans="1:25" x14ac:dyDescent="0.35">
      <c r="A38" s="32" t="s">
        <v>35</v>
      </c>
      <c r="B38" s="32">
        <v>5</v>
      </c>
      <c r="C38" s="71" t="s">
        <v>36</v>
      </c>
      <c r="D38" s="59" t="s">
        <v>72</v>
      </c>
      <c r="E38" s="60">
        <f>Greitis!W7</f>
        <v>2.5122000000000004</v>
      </c>
      <c r="F38" s="12"/>
      <c r="G38" s="14"/>
      <c r="H38" s="12"/>
      <c r="I38" s="12"/>
      <c r="J38" s="35">
        <v>151</v>
      </c>
      <c r="K38" s="39">
        <v>1</v>
      </c>
      <c r="L38" s="14"/>
      <c r="M38" s="40">
        <v>3</v>
      </c>
      <c r="N38" s="18">
        <v>152</v>
      </c>
      <c r="O38" s="35">
        <v>153</v>
      </c>
      <c r="P38" s="12"/>
      <c r="Q38" s="12"/>
      <c r="R38" s="43"/>
      <c r="S38" s="36" t="s">
        <v>83</v>
      </c>
      <c r="X38" s="38">
        <v>5</v>
      </c>
      <c r="Y38" s="12"/>
    </row>
    <row r="39" spans="1:25" x14ac:dyDescent="0.35">
      <c r="A39" s="6"/>
      <c r="B39" s="6"/>
      <c r="C39" s="67"/>
      <c r="D39" s="6"/>
      <c r="E39" s="6"/>
      <c r="F39" s="12"/>
      <c r="G39" s="14"/>
      <c r="H39" s="12"/>
      <c r="I39" s="12"/>
      <c r="J39" s="35">
        <v>151</v>
      </c>
      <c r="K39" s="39">
        <v>1</v>
      </c>
      <c r="L39" s="14"/>
      <c r="M39" s="40">
        <v>3</v>
      </c>
      <c r="N39" s="18">
        <v>152</v>
      </c>
      <c r="O39" s="35">
        <v>153</v>
      </c>
      <c r="P39" s="12"/>
      <c r="Q39" s="12"/>
      <c r="R39" s="6"/>
      <c r="S39" s="6"/>
      <c r="X39" s="38">
        <v>5</v>
      </c>
      <c r="Y39" s="12"/>
    </row>
    <row r="40" spans="1:25" x14ac:dyDescent="0.35">
      <c r="A40" s="6"/>
      <c r="B40" s="6"/>
      <c r="C40" s="67"/>
      <c r="D40" s="6"/>
      <c r="E40" s="6"/>
      <c r="F40" s="12"/>
      <c r="G40" s="14"/>
      <c r="H40" s="12"/>
      <c r="I40" s="12"/>
      <c r="J40" s="35">
        <v>151</v>
      </c>
      <c r="K40" s="39">
        <v>1</v>
      </c>
      <c r="L40" s="14"/>
      <c r="M40" s="40">
        <v>3</v>
      </c>
      <c r="N40" s="18">
        <v>152</v>
      </c>
      <c r="O40" s="35">
        <v>153</v>
      </c>
      <c r="P40" s="12"/>
      <c r="Q40" s="12"/>
      <c r="R40" s="6"/>
      <c r="S40" s="6"/>
      <c r="X40" s="38">
        <v>5</v>
      </c>
      <c r="Y40" s="12"/>
    </row>
    <row r="41" spans="1:25" x14ac:dyDescent="0.35">
      <c r="A41" s="7"/>
      <c r="B41" s="7"/>
      <c r="C41" s="68"/>
      <c r="D41" s="7"/>
      <c r="E41" s="7"/>
      <c r="F41" s="12"/>
      <c r="G41" s="14"/>
      <c r="H41" s="12"/>
      <c r="I41" s="12"/>
      <c r="J41" s="35">
        <v>151</v>
      </c>
      <c r="K41" s="39">
        <v>1</v>
      </c>
      <c r="L41" s="14"/>
      <c r="M41" s="40">
        <v>3</v>
      </c>
      <c r="N41" s="18">
        <v>152</v>
      </c>
      <c r="O41" s="35">
        <v>153</v>
      </c>
      <c r="P41" s="12"/>
      <c r="Q41" s="12"/>
      <c r="R41" s="7"/>
      <c r="S41" s="7"/>
      <c r="X41" s="38">
        <v>5</v>
      </c>
      <c r="Y41" s="12"/>
    </row>
    <row r="42" spans="1:25" x14ac:dyDescent="0.35">
      <c r="L42" s="14"/>
      <c r="M42" s="14"/>
      <c r="N42" s="14"/>
    </row>
    <row r="43" spans="1:25" ht="29" x14ac:dyDescent="0.35">
      <c r="L43" s="3" t="s">
        <v>77</v>
      </c>
      <c r="M43" s="3" t="s">
        <v>78</v>
      </c>
      <c r="N43" s="3" t="s">
        <v>79</v>
      </c>
    </row>
    <row r="46" spans="1:25" x14ac:dyDescent="0.35">
      <c r="A46" s="32" t="s">
        <v>35</v>
      </c>
      <c r="B46" s="32">
        <v>5</v>
      </c>
      <c r="C46" s="71" t="s">
        <v>36</v>
      </c>
      <c r="D46" s="59" t="s">
        <v>72</v>
      </c>
      <c r="E46" s="60">
        <f>Greitis!W7</f>
        <v>2.5122000000000004</v>
      </c>
      <c r="F46" s="12"/>
      <c r="G46" s="14"/>
      <c r="H46" s="12"/>
      <c r="I46" s="12"/>
      <c r="J46" s="35">
        <v>211</v>
      </c>
      <c r="K46" s="39">
        <v>1</v>
      </c>
      <c r="L46" s="14"/>
      <c r="M46" s="40">
        <v>3</v>
      </c>
      <c r="N46" s="18">
        <v>212</v>
      </c>
      <c r="O46" s="35">
        <v>213</v>
      </c>
      <c r="P46" s="12"/>
      <c r="Q46" s="12"/>
      <c r="R46" s="43"/>
      <c r="S46" s="36" t="s">
        <v>84</v>
      </c>
      <c r="X46" s="38">
        <v>1</v>
      </c>
      <c r="Y46" s="12"/>
    </row>
    <row r="47" spans="1:25" x14ac:dyDescent="0.35">
      <c r="A47" s="6"/>
      <c r="B47" s="6"/>
      <c r="C47" s="67"/>
      <c r="D47" s="6"/>
      <c r="E47" s="6"/>
      <c r="F47" s="12"/>
      <c r="G47" s="14"/>
      <c r="H47" s="12"/>
      <c r="I47" s="12"/>
      <c r="J47" s="35">
        <v>211</v>
      </c>
      <c r="K47" s="39">
        <v>1</v>
      </c>
      <c r="L47" s="14"/>
      <c r="M47" s="40">
        <v>3</v>
      </c>
      <c r="N47" s="18">
        <v>212</v>
      </c>
      <c r="O47" s="35">
        <v>213</v>
      </c>
      <c r="P47" s="12"/>
      <c r="Q47" s="12"/>
      <c r="R47" s="6"/>
      <c r="S47" s="6"/>
      <c r="X47" s="38">
        <v>1</v>
      </c>
      <c r="Y47" s="12"/>
    </row>
    <row r="48" spans="1:25" x14ac:dyDescent="0.35">
      <c r="A48" s="6"/>
      <c r="B48" s="6"/>
      <c r="C48" s="67"/>
      <c r="D48" s="6"/>
      <c r="E48" s="6"/>
      <c r="F48" s="12"/>
      <c r="G48" s="14"/>
      <c r="H48" s="12"/>
      <c r="I48" s="12"/>
      <c r="J48" s="35">
        <v>211</v>
      </c>
      <c r="K48" s="39">
        <v>1</v>
      </c>
      <c r="L48" s="14"/>
      <c r="M48" s="40">
        <v>3</v>
      </c>
      <c r="N48" s="18">
        <v>212</v>
      </c>
      <c r="O48" s="35">
        <v>213</v>
      </c>
      <c r="P48" s="12"/>
      <c r="Q48" s="12"/>
      <c r="R48" s="6"/>
      <c r="S48" s="6"/>
      <c r="X48" s="38">
        <v>1</v>
      </c>
      <c r="Y48" s="12"/>
    </row>
    <row r="49" spans="1:25" x14ac:dyDescent="0.35">
      <c r="A49" s="7"/>
      <c r="B49" s="7"/>
      <c r="C49" s="68"/>
      <c r="D49" s="7"/>
      <c r="E49" s="7"/>
      <c r="F49" s="12"/>
      <c r="G49" s="14"/>
      <c r="H49" s="12"/>
      <c r="I49" s="12"/>
      <c r="J49" s="35">
        <v>211</v>
      </c>
      <c r="K49" s="39">
        <v>1</v>
      </c>
      <c r="L49" s="14"/>
      <c r="M49" s="40">
        <v>3</v>
      </c>
      <c r="N49" s="18">
        <v>212</v>
      </c>
      <c r="O49" s="35">
        <v>213</v>
      </c>
      <c r="P49" s="12"/>
      <c r="Q49" s="12"/>
      <c r="R49" s="7"/>
      <c r="S49" s="7"/>
      <c r="X49" s="38">
        <v>1</v>
      </c>
      <c r="Y49" s="12"/>
    </row>
    <row r="50" spans="1:25" x14ac:dyDescent="0.35">
      <c r="L50" s="14"/>
      <c r="M50" s="14"/>
      <c r="N50" s="14"/>
    </row>
    <row r="51" spans="1:25" ht="29" x14ac:dyDescent="0.35">
      <c r="L51" s="3" t="s">
        <v>77</v>
      </c>
      <c r="M51" s="3" t="s">
        <v>78</v>
      </c>
      <c r="N51" s="3" t="s">
        <v>79</v>
      </c>
    </row>
    <row r="54" spans="1:25" x14ac:dyDescent="0.35">
      <c r="A54" s="32" t="s">
        <v>35</v>
      </c>
      <c r="B54" s="32">
        <v>5</v>
      </c>
      <c r="C54" s="71" t="s">
        <v>36</v>
      </c>
      <c r="D54" s="59" t="s">
        <v>72</v>
      </c>
      <c r="E54" s="60">
        <f>Greitis!W7</f>
        <v>2.5122000000000004</v>
      </c>
      <c r="F54" s="12"/>
      <c r="G54" s="14"/>
      <c r="H54" s="12"/>
      <c r="I54" s="12"/>
      <c r="J54" s="35">
        <v>221</v>
      </c>
      <c r="K54" s="39">
        <v>1</v>
      </c>
      <c r="L54" s="14"/>
      <c r="M54" s="40">
        <v>3</v>
      </c>
      <c r="N54" s="18">
        <v>222</v>
      </c>
      <c r="O54" s="35">
        <v>223</v>
      </c>
      <c r="P54" s="12"/>
      <c r="Q54" s="12"/>
      <c r="R54" s="43"/>
      <c r="S54" s="36" t="s">
        <v>85</v>
      </c>
      <c r="X54" s="38">
        <v>2</v>
      </c>
      <c r="Y54" s="12"/>
    </row>
    <row r="55" spans="1:25" x14ac:dyDescent="0.35">
      <c r="A55" s="6"/>
      <c r="B55" s="6"/>
      <c r="C55" s="67"/>
      <c r="D55" s="6"/>
      <c r="E55" s="6"/>
      <c r="F55" s="12"/>
      <c r="G55" s="14"/>
      <c r="H55" s="12"/>
      <c r="I55" s="12"/>
      <c r="J55" s="35">
        <v>221</v>
      </c>
      <c r="K55" s="39">
        <v>1</v>
      </c>
      <c r="L55" s="14"/>
      <c r="M55" s="40">
        <v>3</v>
      </c>
      <c r="N55" s="18">
        <v>222</v>
      </c>
      <c r="O55" s="35">
        <v>223</v>
      </c>
      <c r="P55" s="12"/>
      <c r="Q55" s="12"/>
      <c r="R55" s="6"/>
      <c r="S55" s="6"/>
      <c r="X55" s="38">
        <v>2</v>
      </c>
      <c r="Y55" s="12"/>
    </row>
    <row r="56" spans="1:25" x14ac:dyDescent="0.35">
      <c r="A56" s="6"/>
      <c r="B56" s="6"/>
      <c r="C56" s="67"/>
      <c r="D56" s="6"/>
      <c r="E56" s="6"/>
      <c r="F56" s="12"/>
      <c r="G56" s="14"/>
      <c r="H56" s="12"/>
      <c r="I56" s="12"/>
      <c r="J56" s="35">
        <v>221</v>
      </c>
      <c r="K56" s="39">
        <v>1</v>
      </c>
      <c r="L56" s="14"/>
      <c r="M56" s="40">
        <v>3</v>
      </c>
      <c r="N56" s="18">
        <v>222</v>
      </c>
      <c r="O56" s="35">
        <v>223</v>
      </c>
      <c r="P56" s="12"/>
      <c r="Q56" s="12"/>
      <c r="R56" s="6"/>
      <c r="S56" s="6"/>
      <c r="X56" s="38">
        <v>2</v>
      </c>
      <c r="Y56" s="12"/>
    </row>
    <row r="57" spans="1:25" x14ac:dyDescent="0.35">
      <c r="A57" s="7"/>
      <c r="B57" s="7"/>
      <c r="C57" s="68"/>
      <c r="D57" s="7"/>
      <c r="E57" s="7"/>
      <c r="F57" s="12"/>
      <c r="G57" s="14"/>
      <c r="H57" s="12"/>
      <c r="I57" s="12"/>
      <c r="J57" s="35">
        <v>221</v>
      </c>
      <c r="K57" s="39">
        <v>1</v>
      </c>
      <c r="L57" s="14"/>
      <c r="M57" s="40">
        <v>3</v>
      </c>
      <c r="N57" s="18">
        <v>222</v>
      </c>
      <c r="O57" s="35">
        <v>223</v>
      </c>
      <c r="P57" s="12"/>
      <c r="Q57" s="12"/>
      <c r="R57" s="7"/>
      <c r="S57" s="7"/>
      <c r="X57" s="38">
        <v>2</v>
      </c>
      <c r="Y57" s="12"/>
    </row>
    <row r="58" spans="1:25" x14ac:dyDescent="0.35">
      <c r="L58" s="14"/>
      <c r="M58" s="14"/>
      <c r="N58" s="14"/>
    </row>
    <row r="59" spans="1:25" ht="29" x14ac:dyDescent="0.35">
      <c r="L59" s="3" t="s">
        <v>77</v>
      </c>
      <c r="M59" s="3" t="s">
        <v>78</v>
      </c>
      <c r="N59" s="3" t="s">
        <v>79</v>
      </c>
    </row>
    <row r="62" spans="1:25" x14ac:dyDescent="0.35">
      <c r="A62" s="32" t="s">
        <v>35</v>
      </c>
      <c r="B62" s="32">
        <v>5</v>
      </c>
      <c r="C62" s="71" t="s">
        <v>36</v>
      </c>
      <c r="D62" s="59" t="s">
        <v>72</v>
      </c>
      <c r="E62" s="60">
        <f>Greitis!W7</f>
        <v>2.5122000000000004</v>
      </c>
      <c r="F62" s="12"/>
      <c r="G62" s="14"/>
      <c r="H62" s="12"/>
      <c r="I62" s="12"/>
      <c r="J62" s="35">
        <v>231</v>
      </c>
      <c r="K62" s="39">
        <v>1</v>
      </c>
      <c r="L62" s="14"/>
      <c r="M62" s="40">
        <v>3</v>
      </c>
      <c r="N62" s="18">
        <v>232</v>
      </c>
      <c r="O62" s="35">
        <v>233</v>
      </c>
      <c r="P62" s="12"/>
      <c r="Q62" s="12"/>
      <c r="R62" s="43"/>
      <c r="S62" s="36" t="s">
        <v>86</v>
      </c>
      <c r="X62" s="38">
        <v>3</v>
      </c>
      <c r="Y62" s="12"/>
    </row>
    <row r="63" spans="1:25" x14ac:dyDescent="0.35">
      <c r="A63" s="6"/>
      <c r="B63" s="6"/>
      <c r="C63" s="67"/>
      <c r="D63" s="6"/>
      <c r="E63" s="6"/>
      <c r="F63" s="12"/>
      <c r="G63" s="14"/>
      <c r="H63" s="12"/>
      <c r="I63" s="12"/>
      <c r="J63" s="35">
        <v>231</v>
      </c>
      <c r="K63" s="39">
        <v>1</v>
      </c>
      <c r="L63" s="14"/>
      <c r="M63" s="40">
        <v>3</v>
      </c>
      <c r="N63" s="18">
        <v>232</v>
      </c>
      <c r="O63" s="35">
        <v>233</v>
      </c>
      <c r="P63" s="12"/>
      <c r="Q63" s="12"/>
      <c r="R63" s="6"/>
      <c r="S63" s="6"/>
      <c r="X63" s="38">
        <v>3</v>
      </c>
      <c r="Y63" s="12"/>
    </row>
    <row r="64" spans="1:25" x14ac:dyDescent="0.35">
      <c r="A64" s="6"/>
      <c r="B64" s="6"/>
      <c r="C64" s="67"/>
      <c r="D64" s="6"/>
      <c r="E64" s="6"/>
      <c r="F64" s="12"/>
      <c r="G64" s="14"/>
      <c r="H64" s="12"/>
      <c r="I64" s="12"/>
      <c r="J64" s="35">
        <v>231</v>
      </c>
      <c r="K64" s="39">
        <v>1</v>
      </c>
      <c r="L64" s="14"/>
      <c r="M64" s="40">
        <v>3</v>
      </c>
      <c r="N64" s="18">
        <v>232</v>
      </c>
      <c r="O64" s="35">
        <v>233</v>
      </c>
      <c r="P64" s="12"/>
      <c r="Q64" s="12"/>
      <c r="R64" s="6"/>
      <c r="S64" s="6"/>
      <c r="X64" s="38">
        <v>3</v>
      </c>
      <c r="Y64" s="12"/>
    </row>
    <row r="65" spans="1:25" x14ac:dyDescent="0.35">
      <c r="A65" s="7"/>
      <c r="B65" s="7"/>
      <c r="C65" s="68"/>
      <c r="D65" s="7"/>
      <c r="E65" s="7"/>
      <c r="F65" s="12"/>
      <c r="G65" s="14"/>
      <c r="H65" s="12"/>
      <c r="I65" s="12"/>
      <c r="J65" s="35">
        <v>231</v>
      </c>
      <c r="K65" s="39">
        <v>1</v>
      </c>
      <c r="L65" s="14"/>
      <c r="M65" s="40">
        <v>3</v>
      </c>
      <c r="N65" s="18">
        <v>232</v>
      </c>
      <c r="O65" s="35">
        <v>233</v>
      </c>
      <c r="P65" s="12"/>
      <c r="Q65" s="12"/>
      <c r="R65" s="7"/>
      <c r="S65" s="7"/>
      <c r="X65" s="38">
        <v>3</v>
      </c>
      <c r="Y65" s="12"/>
    </row>
    <row r="66" spans="1:25" x14ac:dyDescent="0.35">
      <c r="L66" s="14"/>
      <c r="M66" s="14"/>
      <c r="N66" s="14"/>
    </row>
    <row r="67" spans="1:25" ht="29" x14ac:dyDescent="0.35">
      <c r="L67" s="3" t="s">
        <v>77</v>
      </c>
      <c r="M67" s="3" t="s">
        <v>78</v>
      </c>
      <c r="N67" s="3" t="s">
        <v>79</v>
      </c>
    </row>
    <row r="70" spans="1:25" x14ac:dyDescent="0.35">
      <c r="A70" s="32" t="s">
        <v>35</v>
      </c>
      <c r="B70" s="32">
        <v>5</v>
      </c>
      <c r="C70" s="71" t="s">
        <v>36</v>
      </c>
      <c r="D70" s="59" t="s">
        <v>72</v>
      </c>
      <c r="E70" s="60">
        <f>Greitis!W7</f>
        <v>2.5122000000000004</v>
      </c>
      <c r="F70" s="12"/>
      <c r="G70" s="14"/>
      <c r="H70" s="12"/>
      <c r="I70" s="12"/>
      <c r="J70" s="35">
        <v>241</v>
      </c>
      <c r="K70" s="39">
        <v>1</v>
      </c>
      <c r="L70" s="14"/>
      <c r="M70" s="40">
        <v>3</v>
      </c>
      <c r="N70" s="18">
        <v>242</v>
      </c>
      <c r="O70" s="35">
        <v>243</v>
      </c>
      <c r="P70" s="12"/>
      <c r="Q70" s="12"/>
      <c r="R70" s="43"/>
      <c r="S70" s="36" t="s">
        <v>87</v>
      </c>
      <c r="X70" s="38">
        <v>4</v>
      </c>
      <c r="Y70" s="12"/>
    </row>
    <row r="71" spans="1:25" x14ac:dyDescent="0.35">
      <c r="A71" s="6"/>
      <c r="B71" s="6"/>
      <c r="C71" s="67"/>
      <c r="D71" s="6"/>
      <c r="E71" s="6"/>
      <c r="F71" s="12"/>
      <c r="G71" s="14"/>
      <c r="H71" s="12"/>
      <c r="I71" s="12"/>
      <c r="J71" s="35">
        <v>241</v>
      </c>
      <c r="K71" s="39">
        <v>1</v>
      </c>
      <c r="L71" s="14"/>
      <c r="M71" s="40">
        <v>3</v>
      </c>
      <c r="N71" s="18">
        <v>242</v>
      </c>
      <c r="O71" s="35">
        <v>243</v>
      </c>
      <c r="P71" s="12"/>
      <c r="Q71" s="12"/>
      <c r="R71" s="6"/>
      <c r="S71" s="6"/>
      <c r="X71" s="38">
        <v>4</v>
      </c>
      <c r="Y71" s="12"/>
    </row>
    <row r="72" spans="1:25" x14ac:dyDescent="0.35">
      <c r="A72" s="6"/>
      <c r="B72" s="6"/>
      <c r="C72" s="67"/>
      <c r="D72" s="6"/>
      <c r="E72" s="6"/>
      <c r="F72" s="12"/>
      <c r="G72" s="14"/>
      <c r="H72" s="12"/>
      <c r="I72" s="12"/>
      <c r="J72" s="35">
        <v>241</v>
      </c>
      <c r="K72" s="39">
        <v>1</v>
      </c>
      <c r="L72" s="14"/>
      <c r="M72" s="40">
        <v>3</v>
      </c>
      <c r="N72" s="18">
        <v>242</v>
      </c>
      <c r="O72" s="35">
        <v>243</v>
      </c>
      <c r="P72" s="12"/>
      <c r="Q72" s="12"/>
      <c r="R72" s="6"/>
      <c r="S72" s="6"/>
      <c r="X72" s="38">
        <v>4</v>
      </c>
      <c r="Y72" s="12"/>
    </row>
    <row r="73" spans="1:25" x14ac:dyDescent="0.35">
      <c r="A73" s="7"/>
      <c r="B73" s="7"/>
      <c r="C73" s="68"/>
      <c r="D73" s="7"/>
      <c r="E73" s="7"/>
      <c r="F73" s="12"/>
      <c r="G73" s="14"/>
      <c r="H73" s="12"/>
      <c r="I73" s="12"/>
      <c r="J73" s="35">
        <v>241</v>
      </c>
      <c r="K73" s="39">
        <v>1</v>
      </c>
      <c r="L73" s="14"/>
      <c r="M73" s="40">
        <v>3</v>
      </c>
      <c r="N73" s="18">
        <v>242</v>
      </c>
      <c r="O73" s="35">
        <v>243</v>
      </c>
      <c r="P73" s="12"/>
      <c r="Q73" s="12"/>
      <c r="R73" s="7"/>
      <c r="S73" s="7"/>
      <c r="X73" s="38">
        <v>4</v>
      </c>
      <c r="Y73" s="12"/>
    </row>
    <row r="74" spans="1:25" x14ac:dyDescent="0.35">
      <c r="L74" s="14"/>
      <c r="M74" s="14"/>
      <c r="N74" s="14"/>
    </row>
    <row r="75" spans="1:25" ht="29" x14ac:dyDescent="0.35">
      <c r="L75" s="3" t="s">
        <v>77</v>
      </c>
      <c r="M75" s="3" t="s">
        <v>78</v>
      </c>
      <c r="N75" s="3" t="s">
        <v>79</v>
      </c>
    </row>
    <row r="78" spans="1:25" x14ac:dyDescent="0.35">
      <c r="A78" s="32" t="s">
        <v>35</v>
      </c>
      <c r="B78" s="32">
        <v>5</v>
      </c>
      <c r="C78" s="71" t="s">
        <v>36</v>
      </c>
      <c r="D78" s="59" t="s">
        <v>72</v>
      </c>
      <c r="E78" s="60">
        <f>Greitis!W7</f>
        <v>2.5122000000000004</v>
      </c>
      <c r="F78" s="12"/>
      <c r="G78" s="14"/>
      <c r="H78" s="12"/>
      <c r="I78" s="12"/>
      <c r="J78" s="35">
        <v>251</v>
      </c>
      <c r="K78" s="39">
        <v>1</v>
      </c>
      <c r="L78" s="14"/>
      <c r="M78" s="40">
        <v>3</v>
      </c>
      <c r="N78" s="18">
        <v>252</v>
      </c>
      <c r="O78" s="35">
        <v>253</v>
      </c>
      <c r="P78" s="12"/>
      <c r="Q78" s="12"/>
      <c r="R78" s="43"/>
      <c r="S78" s="36" t="s">
        <v>88</v>
      </c>
      <c r="X78" s="38">
        <v>5</v>
      </c>
      <c r="Y78" s="12"/>
    </row>
    <row r="79" spans="1:25" x14ac:dyDescent="0.35">
      <c r="A79" s="6"/>
      <c r="B79" s="6"/>
      <c r="C79" s="67"/>
      <c r="D79" s="6"/>
      <c r="E79" s="6"/>
      <c r="F79" s="12"/>
      <c r="G79" s="14"/>
      <c r="H79" s="12"/>
      <c r="I79" s="12"/>
      <c r="J79" s="35">
        <v>251</v>
      </c>
      <c r="K79" s="39">
        <v>1</v>
      </c>
      <c r="L79" s="14"/>
      <c r="M79" s="40">
        <v>3</v>
      </c>
      <c r="N79" s="18">
        <v>252</v>
      </c>
      <c r="O79" s="35">
        <v>253</v>
      </c>
      <c r="P79" s="12"/>
      <c r="Q79" s="12"/>
      <c r="R79" s="6"/>
      <c r="S79" s="6"/>
      <c r="X79" s="38">
        <v>5</v>
      </c>
      <c r="Y79" s="12"/>
    </row>
    <row r="80" spans="1:25" x14ac:dyDescent="0.35">
      <c r="A80" s="6"/>
      <c r="B80" s="6"/>
      <c r="C80" s="67"/>
      <c r="D80" s="6"/>
      <c r="E80" s="6"/>
      <c r="F80" s="12"/>
      <c r="G80" s="14"/>
      <c r="H80" s="12"/>
      <c r="I80" s="12"/>
      <c r="J80" s="35">
        <v>251</v>
      </c>
      <c r="K80" s="39">
        <v>1</v>
      </c>
      <c r="L80" s="14"/>
      <c r="M80" s="40">
        <v>3</v>
      </c>
      <c r="N80" s="18">
        <v>252</v>
      </c>
      <c r="O80" s="35">
        <v>253</v>
      </c>
      <c r="P80" s="12"/>
      <c r="Q80" s="12"/>
      <c r="R80" s="6"/>
      <c r="S80" s="6"/>
      <c r="X80" s="38">
        <v>5</v>
      </c>
      <c r="Y80" s="12"/>
    </row>
    <row r="81" spans="1:25" x14ac:dyDescent="0.35">
      <c r="A81" s="7"/>
      <c r="B81" s="7"/>
      <c r="C81" s="68"/>
      <c r="D81" s="7"/>
      <c r="E81" s="7"/>
      <c r="F81" s="12"/>
      <c r="G81" s="14"/>
      <c r="H81" s="12"/>
      <c r="I81" s="12"/>
      <c r="J81" s="35">
        <v>251</v>
      </c>
      <c r="K81" s="39">
        <v>1</v>
      </c>
      <c r="L81" s="14"/>
      <c r="M81" s="40">
        <v>3</v>
      </c>
      <c r="N81" s="18">
        <v>252</v>
      </c>
      <c r="O81" s="35">
        <v>253</v>
      </c>
      <c r="P81" s="12"/>
      <c r="Q81" s="12"/>
      <c r="R81" s="7"/>
      <c r="S81" s="7"/>
      <c r="X81" s="38">
        <v>5</v>
      </c>
      <c r="Y81" s="12"/>
    </row>
    <row r="82" spans="1:25" x14ac:dyDescent="0.35">
      <c r="L82" s="14"/>
      <c r="M82" s="14"/>
      <c r="N82" s="14"/>
    </row>
    <row r="83" spans="1:25" ht="29" x14ac:dyDescent="0.35">
      <c r="L83" s="3" t="s">
        <v>77</v>
      </c>
      <c r="M83" s="3" t="s">
        <v>78</v>
      </c>
      <c r="N83" s="3" t="s">
        <v>79</v>
      </c>
    </row>
    <row r="86" spans="1:25" x14ac:dyDescent="0.35">
      <c r="A86" s="32" t="s">
        <v>35</v>
      </c>
      <c r="B86" s="32">
        <v>5</v>
      </c>
      <c r="C86" s="71" t="s">
        <v>36</v>
      </c>
      <c r="D86" s="59" t="s">
        <v>72</v>
      </c>
      <c r="E86" s="60">
        <f>Greitis!W7</f>
        <v>2.5122000000000004</v>
      </c>
      <c r="F86" s="12"/>
      <c r="G86" s="14"/>
      <c r="H86" s="12"/>
      <c r="I86" s="12"/>
      <c r="J86" s="35">
        <v>311</v>
      </c>
      <c r="K86" s="39">
        <v>1</v>
      </c>
      <c r="L86" s="14"/>
      <c r="M86" s="40">
        <v>3</v>
      </c>
      <c r="N86" s="18">
        <v>312</v>
      </c>
      <c r="O86" s="35">
        <v>313</v>
      </c>
      <c r="P86" s="12"/>
      <c r="Q86" s="12"/>
      <c r="R86" s="43"/>
      <c r="S86" s="36" t="s">
        <v>89</v>
      </c>
      <c r="X86" s="38">
        <v>1</v>
      </c>
      <c r="Y86" s="12"/>
    </row>
    <row r="87" spans="1:25" x14ac:dyDescent="0.35">
      <c r="A87" s="6"/>
      <c r="B87" s="6"/>
      <c r="C87" s="67"/>
      <c r="D87" s="6"/>
      <c r="E87" s="6"/>
      <c r="F87" s="12"/>
      <c r="G87" s="14"/>
      <c r="H87" s="12"/>
      <c r="I87" s="12"/>
      <c r="J87" s="35">
        <v>311</v>
      </c>
      <c r="K87" s="39">
        <v>1</v>
      </c>
      <c r="L87" s="14"/>
      <c r="M87" s="40">
        <v>3</v>
      </c>
      <c r="N87" s="18">
        <v>312</v>
      </c>
      <c r="O87" s="35">
        <v>313</v>
      </c>
      <c r="P87" s="12"/>
      <c r="Q87" s="12"/>
      <c r="R87" s="6"/>
      <c r="S87" s="6"/>
      <c r="X87" s="38">
        <v>1</v>
      </c>
      <c r="Y87" s="12"/>
    </row>
    <row r="88" spans="1:25" x14ac:dyDescent="0.35">
      <c r="A88" s="6"/>
      <c r="B88" s="6"/>
      <c r="C88" s="67"/>
      <c r="D88" s="6"/>
      <c r="E88" s="6"/>
      <c r="F88" s="12"/>
      <c r="G88" s="14"/>
      <c r="H88" s="12"/>
      <c r="I88" s="12"/>
      <c r="J88" s="35">
        <v>311</v>
      </c>
      <c r="K88" s="39">
        <v>1</v>
      </c>
      <c r="L88" s="14"/>
      <c r="M88" s="40">
        <v>3</v>
      </c>
      <c r="N88" s="18">
        <v>312</v>
      </c>
      <c r="O88" s="35">
        <v>313</v>
      </c>
      <c r="P88" s="12"/>
      <c r="Q88" s="12"/>
      <c r="R88" s="6"/>
      <c r="S88" s="6"/>
      <c r="X88" s="38">
        <v>1</v>
      </c>
      <c r="Y88" s="12"/>
    </row>
    <row r="89" spans="1:25" x14ac:dyDescent="0.35">
      <c r="A89" s="7"/>
      <c r="B89" s="7"/>
      <c r="C89" s="68"/>
      <c r="D89" s="7"/>
      <c r="E89" s="7"/>
      <c r="F89" s="12"/>
      <c r="G89" s="14"/>
      <c r="H89" s="12"/>
      <c r="I89" s="12"/>
      <c r="J89" s="35">
        <v>311</v>
      </c>
      <c r="K89" s="39">
        <v>1</v>
      </c>
      <c r="L89" s="14"/>
      <c r="M89" s="40">
        <v>3</v>
      </c>
      <c r="N89" s="18">
        <v>312</v>
      </c>
      <c r="O89" s="35">
        <v>313</v>
      </c>
      <c r="P89" s="12"/>
      <c r="Q89" s="12"/>
      <c r="R89" s="7"/>
      <c r="S89" s="7"/>
      <c r="X89" s="38">
        <v>1</v>
      </c>
      <c r="Y89" s="12"/>
    </row>
    <row r="90" spans="1:25" x14ac:dyDescent="0.35">
      <c r="L90" s="14"/>
      <c r="M90" s="14"/>
      <c r="N90" s="14"/>
    </row>
    <row r="91" spans="1:25" ht="29" x14ac:dyDescent="0.35">
      <c r="L91" s="3" t="s">
        <v>77</v>
      </c>
      <c r="M91" s="3" t="s">
        <v>78</v>
      </c>
      <c r="N91" s="3" t="s">
        <v>79</v>
      </c>
    </row>
    <row r="94" spans="1:25" x14ac:dyDescent="0.35">
      <c r="A94" s="32" t="s">
        <v>35</v>
      </c>
      <c r="B94" s="32">
        <v>5</v>
      </c>
      <c r="C94" s="71" t="s">
        <v>36</v>
      </c>
      <c r="D94" s="59" t="s">
        <v>72</v>
      </c>
      <c r="E94" s="60">
        <f>Greitis!W7</f>
        <v>2.5122000000000004</v>
      </c>
      <c r="F94" s="12"/>
      <c r="G94" s="14"/>
      <c r="H94" s="12"/>
      <c r="I94" s="12"/>
      <c r="J94" s="35">
        <v>321</v>
      </c>
      <c r="K94" s="39">
        <v>1</v>
      </c>
      <c r="L94" s="14"/>
      <c r="M94" s="40">
        <v>3</v>
      </c>
      <c r="N94" s="18">
        <v>322</v>
      </c>
      <c r="O94" s="35">
        <v>323</v>
      </c>
      <c r="P94" s="12"/>
      <c r="Q94" s="12"/>
      <c r="R94" s="43"/>
      <c r="S94" s="36" t="s">
        <v>90</v>
      </c>
      <c r="X94" s="38">
        <v>2</v>
      </c>
      <c r="Y94" s="12"/>
    </row>
    <row r="95" spans="1:25" x14ac:dyDescent="0.35">
      <c r="A95" s="6"/>
      <c r="B95" s="6"/>
      <c r="C95" s="67"/>
      <c r="D95" s="6"/>
      <c r="E95" s="6"/>
      <c r="F95" s="12"/>
      <c r="G95" s="14"/>
      <c r="H95" s="12"/>
      <c r="I95" s="12"/>
      <c r="J95" s="35">
        <v>321</v>
      </c>
      <c r="K95" s="39">
        <v>1</v>
      </c>
      <c r="L95" s="14"/>
      <c r="M95" s="40">
        <v>3</v>
      </c>
      <c r="N95" s="18">
        <v>322</v>
      </c>
      <c r="O95" s="35">
        <v>323</v>
      </c>
      <c r="P95" s="12"/>
      <c r="Q95" s="12"/>
      <c r="R95" s="6"/>
      <c r="S95" s="6"/>
      <c r="X95" s="38">
        <v>2</v>
      </c>
      <c r="Y95" s="12"/>
    </row>
    <row r="96" spans="1:25" x14ac:dyDescent="0.35">
      <c r="A96" s="6"/>
      <c r="B96" s="6"/>
      <c r="C96" s="67"/>
      <c r="D96" s="6"/>
      <c r="E96" s="6"/>
      <c r="F96" s="12"/>
      <c r="G96" s="14"/>
      <c r="H96" s="12"/>
      <c r="I96" s="12"/>
      <c r="J96" s="35">
        <v>321</v>
      </c>
      <c r="K96" s="39">
        <v>1</v>
      </c>
      <c r="L96" s="14"/>
      <c r="M96" s="40">
        <v>3</v>
      </c>
      <c r="N96" s="18">
        <v>322</v>
      </c>
      <c r="O96" s="35">
        <v>323</v>
      </c>
      <c r="P96" s="12"/>
      <c r="Q96" s="12"/>
      <c r="R96" s="6"/>
      <c r="S96" s="6"/>
      <c r="X96" s="38">
        <v>2</v>
      </c>
      <c r="Y96" s="12"/>
    </row>
    <row r="97" spans="1:25" x14ac:dyDescent="0.35">
      <c r="A97" s="7"/>
      <c r="B97" s="7"/>
      <c r="C97" s="68"/>
      <c r="D97" s="7"/>
      <c r="E97" s="7"/>
      <c r="F97" s="12"/>
      <c r="G97" s="14"/>
      <c r="H97" s="12"/>
      <c r="I97" s="12"/>
      <c r="J97" s="35">
        <v>321</v>
      </c>
      <c r="K97" s="39">
        <v>1</v>
      </c>
      <c r="L97" s="14"/>
      <c r="M97" s="40">
        <v>3</v>
      </c>
      <c r="N97" s="18">
        <v>322</v>
      </c>
      <c r="O97" s="35">
        <v>323</v>
      </c>
      <c r="P97" s="12"/>
      <c r="Q97" s="12"/>
      <c r="R97" s="7"/>
      <c r="S97" s="7"/>
      <c r="X97" s="38">
        <v>2</v>
      </c>
      <c r="Y97" s="12"/>
    </row>
    <row r="98" spans="1:25" x14ac:dyDescent="0.35">
      <c r="L98" s="14"/>
      <c r="M98" s="14"/>
      <c r="N98" s="14"/>
    </row>
    <row r="99" spans="1:25" ht="29" x14ac:dyDescent="0.35">
      <c r="L99" s="3" t="s">
        <v>77</v>
      </c>
      <c r="M99" s="3" t="s">
        <v>78</v>
      </c>
      <c r="N99" s="3" t="s">
        <v>79</v>
      </c>
    </row>
    <row r="102" spans="1:25" x14ac:dyDescent="0.35">
      <c r="A102" s="32" t="s">
        <v>35</v>
      </c>
      <c r="B102" s="32">
        <v>5</v>
      </c>
      <c r="C102" s="71" t="s">
        <v>36</v>
      </c>
      <c r="D102" s="59" t="s">
        <v>72</v>
      </c>
      <c r="E102" s="60">
        <f>Greitis!W7</f>
        <v>2.5122000000000004</v>
      </c>
      <c r="F102" s="12"/>
      <c r="G102" s="14"/>
      <c r="H102" s="12"/>
      <c r="I102" s="12"/>
      <c r="J102" s="35">
        <v>331</v>
      </c>
      <c r="K102" s="39">
        <v>1</v>
      </c>
      <c r="L102" s="14"/>
      <c r="M102" s="40">
        <v>3</v>
      </c>
      <c r="N102" s="18">
        <v>332</v>
      </c>
      <c r="O102" s="35">
        <v>333</v>
      </c>
      <c r="P102" s="12"/>
      <c r="Q102" s="12"/>
      <c r="R102" s="43"/>
      <c r="S102" s="36" t="s">
        <v>91</v>
      </c>
      <c r="X102" s="38">
        <v>3</v>
      </c>
      <c r="Y102" s="12"/>
    </row>
    <row r="103" spans="1:25" x14ac:dyDescent="0.35">
      <c r="A103" s="6"/>
      <c r="B103" s="6"/>
      <c r="C103" s="67"/>
      <c r="D103" s="6"/>
      <c r="E103" s="6"/>
      <c r="F103" s="12"/>
      <c r="G103" s="14"/>
      <c r="H103" s="12"/>
      <c r="I103" s="12"/>
      <c r="J103" s="35">
        <v>331</v>
      </c>
      <c r="K103" s="39">
        <v>1</v>
      </c>
      <c r="L103" s="14"/>
      <c r="M103" s="40">
        <v>3</v>
      </c>
      <c r="N103" s="18">
        <v>332</v>
      </c>
      <c r="O103" s="35">
        <v>333</v>
      </c>
      <c r="P103" s="12"/>
      <c r="Q103" s="12"/>
      <c r="R103" s="6"/>
      <c r="S103" s="6"/>
      <c r="X103" s="38">
        <v>3</v>
      </c>
      <c r="Y103" s="12"/>
    </row>
    <row r="104" spans="1:25" x14ac:dyDescent="0.35">
      <c r="A104" s="6"/>
      <c r="B104" s="6"/>
      <c r="C104" s="67"/>
      <c r="D104" s="6"/>
      <c r="E104" s="6"/>
      <c r="F104" s="12"/>
      <c r="G104" s="14"/>
      <c r="H104" s="12"/>
      <c r="I104" s="12"/>
      <c r="J104" s="35">
        <v>331</v>
      </c>
      <c r="K104" s="39">
        <v>1</v>
      </c>
      <c r="L104" s="14"/>
      <c r="M104" s="40">
        <v>3</v>
      </c>
      <c r="N104" s="18">
        <v>332</v>
      </c>
      <c r="O104" s="35">
        <v>333</v>
      </c>
      <c r="P104" s="12"/>
      <c r="Q104" s="12"/>
      <c r="R104" s="6"/>
      <c r="S104" s="6"/>
      <c r="X104" s="38">
        <v>3</v>
      </c>
      <c r="Y104" s="12"/>
    </row>
    <row r="105" spans="1:25" x14ac:dyDescent="0.35">
      <c r="A105" s="7"/>
      <c r="B105" s="7"/>
      <c r="C105" s="68"/>
      <c r="D105" s="7"/>
      <c r="E105" s="7"/>
      <c r="F105" s="12"/>
      <c r="G105" s="14"/>
      <c r="H105" s="12"/>
      <c r="I105" s="12"/>
      <c r="J105" s="35">
        <v>331</v>
      </c>
      <c r="K105" s="39">
        <v>1</v>
      </c>
      <c r="L105" s="14"/>
      <c r="M105" s="40">
        <v>3</v>
      </c>
      <c r="N105" s="18">
        <v>332</v>
      </c>
      <c r="O105" s="35">
        <v>333</v>
      </c>
      <c r="P105" s="12"/>
      <c r="Q105" s="12"/>
      <c r="R105" s="7"/>
      <c r="S105" s="7"/>
      <c r="X105" s="38">
        <v>3</v>
      </c>
      <c r="Y105" s="12"/>
    </row>
    <row r="106" spans="1:25" x14ac:dyDescent="0.35">
      <c r="L106" s="14"/>
      <c r="M106" s="14"/>
      <c r="N106" s="14"/>
    </row>
    <row r="107" spans="1:25" ht="29" x14ac:dyDescent="0.35">
      <c r="L107" s="3" t="s">
        <v>77</v>
      </c>
      <c r="M107" s="3" t="s">
        <v>78</v>
      </c>
      <c r="N107" s="3" t="s">
        <v>79</v>
      </c>
    </row>
    <row r="110" spans="1:25" x14ac:dyDescent="0.35">
      <c r="A110" s="32" t="s">
        <v>35</v>
      </c>
      <c r="B110" s="32">
        <v>5</v>
      </c>
      <c r="C110" s="71" t="s">
        <v>36</v>
      </c>
      <c r="D110" s="59" t="s">
        <v>72</v>
      </c>
      <c r="E110" s="60">
        <f>Greitis!W7</f>
        <v>2.5122000000000004</v>
      </c>
      <c r="F110" s="12"/>
      <c r="G110" s="14"/>
      <c r="H110" s="12"/>
      <c r="I110" s="12"/>
      <c r="J110" s="35">
        <v>341</v>
      </c>
      <c r="K110" s="39">
        <v>1</v>
      </c>
      <c r="L110" s="14"/>
      <c r="M110" s="40">
        <v>3</v>
      </c>
      <c r="N110" s="18">
        <v>342</v>
      </c>
      <c r="O110" s="35">
        <v>343</v>
      </c>
      <c r="P110" s="12"/>
      <c r="Q110" s="12"/>
      <c r="R110" s="43"/>
      <c r="S110" s="36" t="s">
        <v>92</v>
      </c>
      <c r="X110" s="38">
        <v>4</v>
      </c>
      <c r="Y110" s="12"/>
    </row>
    <row r="111" spans="1:25" x14ac:dyDescent="0.35">
      <c r="A111" s="6"/>
      <c r="B111" s="6"/>
      <c r="C111" s="67"/>
      <c r="D111" s="6"/>
      <c r="E111" s="6"/>
      <c r="F111" s="12"/>
      <c r="G111" s="14"/>
      <c r="H111" s="12"/>
      <c r="I111" s="12"/>
      <c r="J111" s="35">
        <v>341</v>
      </c>
      <c r="K111" s="39">
        <v>1</v>
      </c>
      <c r="L111" s="14"/>
      <c r="M111" s="40">
        <v>3</v>
      </c>
      <c r="N111" s="18">
        <v>342</v>
      </c>
      <c r="O111" s="35">
        <v>343</v>
      </c>
      <c r="P111" s="12"/>
      <c r="Q111" s="12"/>
      <c r="R111" s="6"/>
      <c r="S111" s="6"/>
      <c r="X111" s="38">
        <v>4</v>
      </c>
      <c r="Y111" s="12"/>
    </row>
    <row r="112" spans="1:25" x14ac:dyDescent="0.35">
      <c r="A112" s="6"/>
      <c r="B112" s="6"/>
      <c r="C112" s="67"/>
      <c r="D112" s="6"/>
      <c r="E112" s="6"/>
      <c r="F112" s="12"/>
      <c r="G112" s="14"/>
      <c r="H112" s="12"/>
      <c r="I112" s="12"/>
      <c r="J112" s="35">
        <v>341</v>
      </c>
      <c r="K112" s="39">
        <v>1</v>
      </c>
      <c r="L112" s="14"/>
      <c r="M112" s="40">
        <v>3</v>
      </c>
      <c r="N112" s="18">
        <v>342</v>
      </c>
      <c r="O112" s="35">
        <v>343</v>
      </c>
      <c r="P112" s="12"/>
      <c r="Q112" s="12"/>
      <c r="R112" s="6"/>
      <c r="S112" s="6"/>
      <c r="X112" s="38">
        <v>4</v>
      </c>
      <c r="Y112" s="12"/>
    </row>
    <row r="113" spans="1:25" x14ac:dyDescent="0.35">
      <c r="A113" s="7"/>
      <c r="B113" s="7"/>
      <c r="C113" s="68"/>
      <c r="D113" s="7"/>
      <c r="E113" s="7"/>
      <c r="F113" s="12"/>
      <c r="G113" s="14"/>
      <c r="H113" s="12"/>
      <c r="I113" s="12"/>
      <c r="J113" s="35">
        <v>341</v>
      </c>
      <c r="K113" s="39">
        <v>1</v>
      </c>
      <c r="L113" s="14"/>
      <c r="M113" s="40">
        <v>3</v>
      </c>
      <c r="N113" s="18">
        <v>342</v>
      </c>
      <c r="O113" s="35">
        <v>343</v>
      </c>
      <c r="P113" s="12"/>
      <c r="Q113" s="12"/>
      <c r="R113" s="7"/>
      <c r="S113" s="7"/>
      <c r="X113" s="38">
        <v>4</v>
      </c>
      <c r="Y113" s="12"/>
    </row>
    <row r="114" spans="1:25" x14ac:dyDescent="0.35">
      <c r="L114" s="14"/>
      <c r="M114" s="14"/>
      <c r="N114" s="14"/>
    </row>
    <row r="115" spans="1:25" ht="29" x14ac:dyDescent="0.35">
      <c r="L115" s="3" t="s">
        <v>77</v>
      </c>
      <c r="M115" s="3" t="s">
        <v>78</v>
      </c>
      <c r="N115" s="3" t="s">
        <v>79</v>
      </c>
    </row>
    <row r="118" spans="1:25" x14ac:dyDescent="0.35">
      <c r="A118" s="32" t="s">
        <v>35</v>
      </c>
      <c r="B118" s="32">
        <v>5</v>
      </c>
      <c r="C118" s="71" t="s">
        <v>36</v>
      </c>
      <c r="D118" s="59" t="s">
        <v>72</v>
      </c>
      <c r="E118" s="60">
        <f>Greitis!W7</f>
        <v>2.5122000000000004</v>
      </c>
      <c r="F118" s="12"/>
      <c r="G118" s="14"/>
      <c r="H118" s="12"/>
      <c r="I118" s="12"/>
      <c r="J118" s="35">
        <v>351</v>
      </c>
      <c r="K118" s="39">
        <v>1</v>
      </c>
      <c r="L118" s="14"/>
      <c r="M118" s="40">
        <v>3</v>
      </c>
      <c r="N118" s="18">
        <v>352</v>
      </c>
      <c r="O118" s="35">
        <v>353</v>
      </c>
      <c r="P118" s="12"/>
      <c r="Q118" s="12"/>
      <c r="R118" s="43"/>
      <c r="S118" s="36" t="s">
        <v>93</v>
      </c>
      <c r="X118" s="38">
        <v>5</v>
      </c>
      <c r="Y118" s="12"/>
    </row>
    <row r="119" spans="1:25" x14ac:dyDescent="0.35">
      <c r="A119" s="6"/>
      <c r="B119" s="6"/>
      <c r="C119" s="67"/>
      <c r="D119" s="6"/>
      <c r="E119" s="6"/>
      <c r="F119" s="12"/>
      <c r="G119" s="14"/>
      <c r="H119" s="12"/>
      <c r="I119" s="12"/>
      <c r="J119" s="35">
        <v>351</v>
      </c>
      <c r="K119" s="39">
        <v>1</v>
      </c>
      <c r="L119" s="14"/>
      <c r="M119" s="40">
        <v>3</v>
      </c>
      <c r="N119" s="18">
        <v>352</v>
      </c>
      <c r="O119" s="35">
        <v>353</v>
      </c>
      <c r="P119" s="12"/>
      <c r="Q119" s="12"/>
      <c r="R119" s="6"/>
      <c r="S119" s="6"/>
      <c r="X119" s="38">
        <v>5</v>
      </c>
      <c r="Y119" s="12"/>
    </row>
    <row r="120" spans="1:25" x14ac:dyDescent="0.35">
      <c r="A120" s="6"/>
      <c r="B120" s="6"/>
      <c r="C120" s="67"/>
      <c r="D120" s="6"/>
      <c r="E120" s="6"/>
      <c r="F120" s="12"/>
      <c r="G120" s="14"/>
      <c r="H120" s="12"/>
      <c r="I120" s="12"/>
      <c r="J120" s="35">
        <v>351</v>
      </c>
      <c r="K120" s="39">
        <v>1</v>
      </c>
      <c r="L120" s="14"/>
      <c r="M120" s="40">
        <v>3</v>
      </c>
      <c r="N120" s="18">
        <v>352</v>
      </c>
      <c r="O120" s="35">
        <v>353</v>
      </c>
      <c r="P120" s="12"/>
      <c r="Q120" s="12"/>
      <c r="R120" s="6"/>
      <c r="S120" s="6"/>
      <c r="X120" s="38">
        <v>5</v>
      </c>
      <c r="Y120" s="12"/>
    </row>
    <row r="121" spans="1:25" x14ac:dyDescent="0.35">
      <c r="A121" s="7"/>
      <c r="B121" s="7"/>
      <c r="C121" s="68"/>
      <c r="D121" s="7"/>
      <c r="E121" s="7"/>
      <c r="F121" s="12"/>
      <c r="G121" s="14"/>
      <c r="H121" s="12"/>
      <c r="I121" s="12"/>
      <c r="J121" s="35">
        <v>351</v>
      </c>
      <c r="K121" s="39">
        <v>1</v>
      </c>
      <c r="L121" s="14"/>
      <c r="M121" s="40">
        <v>3</v>
      </c>
      <c r="N121" s="18">
        <v>352</v>
      </c>
      <c r="O121" s="35">
        <v>353</v>
      </c>
      <c r="P121" s="12"/>
      <c r="Q121" s="12"/>
      <c r="R121" s="7"/>
      <c r="S121" s="7"/>
      <c r="X121" s="38">
        <v>5</v>
      </c>
      <c r="Y121" s="12"/>
    </row>
    <row r="122" spans="1:25" x14ac:dyDescent="0.35">
      <c r="L122" s="14"/>
      <c r="M122" s="14"/>
      <c r="N122" s="14"/>
    </row>
    <row r="123" spans="1:25" ht="29" x14ac:dyDescent="0.35">
      <c r="L123" s="3" t="s">
        <v>77</v>
      </c>
      <c r="M123" s="3" t="s">
        <v>78</v>
      </c>
      <c r="N123" s="3" t="s">
        <v>79</v>
      </c>
    </row>
    <row r="125" spans="1:25" x14ac:dyDescent="0.35">
      <c r="M125" s="44"/>
      <c r="N125" s="44"/>
    </row>
    <row r="126" spans="1:25" ht="43.5" x14ac:dyDescent="0.35">
      <c r="M126" s="3" t="s">
        <v>94</v>
      </c>
      <c r="N126" s="3" t="s">
        <v>95</v>
      </c>
    </row>
  </sheetData>
  <mergeCells count="16">
    <mergeCell ref="C118:C121"/>
    <mergeCell ref="C78:C81"/>
    <mergeCell ref="C94:C97"/>
    <mergeCell ref="C46:C49"/>
    <mergeCell ref="C62:C65"/>
    <mergeCell ref="C86:C89"/>
    <mergeCell ref="C110:C113"/>
    <mergeCell ref="C54:C57"/>
    <mergeCell ref="A2:V2"/>
    <mergeCell ref="C14:C17"/>
    <mergeCell ref="C22:C25"/>
    <mergeCell ref="C70:C73"/>
    <mergeCell ref="C102:C105"/>
    <mergeCell ref="C30:C33"/>
    <mergeCell ref="C6:C9"/>
    <mergeCell ref="C38:C4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N126"/>
  <sheetViews>
    <sheetView workbookViewId="0"/>
  </sheetViews>
  <sheetFormatPr defaultRowHeight="14.5" x14ac:dyDescent="0.35"/>
  <cols>
    <col min="1" max="14" width="14" customWidth="1"/>
  </cols>
  <sheetData>
    <row r="2" spans="1:14" x14ac:dyDescent="0.35">
      <c r="A2" s="70" t="s">
        <v>96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</row>
    <row r="5" spans="1:14" ht="87" x14ac:dyDescent="0.35">
      <c r="A5" s="1" t="s">
        <v>1</v>
      </c>
      <c r="B5" s="1" t="s">
        <v>2</v>
      </c>
      <c r="C5" s="1" t="s">
        <v>3</v>
      </c>
      <c r="D5" s="1" t="s">
        <v>61</v>
      </c>
      <c r="E5" s="1" t="s">
        <v>97</v>
      </c>
      <c r="F5" s="1" t="s">
        <v>98</v>
      </c>
      <c r="G5" s="1" t="s">
        <v>48</v>
      </c>
      <c r="H5" s="1" t="s">
        <v>99</v>
      </c>
      <c r="I5" s="1" t="s">
        <v>100</v>
      </c>
      <c r="J5" s="1" t="s">
        <v>101</v>
      </c>
      <c r="K5" s="1" t="s">
        <v>71</v>
      </c>
      <c r="L5" s="1" t="s">
        <v>102</v>
      </c>
      <c r="M5" s="1" t="s">
        <v>103</v>
      </c>
      <c r="N5" s="1" t="s">
        <v>50</v>
      </c>
    </row>
    <row r="6" spans="1:14" x14ac:dyDescent="0.35">
      <c r="A6" s="32" t="s">
        <v>35</v>
      </c>
      <c r="B6" s="32">
        <v>5</v>
      </c>
      <c r="C6" s="71" t="s">
        <v>36</v>
      </c>
      <c r="D6" s="12"/>
      <c r="E6" s="14"/>
      <c r="F6" s="45"/>
      <c r="G6" s="14"/>
      <c r="H6" s="12"/>
      <c r="I6" s="14"/>
      <c r="J6" s="14"/>
      <c r="K6" s="14"/>
      <c r="L6" s="45"/>
      <c r="M6" s="43"/>
      <c r="N6" s="43"/>
    </row>
    <row r="7" spans="1:14" x14ac:dyDescent="0.35">
      <c r="A7" s="6"/>
      <c r="B7" s="6"/>
      <c r="C7" s="67"/>
      <c r="D7" s="12"/>
      <c r="E7" s="14"/>
      <c r="F7" s="6"/>
      <c r="G7" s="14"/>
      <c r="H7" s="12"/>
      <c r="I7" s="14"/>
      <c r="J7" s="14"/>
      <c r="K7" s="14"/>
      <c r="L7" s="6"/>
      <c r="M7" s="6"/>
      <c r="N7" s="6"/>
    </row>
    <row r="8" spans="1:14" x14ac:dyDescent="0.35">
      <c r="A8" s="6"/>
      <c r="B8" s="6"/>
      <c r="C8" s="67"/>
      <c r="D8" s="12"/>
      <c r="E8" s="14"/>
      <c r="F8" s="6"/>
      <c r="G8" s="14"/>
      <c r="H8" s="12"/>
      <c r="I8" s="14"/>
      <c r="J8" s="14"/>
      <c r="K8" s="14"/>
      <c r="L8" s="6"/>
      <c r="M8" s="6"/>
      <c r="N8" s="6"/>
    </row>
    <row r="9" spans="1:14" x14ac:dyDescent="0.35">
      <c r="A9" s="7"/>
      <c r="B9" s="7"/>
      <c r="C9" s="68"/>
      <c r="D9" s="12"/>
      <c r="E9" s="14"/>
      <c r="F9" s="7"/>
      <c r="G9" s="14"/>
      <c r="H9" s="12"/>
      <c r="I9" s="14"/>
      <c r="J9" s="14"/>
      <c r="K9" s="14"/>
      <c r="L9" s="7"/>
      <c r="M9" s="7"/>
      <c r="N9" s="7"/>
    </row>
    <row r="10" spans="1:14" x14ac:dyDescent="0.35">
      <c r="G10" s="46"/>
      <c r="I10" s="46"/>
    </row>
    <row r="11" spans="1:14" ht="29" x14ac:dyDescent="0.35">
      <c r="G11" s="3" t="s">
        <v>104</v>
      </c>
      <c r="I11" s="3" t="s">
        <v>105</v>
      </c>
    </row>
    <row r="14" spans="1:14" x14ac:dyDescent="0.35">
      <c r="A14" s="32" t="s">
        <v>35</v>
      </c>
      <c r="B14" s="32">
        <v>5</v>
      </c>
      <c r="C14" s="71" t="s">
        <v>36</v>
      </c>
      <c r="D14" s="12"/>
      <c r="E14" s="14"/>
      <c r="F14" s="45"/>
      <c r="G14" s="14"/>
      <c r="H14" s="12"/>
      <c r="I14" s="14"/>
      <c r="J14" s="14"/>
      <c r="K14" s="14"/>
      <c r="L14" s="45"/>
      <c r="M14" s="43"/>
      <c r="N14" s="43"/>
    </row>
    <row r="15" spans="1:14" x14ac:dyDescent="0.35">
      <c r="A15" s="6"/>
      <c r="B15" s="6"/>
      <c r="C15" s="67"/>
      <c r="D15" s="12"/>
      <c r="E15" s="14"/>
      <c r="F15" s="6"/>
      <c r="G15" s="14"/>
      <c r="H15" s="12"/>
      <c r="I15" s="14"/>
      <c r="J15" s="14"/>
      <c r="K15" s="14"/>
      <c r="L15" s="6"/>
      <c r="M15" s="6"/>
      <c r="N15" s="6"/>
    </row>
    <row r="16" spans="1:14" x14ac:dyDescent="0.35">
      <c r="A16" s="6"/>
      <c r="B16" s="6"/>
      <c r="C16" s="67"/>
      <c r="D16" s="12"/>
      <c r="E16" s="14"/>
      <c r="F16" s="6"/>
      <c r="G16" s="14"/>
      <c r="H16" s="12"/>
      <c r="I16" s="14"/>
      <c r="J16" s="14"/>
      <c r="K16" s="14"/>
      <c r="L16" s="6"/>
      <c r="M16" s="6"/>
      <c r="N16" s="6"/>
    </row>
    <row r="17" spans="1:14" x14ac:dyDescent="0.35">
      <c r="A17" s="7"/>
      <c r="B17" s="7"/>
      <c r="C17" s="68"/>
      <c r="D17" s="12"/>
      <c r="E17" s="14"/>
      <c r="F17" s="7"/>
      <c r="G17" s="14"/>
      <c r="H17" s="12"/>
      <c r="I17" s="14"/>
      <c r="J17" s="14"/>
      <c r="K17" s="14"/>
      <c r="L17" s="7"/>
      <c r="M17" s="7"/>
      <c r="N17" s="7"/>
    </row>
    <row r="18" spans="1:14" x14ac:dyDescent="0.35">
      <c r="G18" s="46"/>
      <c r="I18" s="46"/>
    </row>
    <row r="19" spans="1:14" ht="29" x14ac:dyDescent="0.35">
      <c r="G19" s="3" t="s">
        <v>104</v>
      </c>
      <c r="I19" s="3" t="s">
        <v>105</v>
      </c>
    </row>
    <row r="22" spans="1:14" x14ac:dyDescent="0.35">
      <c r="A22" s="32" t="s">
        <v>35</v>
      </c>
      <c r="B22" s="32">
        <v>5</v>
      </c>
      <c r="C22" s="71" t="s">
        <v>36</v>
      </c>
      <c r="D22" s="12"/>
      <c r="E22" s="14"/>
      <c r="F22" s="45"/>
      <c r="G22" s="14"/>
      <c r="H22" s="12"/>
      <c r="I22" s="14"/>
      <c r="J22" s="14"/>
      <c r="K22" s="14"/>
      <c r="L22" s="45"/>
      <c r="M22" s="43"/>
      <c r="N22" s="43"/>
    </row>
    <row r="23" spans="1:14" x14ac:dyDescent="0.35">
      <c r="A23" s="6"/>
      <c r="B23" s="6"/>
      <c r="C23" s="67"/>
      <c r="D23" s="12"/>
      <c r="E23" s="14"/>
      <c r="F23" s="6"/>
      <c r="G23" s="14"/>
      <c r="H23" s="12"/>
      <c r="I23" s="14"/>
      <c r="J23" s="14"/>
      <c r="K23" s="14"/>
      <c r="L23" s="6"/>
      <c r="M23" s="6"/>
      <c r="N23" s="6"/>
    </row>
    <row r="24" spans="1:14" x14ac:dyDescent="0.35">
      <c r="A24" s="6"/>
      <c r="B24" s="6"/>
      <c r="C24" s="67"/>
      <c r="D24" s="12"/>
      <c r="E24" s="14"/>
      <c r="F24" s="6"/>
      <c r="G24" s="14"/>
      <c r="H24" s="12"/>
      <c r="I24" s="14"/>
      <c r="J24" s="14"/>
      <c r="K24" s="14"/>
      <c r="L24" s="6"/>
      <c r="M24" s="6"/>
      <c r="N24" s="6"/>
    </row>
    <row r="25" spans="1:14" x14ac:dyDescent="0.35">
      <c r="A25" s="7"/>
      <c r="B25" s="7"/>
      <c r="C25" s="68"/>
      <c r="D25" s="12"/>
      <c r="E25" s="14"/>
      <c r="F25" s="7"/>
      <c r="G25" s="14"/>
      <c r="H25" s="12"/>
      <c r="I25" s="14"/>
      <c r="J25" s="14"/>
      <c r="K25" s="14"/>
      <c r="L25" s="7"/>
      <c r="M25" s="7"/>
      <c r="N25" s="7"/>
    </row>
    <row r="26" spans="1:14" x14ac:dyDescent="0.35">
      <c r="G26" s="46"/>
      <c r="I26" s="46"/>
    </row>
    <row r="27" spans="1:14" ht="29" x14ac:dyDescent="0.35">
      <c r="G27" s="3" t="s">
        <v>104</v>
      </c>
      <c r="I27" s="3" t="s">
        <v>105</v>
      </c>
    </row>
    <row r="30" spans="1:14" x14ac:dyDescent="0.35">
      <c r="A30" s="32" t="s">
        <v>35</v>
      </c>
      <c r="B30" s="32">
        <v>5</v>
      </c>
      <c r="C30" s="71" t="s">
        <v>36</v>
      </c>
      <c r="D30" s="12"/>
      <c r="E30" s="14"/>
      <c r="F30" s="45"/>
      <c r="G30" s="14"/>
      <c r="H30" s="12"/>
      <c r="I30" s="14"/>
      <c r="J30" s="14"/>
      <c r="K30" s="14"/>
      <c r="L30" s="45"/>
      <c r="M30" s="43"/>
      <c r="N30" s="43"/>
    </row>
    <row r="31" spans="1:14" x14ac:dyDescent="0.35">
      <c r="A31" s="6"/>
      <c r="B31" s="6"/>
      <c r="C31" s="67"/>
      <c r="D31" s="12"/>
      <c r="E31" s="14"/>
      <c r="F31" s="6"/>
      <c r="G31" s="14"/>
      <c r="H31" s="12"/>
      <c r="I31" s="14"/>
      <c r="J31" s="14"/>
      <c r="K31" s="14"/>
      <c r="L31" s="6"/>
      <c r="M31" s="6"/>
      <c r="N31" s="6"/>
    </row>
    <row r="32" spans="1:14" x14ac:dyDescent="0.35">
      <c r="A32" s="6"/>
      <c r="B32" s="6"/>
      <c r="C32" s="67"/>
      <c r="D32" s="12"/>
      <c r="E32" s="14"/>
      <c r="F32" s="6"/>
      <c r="G32" s="14"/>
      <c r="H32" s="12"/>
      <c r="I32" s="14"/>
      <c r="J32" s="14"/>
      <c r="K32" s="14"/>
      <c r="L32" s="6"/>
      <c r="M32" s="6"/>
      <c r="N32" s="6"/>
    </row>
    <row r="33" spans="1:14" x14ac:dyDescent="0.35">
      <c r="A33" s="7"/>
      <c r="B33" s="7"/>
      <c r="C33" s="68"/>
      <c r="D33" s="12"/>
      <c r="E33" s="14"/>
      <c r="F33" s="7"/>
      <c r="G33" s="14"/>
      <c r="H33" s="12"/>
      <c r="I33" s="14"/>
      <c r="J33" s="14"/>
      <c r="K33" s="14"/>
      <c r="L33" s="7"/>
      <c r="M33" s="7"/>
      <c r="N33" s="7"/>
    </row>
    <row r="34" spans="1:14" x14ac:dyDescent="0.35">
      <c r="G34" s="46"/>
      <c r="I34" s="46"/>
    </row>
    <row r="35" spans="1:14" ht="29" x14ac:dyDescent="0.35">
      <c r="G35" s="3" t="s">
        <v>104</v>
      </c>
      <c r="I35" s="3" t="s">
        <v>105</v>
      </c>
    </row>
    <row r="38" spans="1:14" x14ac:dyDescent="0.35">
      <c r="A38" s="32" t="s">
        <v>35</v>
      </c>
      <c r="B38" s="32">
        <v>5</v>
      </c>
      <c r="C38" s="71" t="s">
        <v>36</v>
      </c>
      <c r="D38" s="12"/>
      <c r="E38" s="14"/>
      <c r="F38" s="45"/>
      <c r="G38" s="14"/>
      <c r="H38" s="12"/>
      <c r="I38" s="14"/>
      <c r="J38" s="14"/>
      <c r="K38" s="14"/>
      <c r="L38" s="45"/>
      <c r="M38" s="43"/>
      <c r="N38" s="43"/>
    </row>
    <row r="39" spans="1:14" x14ac:dyDescent="0.35">
      <c r="A39" s="6"/>
      <c r="B39" s="6"/>
      <c r="C39" s="67"/>
      <c r="D39" s="12"/>
      <c r="E39" s="14"/>
      <c r="F39" s="6"/>
      <c r="G39" s="14"/>
      <c r="H39" s="12"/>
      <c r="I39" s="14"/>
      <c r="J39" s="14"/>
      <c r="K39" s="14"/>
      <c r="L39" s="6"/>
      <c r="M39" s="6"/>
      <c r="N39" s="6"/>
    </row>
    <row r="40" spans="1:14" x14ac:dyDescent="0.35">
      <c r="A40" s="6"/>
      <c r="B40" s="6"/>
      <c r="C40" s="67"/>
      <c r="D40" s="12"/>
      <c r="E40" s="14"/>
      <c r="F40" s="6"/>
      <c r="G40" s="14"/>
      <c r="H40" s="12"/>
      <c r="I40" s="14"/>
      <c r="J40" s="14"/>
      <c r="K40" s="14"/>
      <c r="L40" s="6"/>
      <c r="M40" s="6"/>
      <c r="N40" s="6"/>
    </row>
    <row r="41" spans="1:14" x14ac:dyDescent="0.35">
      <c r="A41" s="7"/>
      <c r="B41" s="7"/>
      <c r="C41" s="68"/>
      <c r="D41" s="12"/>
      <c r="E41" s="14"/>
      <c r="F41" s="7"/>
      <c r="G41" s="14"/>
      <c r="H41" s="12"/>
      <c r="I41" s="14"/>
      <c r="J41" s="14"/>
      <c r="K41" s="14"/>
      <c r="L41" s="7"/>
      <c r="M41" s="7"/>
      <c r="N41" s="7"/>
    </row>
    <row r="42" spans="1:14" x14ac:dyDescent="0.35">
      <c r="G42" s="46"/>
      <c r="I42" s="46"/>
    </row>
    <row r="43" spans="1:14" ht="29" x14ac:dyDescent="0.35">
      <c r="G43" s="3" t="s">
        <v>104</v>
      </c>
      <c r="I43" s="3" t="s">
        <v>105</v>
      </c>
    </row>
    <row r="46" spans="1:14" x14ac:dyDescent="0.35">
      <c r="A46" s="32" t="s">
        <v>35</v>
      </c>
      <c r="B46" s="32">
        <v>5</v>
      </c>
      <c r="C46" s="71" t="s">
        <v>36</v>
      </c>
      <c r="D46" s="12"/>
      <c r="E46" s="14"/>
      <c r="F46" s="45"/>
      <c r="G46" s="14"/>
      <c r="H46" s="12"/>
      <c r="I46" s="14"/>
      <c r="J46" s="14"/>
      <c r="K46" s="14"/>
      <c r="L46" s="45"/>
      <c r="M46" s="43"/>
      <c r="N46" s="43"/>
    </row>
    <row r="47" spans="1:14" x14ac:dyDescent="0.35">
      <c r="A47" s="6"/>
      <c r="B47" s="6"/>
      <c r="C47" s="67"/>
      <c r="D47" s="12"/>
      <c r="E47" s="14"/>
      <c r="F47" s="6"/>
      <c r="G47" s="14"/>
      <c r="H47" s="12"/>
      <c r="I47" s="14"/>
      <c r="J47" s="14"/>
      <c r="K47" s="14"/>
      <c r="L47" s="6"/>
      <c r="M47" s="6"/>
      <c r="N47" s="6"/>
    </row>
    <row r="48" spans="1:14" x14ac:dyDescent="0.35">
      <c r="A48" s="6"/>
      <c r="B48" s="6"/>
      <c r="C48" s="67"/>
      <c r="D48" s="12"/>
      <c r="E48" s="14"/>
      <c r="F48" s="6"/>
      <c r="G48" s="14"/>
      <c r="H48" s="12"/>
      <c r="I48" s="14"/>
      <c r="J48" s="14"/>
      <c r="K48" s="14"/>
      <c r="L48" s="6"/>
      <c r="M48" s="6"/>
      <c r="N48" s="6"/>
    </row>
    <row r="49" spans="1:14" x14ac:dyDescent="0.35">
      <c r="A49" s="7"/>
      <c r="B49" s="7"/>
      <c r="C49" s="68"/>
      <c r="D49" s="12"/>
      <c r="E49" s="14"/>
      <c r="F49" s="7"/>
      <c r="G49" s="14"/>
      <c r="H49" s="12"/>
      <c r="I49" s="14"/>
      <c r="J49" s="14"/>
      <c r="K49" s="14"/>
      <c r="L49" s="7"/>
      <c r="M49" s="7"/>
      <c r="N49" s="7"/>
    </row>
    <row r="50" spans="1:14" x14ac:dyDescent="0.35">
      <c r="G50" s="46"/>
      <c r="I50" s="46"/>
    </row>
    <row r="51" spans="1:14" ht="29" x14ac:dyDescent="0.35">
      <c r="G51" s="3" t="s">
        <v>104</v>
      </c>
      <c r="I51" s="3" t="s">
        <v>105</v>
      </c>
    </row>
    <row r="54" spans="1:14" x14ac:dyDescent="0.35">
      <c r="A54" s="32" t="s">
        <v>35</v>
      </c>
      <c r="B54" s="32">
        <v>5</v>
      </c>
      <c r="C54" s="71" t="s">
        <v>36</v>
      </c>
      <c r="D54" s="12"/>
      <c r="E54" s="14"/>
      <c r="F54" s="45"/>
      <c r="G54" s="14"/>
      <c r="H54" s="12"/>
      <c r="I54" s="14"/>
      <c r="J54" s="14"/>
      <c r="K54" s="14"/>
      <c r="L54" s="45"/>
      <c r="M54" s="43"/>
      <c r="N54" s="43"/>
    </row>
    <row r="55" spans="1:14" x14ac:dyDescent="0.35">
      <c r="A55" s="6"/>
      <c r="B55" s="6"/>
      <c r="C55" s="67"/>
      <c r="D55" s="12"/>
      <c r="E55" s="14"/>
      <c r="F55" s="6"/>
      <c r="G55" s="14"/>
      <c r="H55" s="12"/>
      <c r="I55" s="14"/>
      <c r="J55" s="14"/>
      <c r="K55" s="14"/>
      <c r="L55" s="6"/>
      <c r="M55" s="6"/>
      <c r="N55" s="6"/>
    </row>
    <row r="56" spans="1:14" x14ac:dyDescent="0.35">
      <c r="A56" s="6"/>
      <c r="B56" s="6"/>
      <c r="C56" s="67"/>
      <c r="D56" s="12"/>
      <c r="E56" s="14"/>
      <c r="F56" s="6"/>
      <c r="G56" s="14"/>
      <c r="H56" s="12"/>
      <c r="I56" s="14"/>
      <c r="J56" s="14"/>
      <c r="K56" s="14"/>
      <c r="L56" s="6"/>
      <c r="M56" s="6"/>
      <c r="N56" s="6"/>
    </row>
    <row r="57" spans="1:14" x14ac:dyDescent="0.35">
      <c r="A57" s="7"/>
      <c r="B57" s="7"/>
      <c r="C57" s="68"/>
      <c r="D57" s="12"/>
      <c r="E57" s="14"/>
      <c r="F57" s="7"/>
      <c r="G57" s="14"/>
      <c r="H57" s="12"/>
      <c r="I57" s="14"/>
      <c r="J57" s="14"/>
      <c r="K57" s="14"/>
      <c r="L57" s="7"/>
      <c r="M57" s="7"/>
      <c r="N57" s="7"/>
    </row>
    <row r="58" spans="1:14" x14ac:dyDescent="0.35">
      <c r="G58" s="46"/>
      <c r="I58" s="46"/>
    </row>
    <row r="59" spans="1:14" ht="29" x14ac:dyDescent="0.35">
      <c r="G59" s="3" t="s">
        <v>104</v>
      </c>
      <c r="I59" s="3" t="s">
        <v>105</v>
      </c>
    </row>
    <row r="62" spans="1:14" x14ac:dyDescent="0.35">
      <c r="A62" s="32" t="s">
        <v>35</v>
      </c>
      <c r="B62" s="32">
        <v>5</v>
      </c>
      <c r="C62" s="71" t="s">
        <v>36</v>
      </c>
      <c r="D62" s="12"/>
      <c r="E62" s="14"/>
      <c r="F62" s="45"/>
      <c r="G62" s="14"/>
      <c r="H62" s="12"/>
      <c r="I62" s="14"/>
      <c r="J62" s="14"/>
      <c r="K62" s="14"/>
      <c r="L62" s="45"/>
      <c r="M62" s="43"/>
      <c r="N62" s="43"/>
    </row>
    <row r="63" spans="1:14" x14ac:dyDescent="0.35">
      <c r="A63" s="6"/>
      <c r="B63" s="6"/>
      <c r="C63" s="67"/>
      <c r="D63" s="12"/>
      <c r="E63" s="14"/>
      <c r="F63" s="6"/>
      <c r="G63" s="14"/>
      <c r="H63" s="12"/>
      <c r="I63" s="14"/>
      <c r="J63" s="14"/>
      <c r="K63" s="14"/>
      <c r="L63" s="6"/>
      <c r="M63" s="6"/>
      <c r="N63" s="6"/>
    </row>
    <row r="64" spans="1:14" x14ac:dyDescent="0.35">
      <c r="A64" s="6"/>
      <c r="B64" s="6"/>
      <c r="C64" s="67"/>
      <c r="D64" s="12"/>
      <c r="E64" s="14"/>
      <c r="F64" s="6"/>
      <c r="G64" s="14"/>
      <c r="H64" s="12"/>
      <c r="I64" s="14"/>
      <c r="J64" s="14"/>
      <c r="K64" s="14"/>
      <c r="L64" s="6"/>
      <c r="M64" s="6"/>
      <c r="N64" s="6"/>
    </row>
    <row r="65" spans="1:14" x14ac:dyDescent="0.35">
      <c r="A65" s="7"/>
      <c r="B65" s="7"/>
      <c r="C65" s="68"/>
      <c r="D65" s="12"/>
      <c r="E65" s="14"/>
      <c r="F65" s="7"/>
      <c r="G65" s="14"/>
      <c r="H65" s="12"/>
      <c r="I65" s="14"/>
      <c r="J65" s="14"/>
      <c r="K65" s="14"/>
      <c r="L65" s="7"/>
      <c r="M65" s="7"/>
      <c r="N65" s="7"/>
    </row>
    <row r="66" spans="1:14" x14ac:dyDescent="0.35">
      <c r="G66" s="46"/>
      <c r="I66" s="46"/>
    </row>
    <row r="67" spans="1:14" ht="29" x14ac:dyDescent="0.35">
      <c r="G67" s="3" t="s">
        <v>104</v>
      </c>
      <c r="I67" s="3" t="s">
        <v>105</v>
      </c>
    </row>
    <row r="70" spans="1:14" x14ac:dyDescent="0.35">
      <c r="A70" s="32" t="s">
        <v>35</v>
      </c>
      <c r="B70" s="32">
        <v>5</v>
      </c>
      <c r="C70" s="71" t="s">
        <v>36</v>
      </c>
      <c r="D70" s="12"/>
      <c r="E70" s="14"/>
      <c r="F70" s="45"/>
      <c r="G70" s="14"/>
      <c r="H70" s="12"/>
      <c r="I70" s="14"/>
      <c r="J70" s="14"/>
      <c r="K70" s="14"/>
      <c r="L70" s="45"/>
      <c r="M70" s="43"/>
      <c r="N70" s="43"/>
    </row>
    <row r="71" spans="1:14" x14ac:dyDescent="0.35">
      <c r="A71" s="6"/>
      <c r="B71" s="6"/>
      <c r="C71" s="67"/>
      <c r="D71" s="12"/>
      <c r="E71" s="14"/>
      <c r="F71" s="6"/>
      <c r="G71" s="14"/>
      <c r="H71" s="12"/>
      <c r="I71" s="14"/>
      <c r="J71" s="14"/>
      <c r="K71" s="14"/>
      <c r="L71" s="6"/>
      <c r="M71" s="6"/>
      <c r="N71" s="6"/>
    </row>
    <row r="72" spans="1:14" x14ac:dyDescent="0.35">
      <c r="A72" s="6"/>
      <c r="B72" s="6"/>
      <c r="C72" s="67"/>
      <c r="D72" s="12"/>
      <c r="E72" s="14"/>
      <c r="F72" s="6"/>
      <c r="G72" s="14"/>
      <c r="H72" s="12"/>
      <c r="I72" s="14"/>
      <c r="J72" s="14"/>
      <c r="K72" s="14"/>
      <c r="L72" s="6"/>
      <c r="M72" s="6"/>
      <c r="N72" s="6"/>
    </row>
    <row r="73" spans="1:14" x14ac:dyDescent="0.35">
      <c r="A73" s="7"/>
      <c r="B73" s="7"/>
      <c r="C73" s="68"/>
      <c r="D73" s="12"/>
      <c r="E73" s="14"/>
      <c r="F73" s="7"/>
      <c r="G73" s="14"/>
      <c r="H73" s="12"/>
      <c r="I73" s="14"/>
      <c r="J73" s="14"/>
      <c r="K73" s="14"/>
      <c r="L73" s="7"/>
      <c r="M73" s="7"/>
      <c r="N73" s="7"/>
    </row>
    <row r="74" spans="1:14" x14ac:dyDescent="0.35">
      <c r="G74" s="46"/>
      <c r="I74" s="46"/>
    </row>
    <row r="75" spans="1:14" ht="29" x14ac:dyDescent="0.35">
      <c r="G75" s="3" t="s">
        <v>104</v>
      </c>
      <c r="I75" s="3" t="s">
        <v>105</v>
      </c>
    </row>
    <row r="78" spans="1:14" x14ac:dyDescent="0.35">
      <c r="A78" s="32" t="s">
        <v>35</v>
      </c>
      <c r="B78" s="32">
        <v>5</v>
      </c>
      <c r="C78" s="71" t="s">
        <v>36</v>
      </c>
      <c r="D78" s="12"/>
      <c r="E78" s="14"/>
      <c r="F78" s="45"/>
      <c r="G78" s="14"/>
      <c r="H78" s="12"/>
      <c r="I78" s="14"/>
      <c r="J78" s="14"/>
      <c r="K78" s="14"/>
      <c r="L78" s="45"/>
      <c r="M78" s="43"/>
      <c r="N78" s="43"/>
    </row>
    <row r="79" spans="1:14" x14ac:dyDescent="0.35">
      <c r="A79" s="6"/>
      <c r="B79" s="6"/>
      <c r="C79" s="67"/>
      <c r="D79" s="12"/>
      <c r="E79" s="14"/>
      <c r="F79" s="6"/>
      <c r="G79" s="14"/>
      <c r="H79" s="12"/>
      <c r="I79" s="14"/>
      <c r="J79" s="14"/>
      <c r="K79" s="14"/>
      <c r="L79" s="6"/>
      <c r="M79" s="6"/>
      <c r="N79" s="6"/>
    </row>
    <row r="80" spans="1:14" x14ac:dyDescent="0.35">
      <c r="A80" s="6"/>
      <c r="B80" s="6"/>
      <c r="C80" s="67"/>
      <c r="D80" s="12"/>
      <c r="E80" s="14"/>
      <c r="F80" s="6"/>
      <c r="G80" s="14"/>
      <c r="H80" s="12"/>
      <c r="I80" s="14"/>
      <c r="J80" s="14"/>
      <c r="K80" s="14"/>
      <c r="L80" s="6"/>
      <c r="M80" s="6"/>
      <c r="N80" s="6"/>
    </row>
    <row r="81" spans="1:14" x14ac:dyDescent="0.35">
      <c r="A81" s="7"/>
      <c r="B81" s="7"/>
      <c r="C81" s="68"/>
      <c r="D81" s="12"/>
      <c r="E81" s="14"/>
      <c r="F81" s="7"/>
      <c r="G81" s="14"/>
      <c r="H81" s="12"/>
      <c r="I81" s="14"/>
      <c r="J81" s="14"/>
      <c r="K81" s="14"/>
      <c r="L81" s="7"/>
      <c r="M81" s="7"/>
      <c r="N81" s="7"/>
    </row>
    <row r="82" spans="1:14" x14ac:dyDescent="0.35">
      <c r="G82" s="46"/>
      <c r="I82" s="46"/>
    </row>
    <row r="83" spans="1:14" ht="29" x14ac:dyDescent="0.35">
      <c r="G83" s="3" t="s">
        <v>104</v>
      </c>
      <c r="I83" s="3" t="s">
        <v>105</v>
      </c>
    </row>
    <row r="86" spans="1:14" x14ac:dyDescent="0.35">
      <c r="A86" s="32" t="s">
        <v>35</v>
      </c>
      <c r="B86" s="32">
        <v>5</v>
      </c>
      <c r="C86" s="71" t="s">
        <v>36</v>
      </c>
      <c r="D86" s="12"/>
      <c r="E86" s="14"/>
      <c r="F86" s="45"/>
      <c r="G86" s="14"/>
      <c r="H86" s="12"/>
      <c r="I86" s="14"/>
      <c r="J86" s="14"/>
      <c r="K86" s="14"/>
      <c r="L86" s="45"/>
      <c r="M86" s="43"/>
      <c r="N86" s="43"/>
    </row>
    <row r="87" spans="1:14" x14ac:dyDescent="0.35">
      <c r="A87" s="6"/>
      <c r="B87" s="6"/>
      <c r="C87" s="67"/>
      <c r="D87" s="12"/>
      <c r="E87" s="14"/>
      <c r="F87" s="6"/>
      <c r="G87" s="14"/>
      <c r="H87" s="12"/>
      <c r="I87" s="14"/>
      <c r="J87" s="14"/>
      <c r="K87" s="14"/>
      <c r="L87" s="6"/>
      <c r="M87" s="6"/>
      <c r="N87" s="6"/>
    </row>
    <row r="88" spans="1:14" x14ac:dyDescent="0.35">
      <c r="A88" s="6"/>
      <c r="B88" s="6"/>
      <c r="C88" s="67"/>
      <c r="D88" s="12"/>
      <c r="E88" s="14"/>
      <c r="F88" s="6"/>
      <c r="G88" s="14"/>
      <c r="H88" s="12"/>
      <c r="I88" s="14"/>
      <c r="J88" s="14"/>
      <c r="K88" s="14"/>
      <c r="L88" s="6"/>
      <c r="M88" s="6"/>
      <c r="N88" s="6"/>
    </row>
    <row r="89" spans="1:14" x14ac:dyDescent="0.35">
      <c r="A89" s="7"/>
      <c r="B89" s="7"/>
      <c r="C89" s="68"/>
      <c r="D89" s="12"/>
      <c r="E89" s="14"/>
      <c r="F89" s="7"/>
      <c r="G89" s="14"/>
      <c r="H89" s="12"/>
      <c r="I89" s="14"/>
      <c r="J89" s="14"/>
      <c r="K89" s="14"/>
      <c r="L89" s="7"/>
      <c r="M89" s="7"/>
      <c r="N89" s="7"/>
    </row>
    <row r="90" spans="1:14" x14ac:dyDescent="0.35">
      <c r="G90" s="46"/>
      <c r="I90" s="46"/>
    </row>
    <row r="91" spans="1:14" ht="29" x14ac:dyDescent="0.35">
      <c r="G91" s="3" t="s">
        <v>104</v>
      </c>
      <c r="I91" s="3" t="s">
        <v>105</v>
      </c>
    </row>
    <row r="94" spans="1:14" x14ac:dyDescent="0.35">
      <c r="A94" s="32" t="s">
        <v>35</v>
      </c>
      <c r="B94" s="32">
        <v>5</v>
      </c>
      <c r="C94" s="71" t="s">
        <v>36</v>
      </c>
      <c r="D94" s="12"/>
      <c r="E94" s="14"/>
      <c r="F94" s="45"/>
      <c r="G94" s="14"/>
      <c r="H94" s="12"/>
      <c r="I94" s="14"/>
      <c r="J94" s="14"/>
      <c r="K94" s="14"/>
      <c r="L94" s="45"/>
      <c r="M94" s="43"/>
      <c r="N94" s="43"/>
    </row>
    <row r="95" spans="1:14" x14ac:dyDescent="0.35">
      <c r="A95" s="6"/>
      <c r="B95" s="6"/>
      <c r="C95" s="67"/>
      <c r="D95" s="12"/>
      <c r="E95" s="14"/>
      <c r="F95" s="6"/>
      <c r="G95" s="14"/>
      <c r="H95" s="12"/>
      <c r="I95" s="14"/>
      <c r="J95" s="14"/>
      <c r="K95" s="14"/>
      <c r="L95" s="6"/>
      <c r="M95" s="6"/>
      <c r="N95" s="6"/>
    </row>
    <row r="96" spans="1:14" x14ac:dyDescent="0.35">
      <c r="A96" s="6"/>
      <c r="B96" s="6"/>
      <c r="C96" s="67"/>
      <c r="D96" s="12"/>
      <c r="E96" s="14"/>
      <c r="F96" s="6"/>
      <c r="G96" s="14"/>
      <c r="H96" s="12"/>
      <c r="I96" s="14"/>
      <c r="J96" s="14"/>
      <c r="K96" s="14"/>
      <c r="L96" s="6"/>
      <c r="M96" s="6"/>
      <c r="N96" s="6"/>
    </row>
    <row r="97" spans="1:14" x14ac:dyDescent="0.35">
      <c r="A97" s="7"/>
      <c r="B97" s="7"/>
      <c r="C97" s="68"/>
      <c r="D97" s="12"/>
      <c r="E97" s="14"/>
      <c r="F97" s="7"/>
      <c r="G97" s="14"/>
      <c r="H97" s="12"/>
      <c r="I97" s="14"/>
      <c r="J97" s="14"/>
      <c r="K97" s="14"/>
      <c r="L97" s="7"/>
      <c r="M97" s="7"/>
      <c r="N97" s="7"/>
    </row>
    <row r="98" spans="1:14" x14ac:dyDescent="0.35">
      <c r="G98" s="46"/>
      <c r="I98" s="46"/>
    </row>
    <row r="99" spans="1:14" ht="29" x14ac:dyDescent="0.35">
      <c r="G99" s="3" t="s">
        <v>104</v>
      </c>
      <c r="I99" s="3" t="s">
        <v>105</v>
      </c>
    </row>
    <row r="102" spans="1:14" x14ac:dyDescent="0.35">
      <c r="A102" s="32" t="s">
        <v>35</v>
      </c>
      <c r="B102" s="32">
        <v>5</v>
      </c>
      <c r="C102" s="71" t="s">
        <v>36</v>
      </c>
      <c r="D102" s="12"/>
      <c r="E102" s="14"/>
      <c r="F102" s="45"/>
      <c r="G102" s="14"/>
      <c r="H102" s="12"/>
      <c r="I102" s="14"/>
      <c r="J102" s="14"/>
      <c r="K102" s="14"/>
      <c r="L102" s="45"/>
      <c r="M102" s="43"/>
      <c r="N102" s="43"/>
    </row>
    <row r="103" spans="1:14" x14ac:dyDescent="0.35">
      <c r="A103" s="6"/>
      <c r="B103" s="6"/>
      <c r="C103" s="67"/>
      <c r="D103" s="12"/>
      <c r="E103" s="14"/>
      <c r="F103" s="6"/>
      <c r="G103" s="14"/>
      <c r="H103" s="12"/>
      <c r="I103" s="14"/>
      <c r="J103" s="14"/>
      <c r="K103" s="14"/>
      <c r="L103" s="6"/>
      <c r="M103" s="6"/>
      <c r="N103" s="6"/>
    </row>
    <row r="104" spans="1:14" x14ac:dyDescent="0.35">
      <c r="A104" s="6"/>
      <c r="B104" s="6"/>
      <c r="C104" s="67"/>
      <c r="D104" s="12"/>
      <c r="E104" s="14"/>
      <c r="F104" s="6"/>
      <c r="G104" s="14"/>
      <c r="H104" s="12"/>
      <c r="I104" s="14"/>
      <c r="J104" s="14"/>
      <c r="K104" s="14"/>
      <c r="L104" s="6"/>
      <c r="M104" s="6"/>
      <c r="N104" s="6"/>
    </row>
    <row r="105" spans="1:14" x14ac:dyDescent="0.35">
      <c r="A105" s="7"/>
      <c r="B105" s="7"/>
      <c r="C105" s="68"/>
      <c r="D105" s="12"/>
      <c r="E105" s="14"/>
      <c r="F105" s="7"/>
      <c r="G105" s="14"/>
      <c r="H105" s="12"/>
      <c r="I105" s="14"/>
      <c r="J105" s="14"/>
      <c r="K105" s="14"/>
      <c r="L105" s="7"/>
      <c r="M105" s="7"/>
      <c r="N105" s="7"/>
    </row>
    <row r="106" spans="1:14" x14ac:dyDescent="0.35">
      <c r="G106" s="46"/>
      <c r="I106" s="46"/>
    </row>
    <row r="107" spans="1:14" ht="29" x14ac:dyDescent="0.35">
      <c r="G107" s="3" t="s">
        <v>104</v>
      </c>
      <c r="I107" s="3" t="s">
        <v>105</v>
      </c>
    </row>
    <row r="110" spans="1:14" x14ac:dyDescent="0.35">
      <c r="A110" s="32" t="s">
        <v>35</v>
      </c>
      <c r="B110" s="32">
        <v>5</v>
      </c>
      <c r="C110" s="71" t="s">
        <v>36</v>
      </c>
      <c r="D110" s="12"/>
      <c r="E110" s="14"/>
      <c r="F110" s="45"/>
      <c r="G110" s="14"/>
      <c r="H110" s="12"/>
      <c r="I110" s="14"/>
      <c r="J110" s="14"/>
      <c r="K110" s="14"/>
      <c r="L110" s="45"/>
      <c r="M110" s="43"/>
      <c r="N110" s="43"/>
    </row>
    <row r="111" spans="1:14" x14ac:dyDescent="0.35">
      <c r="A111" s="6"/>
      <c r="B111" s="6"/>
      <c r="C111" s="67"/>
      <c r="D111" s="12"/>
      <c r="E111" s="14"/>
      <c r="F111" s="6"/>
      <c r="G111" s="14"/>
      <c r="H111" s="12"/>
      <c r="I111" s="14"/>
      <c r="J111" s="14"/>
      <c r="K111" s="14"/>
      <c r="L111" s="6"/>
      <c r="M111" s="6"/>
      <c r="N111" s="6"/>
    </row>
    <row r="112" spans="1:14" x14ac:dyDescent="0.35">
      <c r="A112" s="6"/>
      <c r="B112" s="6"/>
      <c r="C112" s="67"/>
      <c r="D112" s="12"/>
      <c r="E112" s="14"/>
      <c r="F112" s="6"/>
      <c r="G112" s="14"/>
      <c r="H112" s="12"/>
      <c r="I112" s="14"/>
      <c r="J112" s="14"/>
      <c r="K112" s="14"/>
      <c r="L112" s="6"/>
      <c r="M112" s="6"/>
      <c r="N112" s="6"/>
    </row>
    <row r="113" spans="1:14" x14ac:dyDescent="0.35">
      <c r="A113" s="7"/>
      <c r="B113" s="7"/>
      <c r="C113" s="68"/>
      <c r="D113" s="12"/>
      <c r="E113" s="14"/>
      <c r="F113" s="7"/>
      <c r="G113" s="14"/>
      <c r="H113" s="12"/>
      <c r="I113" s="14"/>
      <c r="J113" s="14"/>
      <c r="K113" s="14"/>
      <c r="L113" s="7"/>
      <c r="M113" s="7"/>
      <c r="N113" s="7"/>
    </row>
    <row r="114" spans="1:14" x14ac:dyDescent="0.35">
      <c r="G114" s="46"/>
      <c r="I114" s="46"/>
    </row>
    <row r="115" spans="1:14" ht="29" x14ac:dyDescent="0.35">
      <c r="G115" s="3" t="s">
        <v>104</v>
      </c>
      <c r="I115" s="3" t="s">
        <v>105</v>
      </c>
    </row>
    <row r="118" spans="1:14" x14ac:dyDescent="0.35">
      <c r="A118" s="32" t="s">
        <v>35</v>
      </c>
      <c r="B118" s="32">
        <v>5</v>
      </c>
      <c r="C118" s="71" t="s">
        <v>36</v>
      </c>
      <c r="D118" s="12"/>
      <c r="E118" s="14"/>
      <c r="F118" s="45"/>
      <c r="G118" s="14"/>
      <c r="H118" s="12"/>
      <c r="I118" s="14"/>
      <c r="J118" s="14"/>
      <c r="K118" s="14"/>
      <c r="L118" s="45"/>
      <c r="M118" s="43"/>
      <c r="N118" s="43"/>
    </row>
    <row r="119" spans="1:14" x14ac:dyDescent="0.35">
      <c r="A119" s="6"/>
      <c r="B119" s="6"/>
      <c r="C119" s="67"/>
      <c r="D119" s="12"/>
      <c r="E119" s="14"/>
      <c r="F119" s="6"/>
      <c r="G119" s="14"/>
      <c r="H119" s="12"/>
      <c r="I119" s="14"/>
      <c r="J119" s="14"/>
      <c r="K119" s="14"/>
      <c r="L119" s="6"/>
      <c r="M119" s="6"/>
      <c r="N119" s="6"/>
    </row>
    <row r="120" spans="1:14" x14ac:dyDescent="0.35">
      <c r="A120" s="6"/>
      <c r="B120" s="6"/>
      <c r="C120" s="67"/>
      <c r="D120" s="12"/>
      <c r="E120" s="14"/>
      <c r="F120" s="6"/>
      <c r="G120" s="14"/>
      <c r="H120" s="12"/>
      <c r="I120" s="14"/>
      <c r="J120" s="14"/>
      <c r="K120" s="14"/>
      <c r="L120" s="6"/>
      <c r="M120" s="6"/>
      <c r="N120" s="6"/>
    </row>
    <row r="121" spans="1:14" x14ac:dyDescent="0.35">
      <c r="A121" s="7"/>
      <c r="B121" s="7"/>
      <c r="C121" s="68"/>
      <c r="D121" s="12"/>
      <c r="E121" s="14"/>
      <c r="F121" s="7"/>
      <c r="G121" s="14"/>
      <c r="H121" s="12"/>
      <c r="I121" s="14"/>
      <c r="J121" s="14"/>
      <c r="K121" s="14"/>
      <c r="L121" s="7"/>
      <c r="M121" s="7"/>
      <c r="N121" s="7"/>
    </row>
    <row r="122" spans="1:14" x14ac:dyDescent="0.35">
      <c r="F122" s="47"/>
      <c r="G122" s="46"/>
      <c r="I122" s="46"/>
      <c r="L122" s="46"/>
    </row>
    <row r="123" spans="1:14" ht="43.5" x14ac:dyDescent="0.35">
      <c r="F123" s="3" t="s">
        <v>106</v>
      </c>
      <c r="G123" s="3" t="s">
        <v>104</v>
      </c>
      <c r="I123" s="3" t="s">
        <v>105</v>
      </c>
      <c r="L123" s="3" t="s">
        <v>107</v>
      </c>
    </row>
    <row r="125" spans="1:14" x14ac:dyDescent="0.35">
      <c r="G125" s="46"/>
      <c r="I125" s="48"/>
    </row>
    <row r="126" spans="1:14" ht="43.5" x14ac:dyDescent="0.35">
      <c r="G126" s="3" t="s">
        <v>108</v>
      </c>
      <c r="I126" s="3" t="s">
        <v>109</v>
      </c>
    </row>
  </sheetData>
  <mergeCells count="16">
    <mergeCell ref="A2:N2"/>
    <mergeCell ref="C62:C65"/>
    <mergeCell ref="C86:C89"/>
    <mergeCell ref="C110:C113"/>
    <mergeCell ref="C30:C33"/>
    <mergeCell ref="C6:C9"/>
    <mergeCell ref="C38:C41"/>
    <mergeCell ref="C54:C57"/>
    <mergeCell ref="C14:C17"/>
    <mergeCell ref="C22:C25"/>
    <mergeCell ref="C70:C73"/>
    <mergeCell ref="C102:C105"/>
    <mergeCell ref="C118:C121"/>
    <mergeCell ref="C78:C81"/>
    <mergeCell ref="C94:C97"/>
    <mergeCell ref="C46:C4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P8"/>
  <sheetViews>
    <sheetView workbookViewId="0"/>
  </sheetViews>
  <sheetFormatPr defaultRowHeight="14.5" x14ac:dyDescent="0.35"/>
  <cols>
    <col min="1" max="15" width="14" customWidth="1"/>
    <col min="16" max="16" width="17" customWidth="1"/>
  </cols>
  <sheetData>
    <row r="2" spans="1:16" x14ac:dyDescent="0.35">
      <c r="A2" s="70" t="s">
        <v>110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</row>
    <row r="5" spans="1:16" ht="58" x14ac:dyDescent="0.35">
      <c r="A5" s="1" t="s">
        <v>1</v>
      </c>
      <c r="B5" s="1" t="s">
        <v>2</v>
      </c>
      <c r="C5" s="1" t="s">
        <v>3</v>
      </c>
      <c r="D5" s="1" t="s">
        <v>111</v>
      </c>
      <c r="E5" s="1" t="s">
        <v>112</v>
      </c>
      <c r="F5" s="1" t="s">
        <v>113</v>
      </c>
      <c r="G5" s="1" t="s">
        <v>114</v>
      </c>
      <c r="H5" s="1" t="s">
        <v>115</v>
      </c>
      <c r="I5" s="1" t="s">
        <v>116</v>
      </c>
      <c r="J5" s="1" t="s">
        <v>117</v>
      </c>
      <c r="K5" s="1" t="s">
        <v>118</v>
      </c>
      <c r="L5" s="1" t="s">
        <v>119</v>
      </c>
      <c r="M5" s="1" t="s">
        <v>120</v>
      </c>
      <c r="N5" s="1" t="s">
        <v>103</v>
      </c>
      <c r="O5" s="1" t="s">
        <v>121</v>
      </c>
      <c r="P5" s="1" t="s">
        <v>50</v>
      </c>
    </row>
    <row r="6" spans="1:16" ht="25" customHeight="1" x14ac:dyDescent="0.35">
      <c r="A6" s="49" t="s">
        <v>35</v>
      </c>
      <c r="B6" s="49">
        <v>5</v>
      </c>
      <c r="C6" s="71" t="s">
        <v>36</v>
      </c>
      <c r="D6" s="50"/>
      <c r="E6" s="50"/>
      <c r="F6" s="50"/>
      <c r="G6" s="50"/>
      <c r="H6" s="51"/>
      <c r="I6" s="50"/>
      <c r="J6" s="50"/>
      <c r="K6" s="51"/>
      <c r="L6" s="51"/>
      <c r="M6" s="72"/>
      <c r="N6" s="52"/>
      <c r="O6" s="53">
        <v>3</v>
      </c>
      <c r="P6" s="54" t="s">
        <v>122</v>
      </c>
    </row>
    <row r="7" spans="1:16" ht="25" customHeight="1" x14ac:dyDescent="0.35">
      <c r="A7" s="8"/>
      <c r="B7" s="8"/>
      <c r="C7" s="67"/>
      <c r="D7" s="50"/>
      <c r="E7" s="50"/>
      <c r="F7" s="50"/>
      <c r="G7" s="50"/>
      <c r="H7" s="51"/>
      <c r="I7" s="50"/>
      <c r="J7" s="50"/>
      <c r="K7" s="51"/>
      <c r="L7" s="51"/>
      <c r="M7" s="73"/>
      <c r="N7" s="55"/>
      <c r="O7" s="21"/>
      <c r="P7" s="54" t="s">
        <v>123</v>
      </c>
    </row>
    <row r="8" spans="1:16" ht="25" customHeight="1" x14ac:dyDescent="0.35">
      <c r="A8" s="9"/>
      <c r="B8" s="9"/>
      <c r="C8" s="68"/>
      <c r="D8" s="50"/>
      <c r="E8" s="50"/>
      <c r="F8" s="50"/>
      <c r="G8" s="50"/>
      <c r="H8" s="51"/>
      <c r="I8" s="50"/>
      <c r="J8" s="50"/>
      <c r="K8" s="51"/>
      <c r="L8" s="51"/>
      <c r="M8" s="74"/>
      <c r="N8" s="56"/>
      <c r="O8" s="21"/>
      <c r="P8" s="54" t="s">
        <v>124</v>
      </c>
    </row>
  </sheetData>
  <mergeCells count="3">
    <mergeCell ref="C6:C8"/>
    <mergeCell ref="M6:M8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16"/>
  <sheetViews>
    <sheetView workbookViewId="0"/>
  </sheetViews>
  <sheetFormatPr defaultRowHeight="14.5" x14ac:dyDescent="0.35"/>
  <cols>
    <col min="1" max="14" width="16" customWidth="1"/>
    <col min="15" max="15" width="38" customWidth="1"/>
  </cols>
  <sheetData>
    <row r="2" spans="1:15" x14ac:dyDescent="0.35">
      <c r="A2" s="70" t="s">
        <v>125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</row>
    <row r="4" spans="1:15" ht="60" customHeight="1" x14ac:dyDescent="0.35">
      <c r="A4" s="75" t="s">
        <v>2</v>
      </c>
      <c r="B4" s="75" t="s">
        <v>3</v>
      </c>
      <c r="C4" s="75" t="s">
        <v>126</v>
      </c>
      <c r="D4" s="75" t="s">
        <v>127</v>
      </c>
      <c r="E4" s="75" t="s">
        <v>128</v>
      </c>
      <c r="F4" s="64"/>
      <c r="G4" s="65"/>
      <c r="H4" s="75" t="s">
        <v>129</v>
      </c>
      <c r="I4" s="75" t="s">
        <v>130</v>
      </c>
      <c r="J4" s="75" t="s">
        <v>131</v>
      </c>
      <c r="K4" s="64"/>
      <c r="L4" s="65"/>
      <c r="M4" s="75" t="s">
        <v>132</v>
      </c>
      <c r="N4" s="75" t="s">
        <v>129</v>
      </c>
      <c r="O4" s="75" t="s">
        <v>50</v>
      </c>
    </row>
    <row r="5" spans="1:15" x14ac:dyDescent="0.35">
      <c r="A5" s="68"/>
      <c r="B5" s="68"/>
      <c r="C5" s="68"/>
      <c r="D5" s="68"/>
      <c r="E5" s="3" t="s">
        <v>133</v>
      </c>
      <c r="F5" s="3" t="s">
        <v>134</v>
      </c>
      <c r="G5" s="3" t="s">
        <v>135</v>
      </c>
      <c r="H5" s="68"/>
      <c r="I5" s="68"/>
      <c r="J5" s="3" t="s">
        <v>133</v>
      </c>
      <c r="K5" s="3" t="s">
        <v>134</v>
      </c>
      <c r="L5" s="3" t="s">
        <v>135</v>
      </c>
      <c r="M5" s="68"/>
      <c r="N5" s="68"/>
      <c r="O5" s="68"/>
    </row>
    <row r="6" spans="1:15" x14ac:dyDescent="0.35">
      <c r="A6" s="32">
        <v>5</v>
      </c>
      <c r="B6" s="76" t="s">
        <v>36</v>
      </c>
      <c r="C6" s="20">
        <v>1</v>
      </c>
      <c r="D6" s="43"/>
      <c r="E6" s="15"/>
      <c r="F6" s="15"/>
      <c r="G6" s="15"/>
      <c r="H6" s="43"/>
      <c r="I6" s="36"/>
      <c r="J6" s="15"/>
      <c r="K6" s="15"/>
      <c r="L6" s="15"/>
      <c r="M6" s="14"/>
      <c r="N6" s="36"/>
      <c r="O6" s="57" t="s">
        <v>136</v>
      </c>
    </row>
    <row r="7" spans="1:15" x14ac:dyDescent="0.35">
      <c r="A7" s="8"/>
      <c r="B7" s="77"/>
      <c r="C7" s="20">
        <v>2</v>
      </c>
      <c r="D7" s="6"/>
      <c r="E7" s="15"/>
      <c r="F7" s="15"/>
      <c r="G7" s="15"/>
      <c r="H7" s="6"/>
      <c r="I7" s="6"/>
      <c r="J7" s="15"/>
      <c r="K7" s="15"/>
      <c r="L7" s="15"/>
      <c r="M7" s="14"/>
      <c r="N7" s="6"/>
      <c r="O7" s="4"/>
    </row>
    <row r="8" spans="1:15" x14ac:dyDescent="0.35">
      <c r="A8" s="8"/>
      <c r="B8" s="77"/>
      <c r="C8" s="20">
        <v>3</v>
      </c>
      <c r="D8" s="6"/>
      <c r="E8" s="15"/>
      <c r="F8" s="15"/>
      <c r="G8" s="15"/>
      <c r="H8" s="6"/>
      <c r="I8" s="6"/>
      <c r="J8" s="15"/>
      <c r="K8" s="15"/>
      <c r="L8" s="15"/>
      <c r="M8" s="14"/>
      <c r="N8" s="6"/>
      <c r="O8" s="4"/>
    </row>
    <row r="9" spans="1:15" x14ac:dyDescent="0.35">
      <c r="A9" s="8"/>
      <c r="B9" s="77"/>
      <c r="C9" s="20" t="s">
        <v>134</v>
      </c>
      <c r="D9" s="6"/>
      <c r="E9" s="15"/>
      <c r="F9" s="15"/>
      <c r="G9" s="15"/>
      <c r="H9" s="6"/>
      <c r="I9" s="6"/>
      <c r="J9" s="15"/>
      <c r="K9" s="15"/>
      <c r="L9" s="15"/>
      <c r="M9" s="14"/>
      <c r="N9" s="6"/>
      <c r="O9" s="58" t="s">
        <v>137</v>
      </c>
    </row>
    <row r="10" spans="1:15" x14ac:dyDescent="0.35">
      <c r="A10" s="8"/>
      <c r="B10" s="77"/>
      <c r="C10" s="4"/>
      <c r="D10" s="6"/>
      <c r="E10" s="4"/>
      <c r="F10" s="4"/>
      <c r="G10" s="4"/>
      <c r="H10" s="6"/>
      <c r="I10" s="6"/>
      <c r="J10" s="4"/>
      <c r="K10" s="4"/>
      <c r="L10" s="4"/>
      <c r="M10" s="4"/>
      <c r="N10" s="6"/>
      <c r="O10" s="4"/>
    </row>
    <row r="11" spans="1:15" x14ac:dyDescent="0.35">
      <c r="A11" s="8"/>
      <c r="B11" s="77"/>
      <c r="C11" s="20" t="s">
        <v>138</v>
      </c>
      <c r="D11" s="6"/>
      <c r="E11" s="15"/>
      <c r="F11" s="15"/>
      <c r="G11" s="15"/>
      <c r="H11" s="6"/>
      <c r="I11" s="6"/>
      <c r="J11" s="15"/>
      <c r="K11" s="15"/>
      <c r="L11" s="15"/>
      <c r="M11" s="14"/>
      <c r="N11" s="6"/>
      <c r="O11" s="58" t="s">
        <v>139</v>
      </c>
    </row>
    <row r="12" spans="1:15" ht="29" x14ac:dyDescent="0.35">
      <c r="A12" s="8"/>
      <c r="B12" s="77"/>
      <c r="C12" s="20" t="s">
        <v>140</v>
      </c>
      <c r="D12" s="6"/>
      <c r="E12" s="15"/>
      <c r="F12" s="15"/>
      <c r="G12" s="15"/>
      <c r="H12" s="6"/>
      <c r="I12" s="6"/>
      <c r="J12" s="15"/>
      <c r="K12" s="15"/>
      <c r="L12" s="15"/>
      <c r="M12" s="14"/>
      <c r="N12" s="6"/>
      <c r="O12" s="58" t="s">
        <v>141</v>
      </c>
    </row>
    <row r="13" spans="1:15" x14ac:dyDescent="0.35">
      <c r="A13" s="8"/>
      <c r="B13" s="77"/>
      <c r="C13" s="20" t="s">
        <v>142</v>
      </c>
      <c r="D13" s="6"/>
      <c r="E13" s="15"/>
      <c r="F13" s="15"/>
      <c r="G13" s="15"/>
      <c r="H13" s="6"/>
      <c r="I13" s="6"/>
      <c r="J13" s="15"/>
      <c r="K13" s="15"/>
      <c r="L13" s="15"/>
      <c r="M13" s="14"/>
      <c r="N13" s="6"/>
      <c r="O13" s="58" t="s">
        <v>143</v>
      </c>
    </row>
    <row r="14" spans="1:15" x14ac:dyDescent="0.35">
      <c r="A14" s="8"/>
      <c r="B14" s="77"/>
      <c r="C14" s="20" t="s">
        <v>144</v>
      </c>
      <c r="D14" s="6"/>
      <c r="E14" s="15"/>
      <c r="F14" s="15"/>
      <c r="G14" s="15"/>
      <c r="H14" s="6"/>
      <c r="I14" s="6"/>
      <c r="J14" s="15"/>
      <c r="K14" s="15"/>
      <c r="L14" s="15"/>
      <c r="M14" s="14"/>
      <c r="N14" s="6"/>
      <c r="O14" s="58" t="s">
        <v>145</v>
      </c>
    </row>
    <row r="15" spans="1:15" x14ac:dyDescent="0.35">
      <c r="A15" s="8"/>
      <c r="B15" s="77"/>
      <c r="C15" s="20" t="s">
        <v>146</v>
      </c>
      <c r="D15" s="6"/>
      <c r="E15" s="15"/>
      <c r="F15" s="15"/>
      <c r="G15" s="15"/>
      <c r="H15" s="6"/>
      <c r="I15" s="6"/>
      <c r="J15" s="15"/>
      <c r="K15" s="15"/>
      <c r="L15" s="15"/>
      <c r="M15" s="14"/>
      <c r="N15" s="6"/>
      <c r="O15" s="58" t="s">
        <v>147</v>
      </c>
    </row>
    <row r="16" spans="1:15" ht="29" x14ac:dyDescent="0.35">
      <c r="A16" s="9"/>
      <c r="B16" s="78"/>
      <c r="C16" s="4"/>
      <c r="D16" s="7"/>
      <c r="E16" s="4"/>
      <c r="F16" s="4"/>
      <c r="G16" s="4"/>
      <c r="H16" s="7"/>
      <c r="I16" s="7"/>
      <c r="J16" s="4"/>
      <c r="K16" s="4"/>
      <c r="L16" s="4"/>
      <c r="M16" s="14"/>
      <c r="N16" s="7"/>
      <c r="O16" s="58" t="s">
        <v>148</v>
      </c>
    </row>
  </sheetData>
  <mergeCells count="13">
    <mergeCell ref="B6:B16"/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E4:G4"/>
    <mergeCell ref="J4:L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D5"/>
  <sheetViews>
    <sheetView workbookViewId="0"/>
  </sheetViews>
  <sheetFormatPr defaultRowHeight="14.5" x14ac:dyDescent="0.35"/>
  <cols>
    <col min="1" max="4" width="18" customWidth="1"/>
  </cols>
  <sheetData>
    <row r="3" spans="1:4" ht="45" customHeight="1" x14ac:dyDescent="0.35">
      <c r="A3" s="70" t="s">
        <v>149</v>
      </c>
      <c r="B3" s="62"/>
      <c r="C3" s="62"/>
      <c r="D3" s="62"/>
    </row>
    <row r="5" spans="1:4" ht="72.5" x14ac:dyDescent="0.35">
      <c r="A5" s="1" t="s">
        <v>150</v>
      </c>
      <c r="B5" s="1" t="s">
        <v>151</v>
      </c>
      <c r="C5" s="1" t="s">
        <v>152</v>
      </c>
      <c r="D5" s="1" t="s">
        <v>153</v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Darbalapiai</vt:lpstr>
      </vt:variant>
      <vt:variant>
        <vt:i4>7</vt:i4>
      </vt:variant>
    </vt:vector>
  </HeadingPairs>
  <TitlesOfParts>
    <vt:vector size="7" baseType="lpstr">
      <vt:lpstr>Greitis</vt:lpstr>
      <vt:lpstr>H2O</vt:lpstr>
      <vt:lpstr>Paėmimas</vt:lpstr>
      <vt:lpstr>Aerodinamika</vt:lpstr>
      <vt:lpstr>Koncentracija</vt:lpstr>
      <vt:lpstr>Svėrimas</vt:lpstr>
      <vt:lpstr>Koncentracijos ribinės vertės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Tomas Vilkickas</cp:lastModifiedBy>
  <dcterms:created xsi:type="dcterms:W3CDTF">2026-03-25T12:37:01Z</dcterms:created>
  <dcterms:modified xsi:type="dcterms:W3CDTF">2026-03-25T12:54:14Z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0x010100BAB57CF81AE55C4698AAD22D302297F0</vt:lpwstr>
  </property>
</Properties>
</file>