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/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H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2">
      <c r="A2" s="2" t="inlineStr">
        <is>
          <t>Debitas pagal matuotą diferencinį slėgį</t>
        </is>
      </c>
    </row>
    <row r="4" ht="130" customHeight="1">
      <c r="A4" s="3" t="inlineStr">
        <is>
          <t>Matavimo data</t>
        </is>
      </c>
      <c r="B4" s="3" t="inlineStr">
        <is>
          <t>Ėminių registracijos Nr. T-107-2026-E-</t>
        </is>
      </c>
      <c r="C4" s="3" t="inlineStr">
        <is>
          <t>Objekto pavadinimas, adresas, taršos šaltinio Nr.</t>
        </is>
      </c>
      <c r="D4" s="3" t="inlineStr">
        <is>
          <t>Matavimo taškai ortakyje nuo vidinės sienelės, cm</t>
        </is>
      </c>
      <c r="E4" s="3" t="inlineStr">
        <is>
          <t>Išmatuotas diferencinis slėgis taškuose 1 linija, Pdi, hPa</t>
        </is>
      </c>
      <c r="F4" s="3" t="inlineStr">
        <is>
          <t>Išmatuotas diferencinis slėgis taškuose 2 linija, Pdi, hPa</t>
        </is>
      </c>
      <c r="G4" s="3" t="inlineStr">
        <is>
          <t>Išmatuotas diferencinis slėgis taškuose 3 linija, Pdi, hPa</t>
        </is>
      </c>
      <c r="H4" s="3" t="inlineStr">
        <is>
          <t>Išmatuotas diferencinis slėgis taškuose 4 linija, Pdi, hPa</t>
        </is>
      </c>
      <c r="I4" s="3" t="inlineStr">
        <is>
          <t>Išmatuotas diferencinis slėgis taškuose 5 linija, Pdi, hPa</t>
        </is>
      </c>
      <c r="J4" s="3" t="inlineStr">
        <is>
          <t>Pito vamzdelio koeficientas, K</t>
        </is>
      </c>
      <c r="K4" s="3" t="inlineStr">
        <is>
          <t>Temperatūra ortakyje t, oC</t>
        </is>
      </c>
      <c r="L4" s="3" t="inlineStr">
        <is>
          <t>Atmosferinis slėgis P, hPa</t>
        </is>
      </c>
      <c r="M4" s="3" t="inlineStr">
        <is>
          <t>Statinis slėgis ortakyje ± ΔP, hPa</t>
        </is>
      </c>
      <c r="N4" s="3" t="inlineStr">
        <is>
          <t>Dujų slėgis kamine Pk= P+ ΔP, hPa</t>
        </is>
      </c>
      <c r="O4" s="3" t="inlineStr">
        <is>
          <t>Dujų mol. masė Ms= qn *22.4, kg/</t>
        </is>
      </c>
      <c r="P4" s="3" t="inlineStr">
        <is>
          <t>Dujų srauto greitis matavimo taškuose, 1 linija, wi = K*129 *√t *√Pdi/ √Pk/√Ms, m/s</t>
        </is>
      </c>
      <c r="Q4" s="3" t="inlineStr">
        <is>
          <t>Dujų srauto greitis matavimo taškuose, 2 linija, wi = K*129 *√t *√Pdi/ √Pk/√Ms, m/s</t>
        </is>
      </c>
      <c r="R4" s="3" t="inlineStr">
        <is>
          <t>Dujų srauto greitis matavimo taškuose, 3 linija, wi = K*129 *√t *√Pdi/ √Pk/√Ms, m/s</t>
        </is>
      </c>
      <c r="S4" s="3" t="inlineStr">
        <is>
          <t>Dujų srauto greitis matavimo taškuose, 4 linija, wi = K*129 *√t *√Pdi/ √Pk/√Ms, m/s</t>
        </is>
      </c>
      <c r="T4" s="3" t="inlineStr">
        <is>
          <t>Dujų srauto greitis matavimo taškuose, 5 linija, wi = K*129 *√t *√Pdi/ √Pk/√Ms, m/s</t>
        </is>
      </c>
      <c r="U4" s="3" t="inlineStr">
        <is>
          <t>Vidutinis dujų srauto greitis ortakyje w, m/s</t>
        </is>
      </c>
      <c r="V4" s="3" t="inlineStr">
        <is>
          <t>Ortakio diametras, matmenys, m</t>
        </is>
      </c>
      <c r="W4" s="3" t="inlineStr">
        <is>
          <t>Ortakio skerspjūvio plotas F, m2</t>
        </is>
      </c>
      <c r="X4" s="3" t="inlineStr">
        <is>
          <t>Dujų tūrio debitas realiomis sąlygomis Vk = wvid × F, m3/s</t>
        </is>
      </c>
      <c r="Y4" s="3" t="inlineStr">
        <is>
          <t>Dujų tūrio debitas normaliosiomis sąlygomis Vdr n.s =Vk *0,269*(P±ΔP)/(273+t), m3/s</t>
        </is>
      </c>
      <c r="Z4" s="3" t="inlineStr">
        <is>
          <t>Vandens kondensato masė m H2O, kg</t>
        </is>
      </c>
      <c r="AA4" s="3" t="inlineStr">
        <is>
          <t>Vandens garų konc. dujose x=mH2O/Vmn*qn, kg/kg</t>
        </is>
      </c>
      <c r="AB4" s="3" t="inlineStr">
        <is>
          <t>Sausų dujų tūrio debitas normaliosiomis sąlygomis Vn= Vdr n.s *((1/(1+(x*qn/0.8038)))</t>
        </is>
      </c>
      <c r="AC4" s="3" t="inlineStr">
        <is>
          <t>Prasiurbtas dujų tūris normaliosiomis sąlygomis Vmn, Nm3</t>
        </is>
      </c>
      <c r="AD4" s="3" t="inlineStr">
        <is>
          <t>Išplėstinės neapibrėžties koef. A</t>
        </is>
      </c>
      <c r="AE4" s="3" t="inlineStr">
        <is>
          <t>Išplėstinė neapibrėžtis (dujų tūrio debitas) Uv</t>
        </is>
      </c>
      <c r="AF4" s="3" t="inlineStr">
        <is>
          <t>Išplėstinė neapibrėžtis (dujų srauto greitis) Uw</t>
        </is>
      </c>
      <c r="AG4" s="3" t="inlineStr">
        <is>
          <t>Sausų dujų tankis normaliosioms sąlygomis qn, (kg/m3)</t>
        </is>
      </c>
      <c r="AH4" s="3" t="inlineStr">
        <is>
          <t>Skaičiavimus atliko (inicialai, data)</t>
        </is>
      </c>
    </row>
    <row r="5">
      <c r="D5" s="1" t="n">
        <v>19</v>
      </c>
    </row>
    <row r="6">
      <c r="D6" s="1" t="n">
        <v>58</v>
      </c>
      <c r="V6" s="1" t="inlineStr">
        <is>
          <t>1,57</t>
        </is>
      </c>
      <c r="W6" s="4">
        <f>V6*V7</f>
        <v/>
      </c>
    </row>
    <row r="7">
      <c r="D7" s="1" t="n">
        <v>97</v>
      </c>
      <c r="V7" s="1" t="inlineStr">
        <is>
          <t>1,75</t>
        </is>
      </c>
    </row>
    <row r="8">
      <c r="D8" s="1" t="n">
        <v>136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A133032C-8DA4-4325-99B9-1B63B6280A77}"/>
</file>

<file path=customXml/itemProps2.xml><?xml version="1.0" encoding="utf-8"?>
<ds:datastoreItem xmlns:ds="http://schemas.openxmlformats.org/officeDocument/2006/customXml" ds:itemID="{01AF40AF-96A7-45CC-AFDC-4FF63D6D9469}"/>
</file>

<file path=customXml/itemProps3.xml><?xml version="1.0" encoding="utf-8"?>
<ds:datastoreItem xmlns:ds="http://schemas.openxmlformats.org/officeDocument/2006/customXml" ds:itemID="{671E46D8-4263-4B7F-AA57-26D8A7A885B7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2026-03-09T09:29:05Z</dcterms:created>
  <dcterms:modified xsi:type="dcterms:W3CDTF">2026-03-09T09:29:12Z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0x010100BAB57CF81AE55C4698AAD22D302297F0</vt:lpwstr>
  </property>
</Properties>
</file>