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3">
    <font>
      <name val="Calibri"/>
      <family val="2"/>
      <color theme="1"/>
      <sz val="11"/>
      <scheme val="minor"/>
    </font>
    <font>
      <b val="1"/>
    </font>
    <font/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customXml" Target="../customXml/item3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/xl/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F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</cols>
  <sheetData>
    <row r="2">
      <c r="A2" s="2" t="inlineStr">
        <is>
          <t>Debitas pagal matuotą diferencinį slėgį</t>
        </is>
      </c>
    </row>
    <row r="4" ht="130" customHeight="1">
      <c r="A4" s="3" t="inlineStr">
        <is>
          <t>Matavimo data</t>
        </is>
      </c>
      <c r="B4" s="3" t="inlineStr">
        <is>
          <t>Ėminių registracijos Nr. T-107-2026-E-</t>
        </is>
      </c>
      <c r="C4" s="3" t="inlineStr">
        <is>
          <t>Objekto pavadinimas, adresas, taršos šaltinio Nr.</t>
        </is>
      </c>
      <c r="D4" s="3" t="inlineStr">
        <is>
          <t>Matavimo taškai ortakyje nuo vidinės sienelės, cm</t>
        </is>
      </c>
      <c r="E4" s="3" t="inlineStr">
        <is>
          <t>Išmatuotas diferencinis slėgis taškuose 1 linija, Pdi, hPa</t>
        </is>
      </c>
      <c r="F4" s="3" t="inlineStr">
        <is>
          <t>Išmatuotas diferencinis slėgis taškuose 2 linija, Pdi, hPa</t>
        </is>
      </c>
      <c r="G4" s="3" t="inlineStr">
        <is>
          <t>Išmatuotas diferencinis slėgis taškuose 3 linija, Pdi, hPa</t>
        </is>
      </c>
      <c r="H4" s="3" t="inlineStr">
        <is>
          <t>Išmatuotas diferencinis slėgis taškuose 4 linija, Pdi, hPa</t>
        </is>
      </c>
      <c r="I4" s="3" t="inlineStr">
        <is>
          <t>Pito vamzdelio koeficientas, K</t>
        </is>
      </c>
      <c r="J4" s="3" t="inlineStr">
        <is>
          <t>Temperatūra ortakyje t, oC</t>
        </is>
      </c>
      <c r="K4" s="3" t="inlineStr">
        <is>
          <t>Atmosferinis slėgis P, hPa</t>
        </is>
      </c>
      <c r="L4" s="3" t="inlineStr">
        <is>
          <t>Statinis slėgis ortakyje ± ΔP, hPa</t>
        </is>
      </c>
      <c r="M4" s="3" t="inlineStr">
        <is>
          <t>Dujų slėgis kamine Pk= P+ ΔP, hPa</t>
        </is>
      </c>
      <c r="N4" s="3" t="inlineStr">
        <is>
          <t>Dujų mol. masė Ms= qn *22.4, kg/</t>
        </is>
      </c>
      <c r="O4" s="3" t="inlineStr">
        <is>
          <t>Dujų srauto greitis matavimo taškuose, 1 linija, wi = K*129 *√t *√Pdi/ √Pk/√Ms, m/s</t>
        </is>
      </c>
      <c r="P4" s="3" t="inlineStr">
        <is>
          <t>Dujų srauto greitis matavimo taškuose, 2 linija, wi = K*129 *√t *√Pdi/ √Pk/√Ms, m/s</t>
        </is>
      </c>
      <c r="Q4" s="3" t="inlineStr">
        <is>
          <t>Dujų srauto greitis matavimo taškuose, 3 linija, wi = K*129 *√t *√Pdi/ √Pk/√Ms, m/s</t>
        </is>
      </c>
      <c r="R4" s="3" t="inlineStr">
        <is>
          <t>Dujų srauto greitis matavimo taškuose, 4 linija, wi = K*129 *√t *√Pdi/ √Pk/√Ms, m/s</t>
        </is>
      </c>
      <c r="S4" s="3" t="inlineStr">
        <is>
          <t>Vidutinis dujų srauto greitis ortakyje w, m/s</t>
        </is>
      </c>
      <c r="T4" s="3" t="inlineStr">
        <is>
          <t>Ortakio diametras, matmenys, m</t>
        </is>
      </c>
      <c r="U4" s="3" t="inlineStr">
        <is>
          <t>Ortakio skerspjūvio plotas F, m2</t>
        </is>
      </c>
      <c r="V4" s="3" t="inlineStr">
        <is>
          <t>Dujų tūrio debitas realiomis sąlygomis Vk = wvid × F, m3/s</t>
        </is>
      </c>
      <c r="W4" s="3" t="inlineStr">
        <is>
          <t>Dujų tūrio debitas normaliosiomis sąlygomis Vdr n.s =Vk *0,269*(P±ΔP)/(273+t), m3/s</t>
        </is>
      </c>
      <c r="X4" s="3" t="inlineStr">
        <is>
          <t>Vandens kondensato masė m H2O, kg</t>
        </is>
      </c>
      <c r="Y4" s="3" t="inlineStr">
        <is>
          <t>Vandens garų konc. dujose x=mH2O/Vmn*qn, kg/kg</t>
        </is>
      </c>
      <c r="Z4" s="3" t="inlineStr">
        <is>
          <t>Sausų dujų tūrio debitas normaliosiomis sąlygomis Vn= Vdr n.s *((1/(1+(x*qn/0.8038)))</t>
        </is>
      </c>
      <c r="AA4" s="3" t="inlineStr">
        <is>
          <t>Prasiurbtas dujų tūris normaliosiomis sąlygomis Vmn, Nm3</t>
        </is>
      </c>
      <c r="AB4" s="3" t="inlineStr">
        <is>
          <t>Išplėstinės neapibrėžties koef. A</t>
        </is>
      </c>
      <c r="AC4" s="3" t="inlineStr">
        <is>
          <t>Išplėstinė neapibrėžtis (dujų tūrio debitas) Uv</t>
        </is>
      </c>
      <c r="AD4" s="3" t="inlineStr">
        <is>
          <t>Išplėstinė neapibrėžtis (dujų srauto greitis) Uw</t>
        </is>
      </c>
      <c r="AE4" s="3" t="inlineStr">
        <is>
          <t>Sausų dujų tankis normaliosioms sąlygomis qn, (kg/m3)</t>
        </is>
      </c>
      <c r="AF4" s="3" t="inlineStr">
        <is>
          <t>Skaičiavimus atliko (inicialai, data)</t>
        </is>
      </c>
    </row>
    <row r="5">
      <c r="A5" s="1" t="n"/>
      <c r="B5" s="1" t="n"/>
      <c r="C5" s="1" t="n"/>
      <c r="D5" s="1" t="n">
        <v>19</v>
      </c>
      <c r="I5" s="6" t="n">
        <v>0.678</v>
      </c>
      <c r="AB5" s="6" t="n">
        <v>0.036</v>
      </c>
    </row>
    <row r="6">
      <c r="D6" s="1" t="n">
        <v>56</v>
      </c>
      <c r="I6" s="6" t="n">
        <v>0.678</v>
      </c>
      <c r="T6" s="1" t="inlineStr">
        <is>
          <t>1,52</t>
        </is>
      </c>
      <c r="U6" s="7">
        <f>T6*T7</f>
        <v/>
      </c>
      <c r="AB6" s="6" t="n">
        <v>0.036</v>
      </c>
    </row>
    <row r="7">
      <c r="D7" s="1" t="n">
        <v>94</v>
      </c>
      <c r="I7" s="6" t="n">
        <v>0.678</v>
      </c>
      <c r="T7" s="1" t="inlineStr">
        <is>
          <t>1,25</t>
        </is>
      </c>
    </row>
    <row r="8">
      <c r="D8" s="1" t="n">
        <v>131</v>
      </c>
      <c r="I8" s="6" t="n">
        <v>0.678</v>
      </c>
    </row>
  </sheetData>
  <mergeCells count="3">
    <mergeCell ref="B5:B8"/>
    <mergeCell ref="C5:C8"/>
    <mergeCell ref="A5:A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as" ma:contentTypeID="0x010100BAB57CF81AE55C4698AAD22D302297F0" ma:contentTypeVersion="18" ma:contentTypeDescription="Kurkite naują dokumentą." ma:contentTypeScope="" ma:versionID="49ab401eb4052690d2a2629974c22fd6">
  <xsd:schema xmlns:xsd="http://www.w3.org/2001/XMLSchema" xmlns:xs="http://www.w3.org/2001/XMLSchema" xmlns:p="http://schemas.microsoft.com/office/2006/metadata/properties" xmlns:ns2="453e7e53-5eb2-45cf-b2ab-34c867e554b8" xmlns:ns3="aa0d983d-359a-438c-9953-3af1a8ac0831" targetNamespace="http://schemas.microsoft.com/office/2006/metadata/properties" ma:root="true" ma:fieldsID="ab9969d50e0b13c63bc5bd0499c928dc" ns2:_="" ns3:_="">
    <xsd:import namespace="453e7e53-5eb2-45cf-b2ab-34c867e554b8"/>
    <xsd:import namespace="aa0d983d-359a-438c-9953-3af1a8ac083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3e7e53-5eb2-45cf-b2ab-34c867e554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Vaizdų žymės" ma:readOnly="false" ma:fieldId="{5cf76f15-5ced-4ddc-b409-7134ff3c332f}" ma:taxonomyMulti="true" ma:sspId="993cf2ba-b7a7-49f7-97d1-76e12a88c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0d983d-359a-438c-9953-3af1a8ac0831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82c4fa3c-500e-4213-91e5-1b9e2014ea63}" ma:internalName="TaxCatchAll" ma:showField="CatchAllData" ma:web="aa0d983d-359a-438c-9953-3af1a8ac083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Bendrinama s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Bendrinta su išsamia informacija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urinio tipas"/>
        <xsd:element ref="dc:title" minOccurs="0" maxOccurs="1" ma:index="4" ma:displayName="Antraštė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3e7e53-5eb2-45cf-b2ab-34c867e554b8">
      <Terms xmlns="http://schemas.microsoft.com/office/infopath/2007/PartnerControls"/>
    </lcf76f155ced4ddcb4097134ff3c332f>
    <TaxCatchAll xmlns="aa0d983d-359a-438c-9953-3af1a8ac0831" xsi:nil="true"/>
  </documentManagement>
</p:properties>
</file>

<file path=customXml/itemProps1.xml><?xml version="1.0" encoding="utf-8"?>
<ds:datastoreItem xmlns:ds="http://schemas.openxmlformats.org/officeDocument/2006/customXml" ds:itemID="{0D596D96-774B-4DD9-B8B2-43EDF3AE7B3E}"/>
</file>

<file path=customXml/itemProps2.xml><?xml version="1.0" encoding="utf-8"?>
<ds:datastoreItem xmlns:ds="http://schemas.openxmlformats.org/officeDocument/2006/customXml" ds:itemID="{1A734439-A10D-4E61-8C11-C2776BA11DB2}"/>
</file>

<file path=customXml/itemProps3.xml><?xml version="1.0" encoding="utf-8"?>
<ds:datastoreItem xmlns:ds="http://schemas.openxmlformats.org/officeDocument/2006/customXml" ds:itemID="{961E9FE6-A5BC-4AE6-9A0C-698CF88F8BD3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2026-03-09T11:02:59Z</dcterms:created>
  <dcterms:modified xsi:type="dcterms:W3CDTF">2026-03-09T11:05:05Z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0x010100BAB57CF81AE55C4698AAD22D302297F0</vt:lpwstr>
  </property>
</Properties>
</file>