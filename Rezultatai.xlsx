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agentura2020.sharepoint.com/sites/VidurioLietuvosaplinkostyrimuskyrius/Bendrai naudojami dokumentai/EB7-014 Darbuotojų failai/Tomo/Python 3.14.3/Skaiciavimai/"/>
    </mc:Choice>
  </mc:AlternateContent>
  <xr:revisionPtr revIDLastSave="0" documentId="11_C3DCA2E82BB55293AEEA87D970860429F9F1D27E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Greitis" sheetId="1" r:id="rId1"/>
    <sheet name="H2O" sheetId="2" r:id="rId2"/>
    <sheet name="Paėmimas" sheetId="3" r:id="rId3"/>
    <sheet name="Aerodinamika" sheetId="4" r:id="rId4"/>
    <sheet name="Koncentracija" sheetId="5" r:id="rId5"/>
    <sheet name="Svėrimas" sheetId="6" r:id="rId6"/>
    <sheet name="Koncentracijos ribinės vertė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" i="3" l="1"/>
  <c r="U9" i="3"/>
  <c r="T9" i="3"/>
  <c r="W7" i="1"/>
  <c r="E6" i="3" s="1"/>
</calcChain>
</file>

<file path=xl/sharedStrings.xml><?xml version="1.0" encoding="utf-8"?>
<sst xmlns="http://schemas.openxmlformats.org/spreadsheetml/2006/main" count="173" uniqueCount="139">
  <si>
    <t>Debitas pagal matuotą diferencinį slėgį</t>
  </si>
  <si>
    <t>Matavimo data</t>
  </si>
  <si>
    <t>Ėminių registracijos Nr. T-107-2026-E-</t>
  </si>
  <si>
    <t>Objekto pavadinimas, adresas, taršos šaltinio Nr.</t>
  </si>
  <si>
    <t>Matavimo taškai ortakyje nuo vidinės sienelės, cm</t>
  </si>
  <si>
    <t>Išmatuotas diferencinis slėgis taškuose 1 linija, Pdi, hPa</t>
  </si>
  <si>
    <t>Išmatuotas diferencinis slėgis taškuose 2 linija, Pdi, hPa</t>
  </si>
  <si>
    <t>Išmatuotas diferencinis slėgis taškuose 3 linija, Pdi, hPa</t>
  </si>
  <si>
    <t>Išmatuotas diferencinis slėgis taškuose 4 linija, Pdi, hPa</t>
  </si>
  <si>
    <t>Išmatuotas diferencinis slėgis taškuose 5 linija, Pdi, hPa</t>
  </si>
  <si>
    <t>Pito vamzdelio koeficientas, K</t>
  </si>
  <si>
    <t>Temperatūra ortakyje t, oC</t>
  </si>
  <si>
    <t>Atmosferinis slėgis P, hPa</t>
  </si>
  <si>
    <t>Statinis slėgis ortakyje ± ΔP, hPa</t>
  </si>
  <si>
    <t>Dujų slėgis kamine Pk= P+ ΔP, hPa</t>
  </si>
  <si>
    <t>Dujų mol. masė Ms= qn *22.4, kg/</t>
  </si>
  <si>
    <t>Dujų srauto greitis matavimo taškuose, 1 linija, wi = K*129 *√t *√Pdi/ √Pk/√Ms, m/s</t>
  </si>
  <si>
    <t>Dujų srauto greitis matavimo taškuose, 2 linija, wi = K*129 *√t *√Pdi/ √Pk/√Ms, m/s</t>
  </si>
  <si>
    <t>Dujų srauto greitis matavimo taškuose, 3 linija, wi = K*129 *√t *√Pdi/ √Pk/√Ms, m/s</t>
  </si>
  <si>
    <t>Dujų srauto greitis matavimo taškuose, 4 linija, wi = K*129 *√t *√Pdi/ √Pk/√Ms, m/s</t>
  </si>
  <si>
    <t>Dujų srauto greitis matavimo taškuose, 5 linija, wi = K*129 *√t *√Pdi/ √Pk/√Ms, m/s</t>
  </si>
  <si>
    <t>Vidutinis dujų srauto greitis ortakyje w, m/s</t>
  </si>
  <si>
    <t>Ortakio diametras, matmenys, m</t>
  </si>
  <si>
    <t>Ortakio skerspjūvio plotas F, m2</t>
  </si>
  <si>
    <t>Dujų tūrio debitas realiomis sąlygomis Vk = wvid × F, m3/s</t>
  </si>
  <si>
    <t>Dujų tūrio debitas normaliosiomis sąlygomis Vdr n.s =Vk *0,269*(P±ΔP)/(273+t), m3/s</t>
  </si>
  <si>
    <t>Vandens kondensato masė m H2O, kg</t>
  </si>
  <si>
    <t>Vandens garų konc. dujose x=mH2O/Vmn*qn, kg/kg</t>
  </si>
  <si>
    <t>Sausų dujų tūrio debitas normaliosiomis sąlygomis Vn= Vdr n.s *((1/(1+(x*qn/0.8038)))</t>
  </si>
  <si>
    <t>Prasiurbtas dujų tūris normaliosiomis sąlygomis Vmn, Nm3</t>
  </si>
  <si>
    <t>Išplėstinės neapibrėžties koef. A</t>
  </si>
  <si>
    <t>Išplėstinė neapibrėžtis (dujų tūrio debitas) Uv</t>
  </si>
  <si>
    <t>Išplėstinė neapibrėžtis (dujų srauto greitis) Uw</t>
  </si>
  <si>
    <t>Sausų dujų tankis normaliosioms sąlygomis qn, (kg/m3)</t>
  </si>
  <si>
    <t>Skaičiavimus atliko (inicialai, data)</t>
  </si>
  <si>
    <t>2026-02-10</t>
  </si>
  <si>
    <t>Ekopartneris</t>
  </si>
  <si>
    <t>1,58</t>
  </si>
  <si>
    <t>1,59</t>
  </si>
  <si>
    <t>RPU***</t>
  </si>
  <si>
    <t>Kai bus 2 linijos, RPU*** yra 2 linijos vidurinis taškas</t>
  </si>
  <si>
    <t>Skaičiuoklė kietųjų dalelių koncentracijai nustatyti. H2O skaičiavimas</t>
  </si>
  <si>
    <t>Ėminių ėmimo laikas t, min.</t>
  </si>
  <si>
    <t>Paėmimo greitis, l/min</t>
  </si>
  <si>
    <t>Atmosferinis slėgis, hPa</t>
  </si>
  <si>
    <t>Išretėjimas, -hPa</t>
  </si>
  <si>
    <t>Temperatūra prie aspiratoriaus, Vtr oC</t>
  </si>
  <si>
    <t>Dujų tūris normaliomis sąlygomis, Vn l.</t>
  </si>
  <si>
    <t>Sausų dujų tankis normaliosioms sąlygomis qn (kg/m3)</t>
  </si>
  <si>
    <t>Drėgmės kiekis X (%) (izokinetinei sistemai)</t>
  </si>
  <si>
    <t>Pastabos</t>
  </si>
  <si>
    <t>Skaičiuoklė kietųjų dalelių koncentracijai nustatyti. Pradinių duomenų nustatymas</t>
  </si>
  <si>
    <t>Ortakio matmenys, m</t>
  </si>
  <si>
    <t>Skerspjūvio plotas A (m2)</t>
  </si>
  <si>
    <t>Temperatūra ortakyje tor (°C)</t>
  </si>
  <si>
    <t>Srauto greitis ortakyje wor (m/s)</t>
  </si>
  <si>
    <t>Atmosferinis slėgis P (hPa)</t>
  </si>
  <si>
    <t>Statinis slėgis ortakyje ΔPor (hPa)</t>
  </si>
  <si>
    <t>Slėgis prieš rotametrą ΔPr (±hPa)</t>
  </si>
  <si>
    <t>Antgalio diametras da (mm)</t>
  </si>
  <si>
    <t>Prasiurbtas dujų tūris Vm (m3)</t>
  </si>
  <si>
    <t>Siurbimo laikas t (min)</t>
  </si>
  <si>
    <t>Siurbimo greitis Vo (l/min)</t>
  </si>
  <si>
    <t>Siurbiamų dujų temperatūra prieš rotametrą tr (°C)</t>
  </si>
  <si>
    <t>O2iš (%) (ore 21 %)</t>
  </si>
  <si>
    <t>CO2iš (%) (ore 0,04 %)</t>
  </si>
  <si>
    <t>Darbuotojo inicialai, data</t>
  </si>
  <si>
    <t>Išmatuota O2 koncentracija (%)</t>
  </si>
  <si>
    <t>Išmatuota CO2 koncentracija (%)</t>
  </si>
  <si>
    <t>Išmatuotas diferencinis slėgis taškuose, Pdi, hPa</t>
  </si>
  <si>
    <t>Izokinetiškumas (0,95-1,15)</t>
  </si>
  <si>
    <t>1,58 x 1,59</t>
  </si>
  <si>
    <t>1 filtras, 1 linija</t>
  </si>
  <si>
    <t>1 filtras, 2 linija</t>
  </si>
  <si>
    <t>1 filtras, 3 linija</t>
  </si>
  <si>
    <t>1 filtras, 4 linija</t>
  </si>
  <si>
    <t>1 filtras, 5 linija</t>
  </si>
  <si>
    <t>2 filtras, 1 linija</t>
  </si>
  <si>
    <t>2 filtras, 2 linija</t>
  </si>
  <si>
    <t>2 filtras, 3 linija</t>
  </si>
  <si>
    <t>2 filtras, 4 linija</t>
  </si>
  <si>
    <t>2 filtras, 5 linija</t>
  </si>
  <si>
    <t>3 filtras, 1 linija</t>
  </si>
  <si>
    <t>3 filtras, 2 linija</t>
  </si>
  <si>
    <t>3 filtras, 3 linija</t>
  </si>
  <si>
    <t>3 filtras, 4 linija</t>
  </si>
  <si>
    <t>3 filtras, 5 linija</t>
  </si>
  <si>
    <t>Skaičiuoklė kietųjų dalelių koncentracijai nustatyti. Izokinetiškumo nustatymas</t>
  </si>
  <si>
    <t>Prasiurbtas dujų tūris normaliosiomis sąlygomis Vmn (Nm3)</t>
  </si>
  <si>
    <t>Prasiurbto dujų tūrio normaliosiomis sąlygomis suma Vmn(sum) (Nm3)</t>
  </si>
  <si>
    <t>Drėgmės kiekis X (%)</t>
  </si>
  <si>
    <t>Pratrauktas drėgnų dujų tūris realiomis sąlygomis Vmk (m3)</t>
  </si>
  <si>
    <t>Dujų srauto greitis antgalyje v antg. (m/s)</t>
  </si>
  <si>
    <t>Izokinetiškumo vidurkis (0,95-1,15)</t>
  </si>
  <si>
    <t>Skaičiavimus atlikusio asmens inicialai, data</t>
  </si>
  <si>
    <t>Skaičiuoklė kietųjų dalelių koncentracijai nustatyti. Kietųjų dalelių koncentracijos nustatymas</t>
  </si>
  <si>
    <t>Filtro Nr.</t>
  </si>
  <si>
    <t>Filtro svoris prieš KD ėmimą mpr (g)</t>
  </si>
  <si>
    <t>Filtro svoris po KD ėmimo mpo (g)</t>
  </si>
  <si>
    <t>Tuščiojo ėminio KD svoris mt (g)</t>
  </si>
  <si>
    <t>Nuosėdų kiekis mn (g)</t>
  </si>
  <si>
    <t>Indų svorių pokytis mIt (g)</t>
  </si>
  <si>
    <t>Sausų dujų tūris n.s. Vmn (Nm3)</t>
  </si>
  <si>
    <t>Kietų dalelių koncentracija c1 (neįvert. O2) (mg/Nm3)</t>
  </si>
  <si>
    <t>Tuščiojo filtro vertė mft (mg/m3) (&lt; 2 mg/m3)</t>
  </si>
  <si>
    <t>Surinktų dulkių ir tuščiojo ėminio santykis mFtk (&gt;5)</t>
  </si>
  <si>
    <t>Filtrų skaičius Fsk (vnt.)</t>
  </si>
  <si>
    <t>5 linijos, 1 filtras</t>
  </si>
  <si>
    <t>5 linijos, 2 filtras</t>
  </si>
  <si>
    <t>5 linijos, 3 filtras</t>
  </si>
  <si>
    <t>Skaičiuoklė kietųjų dalelių koncentracijai nustatyti. Svėrimas</t>
  </si>
  <si>
    <t>Filtro/ indo Nr.</t>
  </si>
  <si>
    <t>Tuščio filtro/indo svėrimo data</t>
  </si>
  <si>
    <t>Filtro/indo svoris prieš KD ėmimą mpr (g)</t>
  </si>
  <si>
    <t>Atsakingo asmens inicialai, data</t>
  </si>
  <si>
    <t>Filtro/indo su ėminiu svėrimo data</t>
  </si>
  <si>
    <t>Filtro/indo svoris po KD ėmimo mpo (g)</t>
  </si>
  <si>
    <t>Kietųjų dalelių svoris mf/Svorių pokytis (g) (&lt;2,20 g filtro talpumas)</t>
  </si>
  <si>
    <t>1</t>
  </si>
  <si>
    <t>2</t>
  </si>
  <si>
    <t>3</t>
  </si>
  <si>
    <t>5 linijos, 3 filtrai</t>
  </si>
  <si>
    <t>Tuščiasis ėminys (mt)</t>
  </si>
  <si>
    <t>41</t>
  </si>
  <si>
    <t>Išplautos nuosėdos (mn)</t>
  </si>
  <si>
    <t>00</t>
  </si>
  <si>
    <t>Išvalytos ėminių sistemos tuščiasis ėminys (mIt)</t>
  </si>
  <si>
    <t>01</t>
  </si>
  <si>
    <t>Tušti indai svorio kontrolei (mIt1)</t>
  </si>
  <si>
    <t>02</t>
  </si>
  <si>
    <t>Tušti indai svorio kontrolei (mIt2)</t>
  </si>
  <si>
    <t>03</t>
  </si>
  <si>
    <t>Tušti indai svorio kontrolei (mIt3)</t>
  </si>
  <si>
    <t>Tuščių indų ir išvalytos ėminių sistemos tuščiojo ėminio svorio pokytis (mItp)</t>
  </si>
  <si>
    <t>Patikrinimas, ar planuojamas surinkti dulkių kiekis suderinamas su tuščiojo ėminio verte ir ar filtras nebus per daug apkrautas</t>
  </si>
  <si>
    <t>Planuojama surinkti dulkių masė m, g (&lt;2,20 g)</t>
  </si>
  <si>
    <t>Mažiausia ėminio ėmimo trukmė t, 30 min</t>
  </si>
  <si>
    <t>Tikėtina dulkių koncentracija cexs, mg/Nm3;</t>
  </si>
  <si>
    <t>Planuojamas dujų tūrio siurbimo greitis matavimo metu ortakio sąlygomis Vo, l/min.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</si>
</sst>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5" fontId="0" fillId="0" borderId="2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2" fontId="0" fillId="0" borderId="0" xfId="0" applyNumberFormat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0" fillId="2" borderId="1" xfId="0" applyFill="1" applyBorder="1" applyAlignment="1">
      <alignment horizontal="center" vertical="center" wrapText="1"/>
    </xf>
    <xf numFmtId="0" fontId="0" fillId="4" borderId="1" xfId="0" applyFill="1" applyBorder="1"/>
    <xf numFmtId="0" fontId="0" fillId="2" borderId="1" xfId="0" applyFill="1" applyBorder="1"/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/>
    <xf numFmtId="0" fontId="0" fillId="4" borderId="7" xfId="0" applyFill="1" applyBorder="1"/>
    <xf numFmtId="0" fontId="0" fillId="0" borderId="7" xfId="0" applyBorder="1" applyAlignment="1">
      <alignment horizontal="left" vertical="center"/>
    </xf>
    <xf numFmtId="0" fontId="0" fillId="0" borderId="10" xfId="0" applyBorder="1"/>
    <xf numFmtId="0" fontId="0" fillId="0" borderId="1" xfId="0" applyBorder="1" applyAlignment="1">
      <alignment horizontal="left" vertical="center"/>
    </xf>
    <xf numFmtId="0" fontId="0" fillId="0" borderId="11" xfId="0" applyBorder="1"/>
    <xf numFmtId="0" fontId="0" fillId="0" borderId="1" xfId="0" applyBorder="1" applyAlignment="1">
      <alignment horizontal="left" vertical="center" wrapText="1"/>
    </xf>
    <xf numFmtId="0" fontId="0" fillId="0" borderId="12" xfId="0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3" fillId="0" borderId="0" xfId="0" applyFont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</cellXfs>
  <cellStyles count="1">
    <cellStyle name="Įprastas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H11"/>
  <sheetViews>
    <sheetView tabSelected="1" zoomScale="70" zoomScaleNormal="70" workbookViewId="0"/>
  </sheetViews>
  <sheetFormatPr defaultRowHeight="14.5" x14ac:dyDescent="0.35"/>
  <cols>
    <col min="1" max="34" width="15" customWidth="1"/>
  </cols>
  <sheetData>
    <row r="3" spans="1:34" ht="15.5" x14ac:dyDescent="0.35">
      <c r="A3" s="33" t="s">
        <v>0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5" spans="1:34" ht="130" customHeight="1" x14ac:dyDescent="0.35">
      <c r="A5" s="2" t="s">
        <v>1</v>
      </c>
      <c r="B5" s="2" t="s">
        <v>2</v>
      </c>
      <c r="C5" s="2" t="s">
        <v>3</v>
      </c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14</v>
      </c>
      <c r="O5" s="2" t="s">
        <v>15</v>
      </c>
      <c r="P5" s="2" t="s">
        <v>16</v>
      </c>
      <c r="Q5" s="2" t="s">
        <v>17</v>
      </c>
      <c r="R5" s="2" t="s">
        <v>18</v>
      </c>
      <c r="S5" s="2" t="s">
        <v>19</v>
      </c>
      <c r="T5" s="2" t="s">
        <v>20</v>
      </c>
      <c r="U5" s="2" t="s">
        <v>21</v>
      </c>
      <c r="V5" s="2" t="s">
        <v>22</v>
      </c>
      <c r="W5" s="2" t="s">
        <v>23</v>
      </c>
      <c r="X5" s="2" t="s">
        <v>24</v>
      </c>
      <c r="Y5" s="2" t="s">
        <v>25</v>
      </c>
      <c r="Z5" s="2" t="s">
        <v>26</v>
      </c>
      <c r="AA5" s="2" t="s">
        <v>27</v>
      </c>
      <c r="AB5" s="2" t="s">
        <v>28</v>
      </c>
      <c r="AC5" s="2" t="s">
        <v>29</v>
      </c>
      <c r="AD5" s="2" t="s">
        <v>30</v>
      </c>
      <c r="AE5" s="2" t="s">
        <v>31</v>
      </c>
      <c r="AF5" s="2" t="s">
        <v>32</v>
      </c>
      <c r="AG5" s="2" t="s">
        <v>33</v>
      </c>
      <c r="AH5" s="2" t="s">
        <v>34</v>
      </c>
    </row>
    <row r="6" spans="1:34" x14ac:dyDescent="0.35">
      <c r="A6" s="38" t="s">
        <v>35</v>
      </c>
      <c r="B6" s="38">
        <v>5</v>
      </c>
      <c r="C6" s="38" t="s">
        <v>36</v>
      </c>
      <c r="D6" s="24">
        <v>19</v>
      </c>
      <c r="E6" s="14">
        <v>1</v>
      </c>
      <c r="F6" s="14">
        <v>2</v>
      </c>
      <c r="G6" s="14">
        <v>3</v>
      </c>
      <c r="H6" s="14">
        <v>4</v>
      </c>
      <c r="I6" s="14">
        <v>5</v>
      </c>
      <c r="J6" s="15">
        <v>0.82699999999999996</v>
      </c>
      <c r="K6" s="16"/>
      <c r="L6" s="17">
        <v>1012</v>
      </c>
      <c r="M6" s="17">
        <v>-0.25</v>
      </c>
      <c r="N6" s="18"/>
      <c r="O6" s="18"/>
      <c r="P6" s="18"/>
      <c r="Q6" s="18"/>
      <c r="R6" s="18"/>
      <c r="S6" s="18"/>
      <c r="T6" s="18"/>
      <c r="U6" s="18"/>
      <c r="V6" s="19"/>
      <c r="W6" s="18"/>
      <c r="X6" s="18"/>
      <c r="Y6" s="18"/>
      <c r="Z6" s="16"/>
      <c r="AA6" s="18"/>
      <c r="AB6" s="18"/>
      <c r="AC6" s="16"/>
      <c r="AD6" s="15">
        <v>7.9000000000000001E-2</v>
      </c>
      <c r="AE6" s="18"/>
      <c r="AF6" s="18"/>
      <c r="AG6" s="16"/>
      <c r="AH6" s="41"/>
    </row>
    <row r="7" spans="1:34" x14ac:dyDescent="0.35">
      <c r="A7" s="39"/>
      <c r="B7" s="39"/>
      <c r="C7" s="39"/>
      <c r="D7" s="24">
        <v>58</v>
      </c>
      <c r="E7" s="14">
        <v>1</v>
      </c>
      <c r="F7" s="14">
        <v>2</v>
      </c>
      <c r="G7" s="14">
        <v>3</v>
      </c>
      <c r="H7" s="14">
        <v>4</v>
      </c>
      <c r="I7" s="14">
        <v>5</v>
      </c>
      <c r="J7" s="20">
        <v>0.82699999999999996</v>
      </c>
      <c r="K7" s="16"/>
      <c r="L7" s="21">
        <v>1012</v>
      </c>
      <c r="M7" s="21">
        <v>-0.25</v>
      </c>
      <c r="N7" s="18"/>
      <c r="O7" s="18"/>
      <c r="P7" s="18"/>
      <c r="Q7" s="18"/>
      <c r="R7" s="18"/>
      <c r="S7" s="18"/>
      <c r="T7" s="18"/>
      <c r="U7" s="7"/>
      <c r="V7" s="22" t="s">
        <v>37</v>
      </c>
      <c r="W7" s="23">
        <f>V7*V8</f>
        <v>2.5122000000000004</v>
      </c>
      <c r="X7" s="18"/>
      <c r="Y7" s="18"/>
      <c r="Z7" s="16"/>
      <c r="AA7" s="18"/>
      <c r="AB7" s="18"/>
      <c r="AC7" s="16"/>
      <c r="AD7" s="15">
        <v>7.9000000000000001E-2</v>
      </c>
      <c r="AE7" s="18"/>
      <c r="AF7" s="18"/>
      <c r="AH7" s="40"/>
    </row>
    <row r="8" spans="1:34" x14ac:dyDescent="0.35">
      <c r="A8" s="39"/>
      <c r="B8" s="39"/>
      <c r="C8" s="39"/>
      <c r="D8" s="24">
        <v>97</v>
      </c>
      <c r="E8" s="14">
        <v>1</v>
      </c>
      <c r="F8" s="14">
        <v>2</v>
      </c>
      <c r="G8" s="14">
        <v>3</v>
      </c>
      <c r="H8" s="14">
        <v>4</v>
      </c>
      <c r="I8" s="14">
        <v>5</v>
      </c>
      <c r="J8" s="20">
        <v>0.82699999999999996</v>
      </c>
      <c r="K8" s="16"/>
      <c r="L8" s="21">
        <v>1012</v>
      </c>
      <c r="M8" s="21">
        <v>-0.25</v>
      </c>
      <c r="N8" s="18"/>
      <c r="O8" s="18"/>
      <c r="P8" s="18"/>
      <c r="Q8" s="18"/>
      <c r="R8" s="18"/>
      <c r="S8" s="18"/>
      <c r="T8" s="18"/>
      <c r="U8" s="7"/>
      <c r="V8" s="22" t="s">
        <v>38</v>
      </c>
      <c r="W8" s="7"/>
      <c r="X8" s="7"/>
      <c r="Y8" s="7"/>
    </row>
    <row r="9" spans="1:34" x14ac:dyDescent="0.35">
      <c r="A9" s="40"/>
      <c r="B9" s="40"/>
      <c r="C9" s="40"/>
      <c r="D9" s="24">
        <v>136</v>
      </c>
      <c r="E9" s="14">
        <v>1</v>
      </c>
      <c r="F9" s="14">
        <v>2</v>
      </c>
      <c r="G9" s="14">
        <v>3</v>
      </c>
      <c r="H9" s="14">
        <v>4</v>
      </c>
      <c r="I9" s="14">
        <v>5</v>
      </c>
      <c r="J9" s="20">
        <v>0.82699999999999996</v>
      </c>
      <c r="K9" s="16"/>
      <c r="L9" s="21">
        <v>1012</v>
      </c>
      <c r="M9" s="21">
        <v>-0.25</v>
      </c>
      <c r="N9" s="18"/>
      <c r="O9" s="18"/>
      <c r="P9" s="18"/>
      <c r="Q9" s="18"/>
      <c r="R9" s="18"/>
      <c r="S9" s="18"/>
      <c r="T9" s="18"/>
      <c r="U9" s="7"/>
      <c r="V9" s="7"/>
      <c r="W9" s="7"/>
      <c r="X9" s="7"/>
      <c r="Y9" s="7"/>
    </row>
    <row r="10" spans="1:34" x14ac:dyDescent="0.3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34" x14ac:dyDescent="0.35">
      <c r="A11" s="7"/>
      <c r="B11" s="7"/>
      <c r="C11" s="7"/>
      <c r="D11" s="7" t="s">
        <v>39</v>
      </c>
      <c r="E11" s="35" t="s">
        <v>40</v>
      </c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7"/>
    </row>
  </sheetData>
  <mergeCells count="6">
    <mergeCell ref="A3:AH3"/>
    <mergeCell ref="E11:T11"/>
    <mergeCell ref="A6:A9"/>
    <mergeCell ref="B6:B9"/>
    <mergeCell ref="AH6:AH7"/>
    <mergeCell ref="C6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L5"/>
  <sheetViews>
    <sheetView workbookViewId="0"/>
  </sheetViews>
  <sheetFormatPr defaultRowHeight="14.5" x14ac:dyDescent="0.35"/>
  <cols>
    <col min="1" max="12" width="14" customWidth="1"/>
  </cols>
  <sheetData>
    <row r="3" spans="1:12" x14ac:dyDescent="0.35">
      <c r="A3" s="42" t="s">
        <v>41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5" spans="1:12" ht="72.5" x14ac:dyDescent="0.35">
      <c r="A5" s="2"/>
      <c r="B5" s="2" t="s">
        <v>42</v>
      </c>
      <c r="C5" s="2" t="s">
        <v>43</v>
      </c>
      <c r="D5" s="2" t="s">
        <v>44</v>
      </c>
      <c r="E5" s="2" t="s">
        <v>45</v>
      </c>
      <c r="F5" s="2" t="s">
        <v>46</v>
      </c>
      <c r="G5" s="2" t="s">
        <v>47</v>
      </c>
      <c r="H5" s="2" t="s">
        <v>29</v>
      </c>
      <c r="I5" s="2" t="s">
        <v>26</v>
      </c>
      <c r="J5" s="2" t="s">
        <v>48</v>
      </c>
      <c r="K5" s="2" t="s">
        <v>49</v>
      </c>
      <c r="L5" s="2" t="s">
        <v>50</v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Y121"/>
  <sheetViews>
    <sheetView workbookViewId="0"/>
  </sheetViews>
  <sheetFormatPr defaultRowHeight="14.5" x14ac:dyDescent="0.35"/>
  <cols>
    <col min="1" max="25" width="14" customWidth="1"/>
  </cols>
  <sheetData>
    <row r="2" spans="1:25" x14ac:dyDescent="0.35">
      <c r="A2" s="42" t="s">
        <v>51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</row>
    <row r="5" spans="1:25" ht="58" x14ac:dyDescent="0.35">
      <c r="A5" s="2" t="s">
        <v>1</v>
      </c>
      <c r="B5" s="2" t="s">
        <v>2</v>
      </c>
      <c r="C5" s="2" t="s">
        <v>3</v>
      </c>
      <c r="D5" s="2" t="s">
        <v>52</v>
      </c>
      <c r="E5" s="2" t="s">
        <v>53</v>
      </c>
      <c r="F5" s="2" t="s">
        <v>54</v>
      </c>
      <c r="G5" s="2" t="s">
        <v>55</v>
      </c>
      <c r="H5" s="2" t="s">
        <v>56</v>
      </c>
      <c r="I5" s="2" t="s">
        <v>57</v>
      </c>
      <c r="J5" s="2" t="s">
        <v>58</v>
      </c>
      <c r="K5" s="2" t="s">
        <v>59</v>
      </c>
      <c r="L5" s="2" t="s">
        <v>60</v>
      </c>
      <c r="M5" s="2" t="s">
        <v>61</v>
      </c>
      <c r="N5" s="2" t="s">
        <v>62</v>
      </c>
      <c r="O5" s="2" t="s">
        <v>63</v>
      </c>
      <c r="P5" s="2" t="s">
        <v>64</v>
      </c>
      <c r="Q5" s="2" t="s">
        <v>65</v>
      </c>
      <c r="R5" s="2" t="s">
        <v>66</v>
      </c>
      <c r="S5" s="2" t="s">
        <v>50</v>
      </c>
      <c r="T5" s="2" t="s">
        <v>67</v>
      </c>
      <c r="U5" s="2" t="s">
        <v>68</v>
      </c>
      <c r="V5" s="2" t="s">
        <v>54</v>
      </c>
      <c r="W5" s="3"/>
      <c r="X5" s="2" t="s">
        <v>69</v>
      </c>
      <c r="Y5" s="2" t="s">
        <v>70</v>
      </c>
    </row>
    <row r="6" spans="1:25" x14ac:dyDescent="0.35">
      <c r="A6" s="38" t="s">
        <v>35</v>
      </c>
      <c r="B6" s="38">
        <v>5</v>
      </c>
      <c r="C6" s="38" t="s">
        <v>36</v>
      </c>
      <c r="D6" s="4" t="s">
        <v>71</v>
      </c>
      <c r="E6" s="5">
        <f>Greitis!W7</f>
        <v>2.5122000000000004</v>
      </c>
      <c r="J6" s="13">
        <v>111</v>
      </c>
      <c r="K6" s="13">
        <v>1</v>
      </c>
      <c r="M6" s="1">
        <v>3</v>
      </c>
      <c r="N6" s="1">
        <v>112</v>
      </c>
      <c r="O6" s="13">
        <v>113</v>
      </c>
      <c r="S6" t="s">
        <v>72</v>
      </c>
      <c r="T6" s="9">
        <v>10.02</v>
      </c>
      <c r="U6" s="9">
        <v>4.0999999999999996</v>
      </c>
      <c r="V6" s="10">
        <v>40.200000000000003</v>
      </c>
      <c r="X6" s="8">
        <v>1</v>
      </c>
    </row>
    <row r="7" spans="1:25" x14ac:dyDescent="0.35">
      <c r="A7" s="39"/>
      <c r="B7" s="39"/>
      <c r="C7" s="39"/>
      <c r="J7" s="13">
        <v>111</v>
      </c>
      <c r="K7" s="13">
        <v>1</v>
      </c>
      <c r="M7" s="1">
        <v>3</v>
      </c>
      <c r="N7" s="1">
        <v>112</v>
      </c>
      <c r="O7" s="13">
        <v>113</v>
      </c>
      <c r="T7" s="9">
        <v>9.98</v>
      </c>
      <c r="U7" s="9">
        <v>3.9</v>
      </c>
      <c r="V7" s="10">
        <v>39.799999999999997</v>
      </c>
      <c r="X7" s="8">
        <v>1</v>
      </c>
    </row>
    <row r="8" spans="1:25" x14ac:dyDescent="0.35">
      <c r="A8" s="39"/>
      <c r="B8" s="39"/>
      <c r="C8" s="39"/>
      <c r="J8" s="13">
        <v>111</v>
      </c>
      <c r="K8" s="13">
        <v>1</v>
      </c>
      <c r="M8" s="1">
        <v>3</v>
      </c>
      <c r="N8" s="1">
        <v>112</v>
      </c>
      <c r="O8" s="13">
        <v>113</v>
      </c>
      <c r="T8" s="9">
        <v>10</v>
      </c>
      <c r="U8" s="9">
        <v>4</v>
      </c>
      <c r="V8" s="10">
        <v>40</v>
      </c>
      <c r="X8" s="8">
        <v>1</v>
      </c>
    </row>
    <row r="9" spans="1:25" x14ac:dyDescent="0.35">
      <c r="A9" s="40"/>
      <c r="B9" s="40"/>
      <c r="C9" s="40"/>
      <c r="J9" s="13">
        <v>111</v>
      </c>
      <c r="K9" s="13">
        <v>1</v>
      </c>
      <c r="M9" s="1">
        <v>3</v>
      </c>
      <c r="N9" s="1">
        <v>112</v>
      </c>
      <c r="O9" s="13">
        <v>113</v>
      </c>
      <c r="T9" s="11">
        <f>AVERAGE(T6:T8)</f>
        <v>10</v>
      </c>
      <c r="U9" s="11">
        <f>AVERAGE(U6:U8)</f>
        <v>4</v>
      </c>
      <c r="V9" s="12">
        <f>AVERAGE(V6:V8)</f>
        <v>40</v>
      </c>
      <c r="X9" s="8">
        <v>1</v>
      </c>
    </row>
    <row r="14" spans="1:25" x14ac:dyDescent="0.35">
      <c r="J14" s="13">
        <v>121</v>
      </c>
      <c r="K14" s="13">
        <v>1</v>
      </c>
      <c r="M14" s="1">
        <v>3</v>
      </c>
      <c r="N14" s="1">
        <v>122</v>
      </c>
      <c r="O14" s="13">
        <v>123</v>
      </c>
      <c r="S14" t="s">
        <v>73</v>
      </c>
      <c r="X14" s="8">
        <v>2</v>
      </c>
    </row>
    <row r="15" spans="1:25" x14ac:dyDescent="0.35">
      <c r="J15" s="13">
        <v>121</v>
      </c>
      <c r="K15" s="13">
        <v>1</v>
      </c>
      <c r="M15" s="1">
        <v>3</v>
      </c>
      <c r="N15" s="1">
        <v>122</v>
      </c>
      <c r="O15" s="13">
        <v>123</v>
      </c>
      <c r="X15" s="8">
        <v>2</v>
      </c>
    </row>
    <row r="16" spans="1:25" x14ac:dyDescent="0.35">
      <c r="J16" s="13">
        <v>121</v>
      </c>
      <c r="K16" s="13">
        <v>1</v>
      </c>
      <c r="M16" s="1">
        <v>3</v>
      </c>
      <c r="N16" s="1">
        <v>122</v>
      </c>
      <c r="O16" s="13">
        <v>123</v>
      </c>
      <c r="X16" s="8">
        <v>2</v>
      </c>
    </row>
    <row r="17" spans="10:24" x14ac:dyDescent="0.35">
      <c r="J17" s="13">
        <v>121</v>
      </c>
      <c r="K17" s="13">
        <v>1</v>
      </c>
      <c r="M17" s="1">
        <v>3</v>
      </c>
      <c r="N17" s="1">
        <v>122</v>
      </c>
      <c r="O17" s="13">
        <v>123</v>
      </c>
      <c r="X17" s="8">
        <v>2</v>
      </c>
    </row>
    <row r="22" spans="10:24" x14ac:dyDescent="0.35">
      <c r="J22" s="13">
        <v>131</v>
      </c>
      <c r="K22" s="13">
        <v>1</v>
      </c>
      <c r="M22" s="1">
        <v>3</v>
      </c>
      <c r="N22" s="1">
        <v>132</v>
      </c>
      <c r="O22" s="13">
        <v>133</v>
      </c>
      <c r="S22" t="s">
        <v>74</v>
      </c>
      <c r="X22" s="8">
        <v>3</v>
      </c>
    </row>
    <row r="23" spans="10:24" x14ac:dyDescent="0.35">
      <c r="J23" s="13">
        <v>131</v>
      </c>
      <c r="K23" s="13">
        <v>1</v>
      </c>
      <c r="M23" s="1">
        <v>3</v>
      </c>
      <c r="N23" s="1">
        <v>132</v>
      </c>
      <c r="O23" s="13">
        <v>133</v>
      </c>
      <c r="X23" s="8">
        <v>3</v>
      </c>
    </row>
    <row r="24" spans="10:24" x14ac:dyDescent="0.35">
      <c r="J24" s="13">
        <v>131</v>
      </c>
      <c r="K24" s="13">
        <v>1</v>
      </c>
      <c r="M24" s="1">
        <v>3</v>
      </c>
      <c r="N24" s="1">
        <v>132</v>
      </c>
      <c r="O24" s="13">
        <v>133</v>
      </c>
      <c r="X24" s="8">
        <v>3</v>
      </c>
    </row>
    <row r="25" spans="10:24" x14ac:dyDescent="0.35">
      <c r="J25" s="13">
        <v>131</v>
      </c>
      <c r="K25" s="13">
        <v>1</v>
      </c>
      <c r="M25" s="1">
        <v>3</v>
      </c>
      <c r="N25" s="1">
        <v>132</v>
      </c>
      <c r="O25" s="13">
        <v>133</v>
      </c>
      <c r="X25" s="8">
        <v>3</v>
      </c>
    </row>
    <row r="30" spans="10:24" x14ac:dyDescent="0.35">
      <c r="J30" s="13">
        <v>141</v>
      </c>
      <c r="K30" s="13">
        <v>1</v>
      </c>
      <c r="M30" s="1">
        <v>3</v>
      </c>
      <c r="N30" s="1">
        <v>142</v>
      </c>
      <c r="O30" s="13">
        <v>143</v>
      </c>
      <c r="S30" t="s">
        <v>75</v>
      </c>
      <c r="X30" s="8">
        <v>4</v>
      </c>
    </row>
    <row r="31" spans="10:24" x14ac:dyDescent="0.35">
      <c r="J31" s="13">
        <v>141</v>
      </c>
      <c r="K31" s="13">
        <v>1</v>
      </c>
      <c r="M31" s="1">
        <v>3</v>
      </c>
      <c r="N31" s="1">
        <v>142</v>
      </c>
      <c r="O31" s="13">
        <v>143</v>
      </c>
      <c r="X31" s="8">
        <v>4</v>
      </c>
    </row>
    <row r="32" spans="10:24" x14ac:dyDescent="0.35">
      <c r="J32" s="13">
        <v>141</v>
      </c>
      <c r="K32" s="13">
        <v>1</v>
      </c>
      <c r="M32" s="1">
        <v>3</v>
      </c>
      <c r="N32" s="1">
        <v>142</v>
      </c>
      <c r="O32" s="13">
        <v>143</v>
      </c>
      <c r="X32" s="8">
        <v>4</v>
      </c>
    </row>
    <row r="33" spans="10:24" x14ac:dyDescent="0.35">
      <c r="J33" s="13">
        <v>141</v>
      </c>
      <c r="K33" s="13">
        <v>1</v>
      </c>
      <c r="M33" s="1">
        <v>3</v>
      </c>
      <c r="N33" s="1">
        <v>142</v>
      </c>
      <c r="O33" s="13">
        <v>143</v>
      </c>
      <c r="X33" s="8">
        <v>4</v>
      </c>
    </row>
    <row r="38" spans="10:24" x14ac:dyDescent="0.35">
      <c r="J38" s="13">
        <v>151</v>
      </c>
      <c r="K38" s="13">
        <v>1</v>
      </c>
      <c r="M38" s="1">
        <v>3</v>
      </c>
      <c r="N38" s="1">
        <v>152</v>
      </c>
      <c r="O38" s="13">
        <v>153</v>
      </c>
      <c r="S38" t="s">
        <v>76</v>
      </c>
      <c r="X38" s="8">
        <v>5</v>
      </c>
    </row>
    <row r="39" spans="10:24" x14ac:dyDescent="0.35">
      <c r="J39" s="13">
        <v>151</v>
      </c>
      <c r="K39" s="13">
        <v>1</v>
      </c>
      <c r="M39" s="1">
        <v>3</v>
      </c>
      <c r="N39" s="1">
        <v>152</v>
      </c>
      <c r="O39" s="13">
        <v>153</v>
      </c>
      <c r="X39" s="8">
        <v>5</v>
      </c>
    </row>
    <row r="40" spans="10:24" x14ac:dyDescent="0.35">
      <c r="J40" s="13">
        <v>151</v>
      </c>
      <c r="K40" s="13">
        <v>1</v>
      </c>
      <c r="M40" s="1">
        <v>3</v>
      </c>
      <c r="N40" s="1">
        <v>152</v>
      </c>
      <c r="O40" s="13">
        <v>153</v>
      </c>
      <c r="X40" s="8">
        <v>5</v>
      </c>
    </row>
    <row r="41" spans="10:24" x14ac:dyDescent="0.35">
      <c r="J41" s="13">
        <v>151</v>
      </c>
      <c r="K41" s="13">
        <v>1</v>
      </c>
      <c r="M41" s="1">
        <v>3</v>
      </c>
      <c r="N41" s="1">
        <v>152</v>
      </c>
      <c r="O41" s="13">
        <v>153</v>
      </c>
      <c r="X41" s="8">
        <v>5</v>
      </c>
    </row>
    <row r="46" spans="10:24" x14ac:dyDescent="0.35">
      <c r="J46" s="13">
        <v>211</v>
      </c>
      <c r="K46" s="13">
        <v>1</v>
      </c>
      <c r="M46" s="1">
        <v>3</v>
      </c>
      <c r="N46" s="1">
        <v>212</v>
      </c>
      <c r="O46" s="13">
        <v>213</v>
      </c>
      <c r="S46" t="s">
        <v>77</v>
      </c>
      <c r="X46" s="8">
        <v>1</v>
      </c>
    </row>
    <row r="47" spans="10:24" x14ac:dyDescent="0.35">
      <c r="J47" s="13">
        <v>211</v>
      </c>
      <c r="K47" s="13">
        <v>1</v>
      </c>
      <c r="M47" s="1">
        <v>3</v>
      </c>
      <c r="N47" s="1">
        <v>212</v>
      </c>
      <c r="O47" s="13">
        <v>213</v>
      </c>
      <c r="X47" s="8">
        <v>1</v>
      </c>
    </row>
    <row r="48" spans="10:24" x14ac:dyDescent="0.35">
      <c r="J48" s="13">
        <v>211</v>
      </c>
      <c r="K48" s="13">
        <v>1</v>
      </c>
      <c r="M48" s="1">
        <v>3</v>
      </c>
      <c r="N48" s="1">
        <v>212</v>
      </c>
      <c r="O48" s="13">
        <v>213</v>
      </c>
      <c r="X48" s="8">
        <v>1</v>
      </c>
    </row>
    <row r="49" spans="10:24" x14ac:dyDescent="0.35">
      <c r="J49" s="13">
        <v>211</v>
      </c>
      <c r="K49" s="13">
        <v>1</v>
      </c>
      <c r="M49" s="1">
        <v>3</v>
      </c>
      <c r="N49" s="1">
        <v>212</v>
      </c>
      <c r="O49" s="13">
        <v>213</v>
      </c>
      <c r="X49" s="8">
        <v>1</v>
      </c>
    </row>
    <row r="54" spans="10:24" x14ac:dyDescent="0.35">
      <c r="J54" s="13">
        <v>221</v>
      </c>
      <c r="K54" s="13">
        <v>1</v>
      </c>
      <c r="M54" s="1">
        <v>3</v>
      </c>
      <c r="N54" s="1">
        <v>222</v>
      </c>
      <c r="O54" s="13">
        <v>223</v>
      </c>
      <c r="S54" t="s">
        <v>78</v>
      </c>
      <c r="X54" s="8">
        <v>2</v>
      </c>
    </row>
    <row r="55" spans="10:24" x14ac:dyDescent="0.35">
      <c r="J55" s="13">
        <v>221</v>
      </c>
      <c r="K55" s="13">
        <v>1</v>
      </c>
      <c r="M55" s="1">
        <v>3</v>
      </c>
      <c r="N55" s="1">
        <v>222</v>
      </c>
      <c r="O55" s="13">
        <v>223</v>
      </c>
      <c r="X55" s="8">
        <v>2</v>
      </c>
    </row>
    <row r="56" spans="10:24" x14ac:dyDescent="0.35">
      <c r="J56" s="13">
        <v>221</v>
      </c>
      <c r="K56" s="13">
        <v>1</v>
      </c>
      <c r="M56" s="1">
        <v>3</v>
      </c>
      <c r="N56" s="1">
        <v>222</v>
      </c>
      <c r="O56" s="13">
        <v>223</v>
      </c>
      <c r="X56" s="8">
        <v>2</v>
      </c>
    </row>
    <row r="57" spans="10:24" x14ac:dyDescent="0.35">
      <c r="J57" s="13">
        <v>221</v>
      </c>
      <c r="K57" s="13">
        <v>1</v>
      </c>
      <c r="M57" s="1">
        <v>3</v>
      </c>
      <c r="N57" s="1">
        <v>222</v>
      </c>
      <c r="O57" s="13">
        <v>223</v>
      </c>
      <c r="X57" s="8">
        <v>2</v>
      </c>
    </row>
    <row r="62" spans="10:24" x14ac:dyDescent="0.35">
      <c r="J62" s="13">
        <v>231</v>
      </c>
      <c r="K62" s="13">
        <v>1</v>
      </c>
      <c r="M62" s="1">
        <v>3</v>
      </c>
      <c r="N62" s="1">
        <v>232</v>
      </c>
      <c r="O62" s="13">
        <v>233</v>
      </c>
      <c r="S62" t="s">
        <v>79</v>
      </c>
      <c r="X62" s="8">
        <v>3</v>
      </c>
    </row>
    <row r="63" spans="10:24" x14ac:dyDescent="0.35">
      <c r="J63" s="13">
        <v>231</v>
      </c>
      <c r="K63" s="13">
        <v>1</v>
      </c>
      <c r="M63" s="1">
        <v>3</v>
      </c>
      <c r="N63" s="1">
        <v>232</v>
      </c>
      <c r="O63" s="13">
        <v>233</v>
      </c>
      <c r="X63" s="8">
        <v>3</v>
      </c>
    </row>
    <row r="64" spans="10:24" x14ac:dyDescent="0.35">
      <c r="J64" s="13">
        <v>231</v>
      </c>
      <c r="K64" s="13">
        <v>1</v>
      </c>
      <c r="M64" s="1">
        <v>3</v>
      </c>
      <c r="N64" s="1">
        <v>232</v>
      </c>
      <c r="O64" s="13">
        <v>233</v>
      </c>
      <c r="X64" s="8">
        <v>3</v>
      </c>
    </row>
    <row r="65" spans="10:24" x14ac:dyDescent="0.35">
      <c r="J65" s="13">
        <v>231</v>
      </c>
      <c r="K65" s="13">
        <v>1</v>
      </c>
      <c r="M65" s="1">
        <v>3</v>
      </c>
      <c r="N65" s="1">
        <v>232</v>
      </c>
      <c r="O65" s="13">
        <v>233</v>
      </c>
      <c r="X65" s="8">
        <v>3</v>
      </c>
    </row>
    <row r="70" spans="10:24" x14ac:dyDescent="0.35">
      <c r="J70" s="13">
        <v>241</v>
      </c>
      <c r="K70" s="13">
        <v>1</v>
      </c>
      <c r="M70" s="1">
        <v>3</v>
      </c>
      <c r="N70" s="1">
        <v>242</v>
      </c>
      <c r="O70" s="13">
        <v>243</v>
      </c>
      <c r="S70" t="s">
        <v>80</v>
      </c>
      <c r="X70" s="8">
        <v>4</v>
      </c>
    </row>
    <row r="71" spans="10:24" x14ac:dyDescent="0.35">
      <c r="J71" s="13">
        <v>241</v>
      </c>
      <c r="K71" s="13">
        <v>1</v>
      </c>
      <c r="M71" s="1">
        <v>3</v>
      </c>
      <c r="N71" s="1">
        <v>242</v>
      </c>
      <c r="O71" s="13">
        <v>243</v>
      </c>
      <c r="X71" s="8">
        <v>4</v>
      </c>
    </row>
    <row r="72" spans="10:24" x14ac:dyDescent="0.35">
      <c r="J72" s="13">
        <v>241</v>
      </c>
      <c r="K72" s="13">
        <v>1</v>
      </c>
      <c r="M72" s="1">
        <v>3</v>
      </c>
      <c r="N72" s="1">
        <v>242</v>
      </c>
      <c r="O72" s="13">
        <v>243</v>
      </c>
      <c r="X72" s="8">
        <v>4</v>
      </c>
    </row>
    <row r="73" spans="10:24" x14ac:dyDescent="0.35">
      <c r="J73" s="13">
        <v>241</v>
      </c>
      <c r="K73" s="13">
        <v>1</v>
      </c>
      <c r="M73" s="1">
        <v>3</v>
      </c>
      <c r="N73" s="1">
        <v>242</v>
      </c>
      <c r="O73" s="13">
        <v>243</v>
      </c>
      <c r="X73" s="8">
        <v>4</v>
      </c>
    </row>
    <row r="78" spans="10:24" x14ac:dyDescent="0.35">
      <c r="J78" s="13">
        <v>251</v>
      </c>
      <c r="K78" s="13">
        <v>1</v>
      </c>
      <c r="M78" s="1">
        <v>3</v>
      </c>
      <c r="N78" s="1">
        <v>252</v>
      </c>
      <c r="O78" s="13">
        <v>253</v>
      </c>
      <c r="S78" t="s">
        <v>81</v>
      </c>
      <c r="X78" s="8">
        <v>5</v>
      </c>
    </row>
    <row r="79" spans="10:24" x14ac:dyDescent="0.35">
      <c r="J79" s="13">
        <v>251</v>
      </c>
      <c r="K79" s="13">
        <v>1</v>
      </c>
      <c r="M79" s="1">
        <v>3</v>
      </c>
      <c r="N79" s="1">
        <v>252</v>
      </c>
      <c r="O79" s="13">
        <v>253</v>
      </c>
      <c r="X79" s="8">
        <v>5</v>
      </c>
    </row>
    <row r="80" spans="10:24" x14ac:dyDescent="0.35">
      <c r="J80" s="13">
        <v>251</v>
      </c>
      <c r="K80" s="13">
        <v>1</v>
      </c>
      <c r="M80" s="1">
        <v>3</v>
      </c>
      <c r="N80" s="1">
        <v>252</v>
      </c>
      <c r="O80" s="13">
        <v>253</v>
      </c>
      <c r="X80" s="8">
        <v>5</v>
      </c>
    </row>
    <row r="81" spans="10:24" x14ac:dyDescent="0.35">
      <c r="J81" s="13">
        <v>251</v>
      </c>
      <c r="K81" s="13">
        <v>1</v>
      </c>
      <c r="M81" s="1">
        <v>3</v>
      </c>
      <c r="N81" s="1">
        <v>252</v>
      </c>
      <c r="O81" s="13">
        <v>253</v>
      </c>
      <c r="X81" s="8">
        <v>5</v>
      </c>
    </row>
    <row r="86" spans="10:24" x14ac:dyDescent="0.35">
      <c r="J86" s="13">
        <v>311</v>
      </c>
      <c r="K86" s="13">
        <v>1</v>
      </c>
      <c r="M86" s="1">
        <v>3</v>
      </c>
      <c r="N86" s="1">
        <v>312</v>
      </c>
      <c r="O86" s="13">
        <v>313</v>
      </c>
      <c r="S86" t="s">
        <v>82</v>
      </c>
      <c r="X86" s="8">
        <v>1</v>
      </c>
    </row>
    <row r="87" spans="10:24" x14ac:dyDescent="0.35">
      <c r="J87" s="13">
        <v>311</v>
      </c>
      <c r="K87" s="13">
        <v>1</v>
      </c>
      <c r="M87" s="1">
        <v>3</v>
      </c>
      <c r="N87" s="1">
        <v>312</v>
      </c>
      <c r="O87" s="13">
        <v>313</v>
      </c>
      <c r="X87" s="8">
        <v>1</v>
      </c>
    </row>
    <row r="88" spans="10:24" x14ac:dyDescent="0.35">
      <c r="J88" s="13">
        <v>311</v>
      </c>
      <c r="K88" s="13">
        <v>1</v>
      </c>
      <c r="M88" s="1">
        <v>3</v>
      </c>
      <c r="N88" s="1">
        <v>312</v>
      </c>
      <c r="O88" s="13">
        <v>313</v>
      </c>
      <c r="X88" s="8">
        <v>1</v>
      </c>
    </row>
    <row r="89" spans="10:24" x14ac:dyDescent="0.35">
      <c r="J89" s="13">
        <v>311</v>
      </c>
      <c r="K89" s="13">
        <v>1</v>
      </c>
      <c r="M89" s="1">
        <v>3</v>
      </c>
      <c r="N89" s="1">
        <v>312</v>
      </c>
      <c r="O89" s="13">
        <v>313</v>
      </c>
      <c r="X89" s="8">
        <v>1</v>
      </c>
    </row>
    <row r="94" spans="10:24" x14ac:dyDescent="0.35">
      <c r="J94" s="13">
        <v>321</v>
      </c>
      <c r="K94" s="13">
        <v>1</v>
      </c>
      <c r="M94" s="1">
        <v>3</v>
      </c>
      <c r="N94" s="1">
        <v>322</v>
      </c>
      <c r="O94" s="13">
        <v>323</v>
      </c>
      <c r="S94" t="s">
        <v>83</v>
      </c>
      <c r="X94" s="8">
        <v>2</v>
      </c>
    </row>
    <row r="95" spans="10:24" x14ac:dyDescent="0.35">
      <c r="J95" s="13">
        <v>321</v>
      </c>
      <c r="K95" s="13">
        <v>1</v>
      </c>
      <c r="M95" s="1">
        <v>3</v>
      </c>
      <c r="N95" s="1">
        <v>322</v>
      </c>
      <c r="O95" s="13">
        <v>323</v>
      </c>
      <c r="X95" s="8">
        <v>2</v>
      </c>
    </row>
    <row r="96" spans="10:24" x14ac:dyDescent="0.35">
      <c r="J96" s="13">
        <v>321</v>
      </c>
      <c r="K96" s="13">
        <v>1</v>
      </c>
      <c r="M96" s="1">
        <v>3</v>
      </c>
      <c r="N96" s="1">
        <v>322</v>
      </c>
      <c r="O96" s="13">
        <v>323</v>
      </c>
      <c r="X96" s="8">
        <v>2</v>
      </c>
    </row>
    <row r="97" spans="10:24" x14ac:dyDescent="0.35">
      <c r="J97" s="13">
        <v>321</v>
      </c>
      <c r="K97" s="13">
        <v>1</v>
      </c>
      <c r="M97" s="1">
        <v>3</v>
      </c>
      <c r="N97" s="1">
        <v>322</v>
      </c>
      <c r="O97" s="13">
        <v>323</v>
      </c>
      <c r="X97" s="8">
        <v>2</v>
      </c>
    </row>
    <row r="102" spans="10:24" x14ac:dyDescent="0.35">
      <c r="J102" s="13">
        <v>331</v>
      </c>
      <c r="K102" s="13">
        <v>1</v>
      </c>
      <c r="M102" s="1">
        <v>3</v>
      </c>
      <c r="N102" s="1">
        <v>332</v>
      </c>
      <c r="O102" s="13">
        <v>333</v>
      </c>
      <c r="S102" t="s">
        <v>84</v>
      </c>
      <c r="X102" s="8">
        <v>3</v>
      </c>
    </row>
    <row r="103" spans="10:24" x14ac:dyDescent="0.35">
      <c r="J103" s="13">
        <v>331</v>
      </c>
      <c r="K103" s="13">
        <v>1</v>
      </c>
      <c r="M103" s="1">
        <v>3</v>
      </c>
      <c r="N103" s="1">
        <v>332</v>
      </c>
      <c r="O103" s="13">
        <v>333</v>
      </c>
      <c r="X103" s="8">
        <v>3</v>
      </c>
    </row>
    <row r="104" spans="10:24" x14ac:dyDescent="0.35">
      <c r="J104" s="13">
        <v>331</v>
      </c>
      <c r="K104" s="13">
        <v>1</v>
      </c>
      <c r="M104" s="1">
        <v>3</v>
      </c>
      <c r="N104" s="1">
        <v>332</v>
      </c>
      <c r="O104" s="13">
        <v>333</v>
      </c>
      <c r="X104" s="8">
        <v>3</v>
      </c>
    </row>
    <row r="105" spans="10:24" x14ac:dyDescent="0.35">
      <c r="J105" s="13">
        <v>331</v>
      </c>
      <c r="K105" s="13">
        <v>1</v>
      </c>
      <c r="M105" s="1">
        <v>3</v>
      </c>
      <c r="N105" s="1">
        <v>332</v>
      </c>
      <c r="O105" s="13">
        <v>333</v>
      </c>
      <c r="X105" s="8">
        <v>3</v>
      </c>
    </row>
    <row r="110" spans="10:24" x14ac:dyDescent="0.35">
      <c r="J110" s="13">
        <v>341</v>
      </c>
      <c r="K110" s="13">
        <v>1</v>
      </c>
      <c r="M110" s="1">
        <v>3</v>
      </c>
      <c r="N110" s="1">
        <v>342</v>
      </c>
      <c r="O110" s="13">
        <v>343</v>
      </c>
      <c r="S110" t="s">
        <v>85</v>
      </c>
      <c r="X110" s="8">
        <v>4</v>
      </c>
    </row>
    <row r="111" spans="10:24" x14ac:dyDescent="0.35">
      <c r="J111" s="13">
        <v>341</v>
      </c>
      <c r="K111" s="13">
        <v>1</v>
      </c>
      <c r="M111" s="1">
        <v>3</v>
      </c>
      <c r="N111" s="1">
        <v>342</v>
      </c>
      <c r="O111" s="13">
        <v>343</v>
      </c>
      <c r="X111" s="8">
        <v>4</v>
      </c>
    </row>
    <row r="112" spans="10:24" x14ac:dyDescent="0.35">
      <c r="J112" s="13">
        <v>341</v>
      </c>
      <c r="K112" s="13">
        <v>1</v>
      </c>
      <c r="M112" s="1">
        <v>3</v>
      </c>
      <c r="N112" s="1">
        <v>342</v>
      </c>
      <c r="O112" s="13">
        <v>343</v>
      </c>
      <c r="X112" s="8">
        <v>4</v>
      </c>
    </row>
    <row r="113" spans="10:24" x14ac:dyDescent="0.35">
      <c r="J113" s="13">
        <v>341</v>
      </c>
      <c r="K113" s="13">
        <v>1</v>
      </c>
      <c r="M113" s="1">
        <v>3</v>
      </c>
      <c r="N113" s="1">
        <v>342</v>
      </c>
      <c r="O113" s="13">
        <v>343</v>
      </c>
      <c r="X113" s="8">
        <v>4</v>
      </c>
    </row>
    <row r="118" spans="10:24" x14ac:dyDescent="0.35">
      <c r="J118" s="13">
        <v>351</v>
      </c>
      <c r="K118" s="13">
        <v>1</v>
      </c>
      <c r="M118" s="1">
        <v>3</v>
      </c>
      <c r="N118" s="1">
        <v>352</v>
      </c>
      <c r="O118" s="13">
        <v>353</v>
      </c>
      <c r="S118" t="s">
        <v>86</v>
      </c>
      <c r="X118" s="8">
        <v>5</v>
      </c>
    </row>
    <row r="119" spans="10:24" x14ac:dyDescent="0.35">
      <c r="J119" s="13">
        <v>351</v>
      </c>
      <c r="K119" s="13">
        <v>1</v>
      </c>
      <c r="M119" s="1">
        <v>3</v>
      </c>
      <c r="N119" s="1">
        <v>352</v>
      </c>
      <c r="O119" s="13">
        <v>353</v>
      </c>
      <c r="X119" s="8">
        <v>5</v>
      </c>
    </row>
    <row r="120" spans="10:24" x14ac:dyDescent="0.35">
      <c r="J120" s="13">
        <v>351</v>
      </c>
      <c r="K120" s="13">
        <v>1</v>
      </c>
      <c r="M120" s="1">
        <v>3</v>
      </c>
      <c r="N120" s="1">
        <v>352</v>
      </c>
      <c r="O120" s="13">
        <v>353</v>
      </c>
      <c r="X120" s="8">
        <v>5</v>
      </c>
    </row>
    <row r="121" spans="10:24" x14ac:dyDescent="0.35">
      <c r="J121" s="13">
        <v>351</v>
      </c>
      <c r="K121" s="13">
        <v>1</v>
      </c>
      <c r="M121" s="1">
        <v>3</v>
      </c>
      <c r="N121" s="1">
        <v>352</v>
      </c>
      <c r="O121" s="13">
        <v>353</v>
      </c>
      <c r="X121" s="8">
        <v>5</v>
      </c>
    </row>
  </sheetData>
  <mergeCells count="4">
    <mergeCell ref="A2:V2"/>
    <mergeCell ref="B6:B9"/>
    <mergeCell ref="C6:C9"/>
    <mergeCell ref="A6:A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N9"/>
  <sheetViews>
    <sheetView workbookViewId="0"/>
  </sheetViews>
  <sheetFormatPr defaultRowHeight="14.5" x14ac:dyDescent="0.35"/>
  <cols>
    <col min="1" max="14" width="14" customWidth="1"/>
  </cols>
  <sheetData>
    <row r="2" spans="1:14" x14ac:dyDescent="0.35">
      <c r="A2" s="42" t="s">
        <v>87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5" spans="1:14" ht="87" x14ac:dyDescent="0.35">
      <c r="A5" s="2" t="s">
        <v>1</v>
      </c>
      <c r="B5" s="2" t="s">
        <v>2</v>
      </c>
      <c r="C5" s="2" t="s">
        <v>3</v>
      </c>
      <c r="D5" s="2" t="s">
        <v>60</v>
      </c>
      <c r="E5" s="2" t="s">
        <v>88</v>
      </c>
      <c r="F5" s="2" t="s">
        <v>89</v>
      </c>
      <c r="G5" s="2" t="s">
        <v>48</v>
      </c>
      <c r="H5" s="2" t="s">
        <v>90</v>
      </c>
      <c r="I5" s="2" t="s">
        <v>91</v>
      </c>
      <c r="J5" s="2" t="s">
        <v>92</v>
      </c>
      <c r="K5" s="2" t="s">
        <v>70</v>
      </c>
      <c r="L5" s="2" t="s">
        <v>93</v>
      </c>
      <c r="M5" s="2" t="s">
        <v>94</v>
      </c>
      <c r="N5" s="2" t="s">
        <v>50</v>
      </c>
    </row>
    <row r="6" spans="1:14" x14ac:dyDescent="0.35">
      <c r="A6" s="38" t="s">
        <v>35</v>
      </c>
      <c r="B6" s="38">
        <v>5</v>
      </c>
      <c r="C6" s="38" t="s">
        <v>36</v>
      </c>
    </row>
    <row r="7" spans="1:14" x14ac:dyDescent="0.35">
      <c r="A7" s="39"/>
      <c r="B7" s="39"/>
      <c r="C7" s="39"/>
    </row>
    <row r="8" spans="1:14" x14ac:dyDescent="0.35">
      <c r="A8" s="39"/>
      <c r="B8" s="39"/>
      <c r="C8" s="39"/>
    </row>
    <row r="9" spans="1:14" x14ac:dyDescent="0.35">
      <c r="A9" s="40"/>
      <c r="B9" s="40"/>
      <c r="C9" s="40"/>
    </row>
  </sheetData>
  <mergeCells count="4">
    <mergeCell ref="B6:B9"/>
    <mergeCell ref="C6:C9"/>
    <mergeCell ref="A2:N2"/>
    <mergeCell ref="A6:A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P8"/>
  <sheetViews>
    <sheetView workbookViewId="0"/>
  </sheetViews>
  <sheetFormatPr defaultRowHeight="14.5" x14ac:dyDescent="0.35"/>
  <cols>
    <col min="1" max="16" width="14" customWidth="1"/>
  </cols>
  <sheetData>
    <row r="2" spans="1:16" x14ac:dyDescent="0.35">
      <c r="A2" s="42" t="s">
        <v>95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</row>
    <row r="5" spans="1:16" ht="58" x14ac:dyDescent="0.35">
      <c r="A5" s="2" t="s">
        <v>1</v>
      </c>
      <c r="B5" s="2" t="s">
        <v>2</v>
      </c>
      <c r="C5" s="2" t="s">
        <v>3</v>
      </c>
      <c r="D5" s="2" t="s">
        <v>96</v>
      </c>
      <c r="E5" s="2" t="s">
        <v>97</v>
      </c>
      <c r="F5" s="2" t="s">
        <v>98</v>
      </c>
      <c r="G5" s="2" t="s">
        <v>99</v>
      </c>
      <c r="H5" s="2" t="s">
        <v>100</v>
      </c>
      <c r="I5" s="2" t="s">
        <v>101</v>
      </c>
      <c r="J5" s="2" t="s">
        <v>102</v>
      </c>
      <c r="K5" s="2" t="s">
        <v>103</v>
      </c>
      <c r="L5" s="2" t="s">
        <v>104</v>
      </c>
      <c r="M5" s="2" t="s">
        <v>105</v>
      </c>
      <c r="N5" s="2" t="s">
        <v>94</v>
      </c>
      <c r="O5" s="2" t="s">
        <v>106</v>
      </c>
      <c r="P5" s="2" t="s">
        <v>50</v>
      </c>
    </row>
    <row r="6" spans="1:16" ht="25" customHeight="1" x14ac:dyDescent="0.35">
      <c r="A6" s="47" t="s">
        <v>35</v>
      </c>
      <c r="B6" s="47">
        <v>5</v>
      </c>
      <c r="C6" s="46" t="s">
        <v>36</v>
      </c>
      <c r="D6" s="25"/>
      <c r="E6" s="26"/>
      <c r="F6" s="26"/>
      <c r="G6" s="26"/>
      <c r="H6" s="26"/>
      <c r="I6" s="26"/>
      <c r="J6" s="26"/>
      <c r="K6" s="26"/>
      <c r="L6" s="43"/>
      <c r="M6" s="43"/>
      <c r="N6" s="46"/>
      <c r="O6" s="46">
        <v>3</v>
      </c>
      <c r="P6" s="27" t="s">
        <v>107</v>
      </c>
    </row>
    <row r="7" spans="1:16" ht="25" customHeight="1" x14ac:dyDescent="0.35">
      <c r="A7" s="44"/>
      <c r="B7" s="44"/>
      <c r="C7" s="44"/>
      <c r="D7" s="25"/>
      <c r="E7" s="26"/>
      <c r="F7" s="26"/>
      <c r="G7" s="26"/>
      <c r="H7" s="26"/>
      <c r="I7" s="26"/>
      <c r="J7" s="26"/>
      <c r="K7" s="26"/>
      <c r="L7" s="44"/>
      <c r="M7" s="44"/>
      <c r="N7" s="44"/>
      <c r="O7" s="44"/>
      <c r="P7" s="27" t="s">
        <v>108</v>
      </c>
    </row>
    <row r="8" spans="1:16" ht="25" customHeight="1" x14ac:dyDescent="0.35">
      <c r="A8" s="45"/>
      <c r="B8" s="45"/>
      <c r="C8" s="45"/>
      <c r="D8" s="25"/>
      <c r="E8" s="26"/>
      <c r="F8" s="26"/>
      <c r="G8" s="26"/>
      <c r="H8" s="26"/>
      <c r="I8" s="26"/>
      <c r="J8" s="26"/>
      <c r="K8" s="26"/>
      <c r="L8" s="45"/>
      <c r="M8" s="45"/>
      <c r="N8" s="45"/>
      <c r="O8" s="45"/>
      <c r="P8" s="27" t="s">
        <v>109</v>
      </c>
    </row>
  </sheetData>
  <mergeCells count="8">
    <mergeCell ref="O6:O8"/>
    <mergeCell ref="B6:B8"/>
    <mergeCell ref="A2:P2"/>
    <mergeCell ref="M6:M8"/>
    <mergeCell ref="L6:L8"/>
    <mergeCell ref="N6:N8"/>
    <mergeCell ref="C6:C8"/>
    <mergeCell ref="A6:A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16"/>
  <sheetViews>
    <sheetView workbookViewId="0"/>
  </sheetViews>
  <sheetFormatPr defaultRowHeight="14.5" x14ac:dyDescent="0.35"/>
  <cols>
    <col min="1" max="14" width="16" customWidth="1"/>
    <col min="15" max="15" width="38" customWidth="1"/>
  </cols>
  <sheetData>
    <row r="2" spans="1:15" x14ac:dyDescent="0.35">
      <c r="A2" s="42" t="s">
        <v>110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4" spans="1:15" ht="60" customHeight="1" x14ac:dyDescent="0.35">
      <c r="A4" s="38" t="s">
        <v>2</v>
      </c>
      <c r="B4" s="38" t="s">
        <v>3</v>
      </c>
      <c r="C4" s="38" t="s">
        <v>111</v>
      </c>
      <c r="D4" s="38" t="s">
        <v>112</v>
      </c>
      <c r="E4" s="38" t="s">
        <v>113</v>
      </c>
      <c r="F4" s="36"/>
      <c r="G4" s="37"/>
      <c r="H4" s="38" t="s">
        <v>114</v>
      </c>
      <c r="I4" s="38" t="s">
        <v>115</v>
      </c>
      <c r="J4" s="38" t="s">
        <v>116</v>
      </c>
      <c r="K4" s="36"/>
      <c r="L4" s="37"/>
      <c r="M4" s="38" t="s">
        <v>117</v>
      </c>
      <c r="N4" s="38" t="s">
        <v>114</v>
      </c>
      <c r="O4" s="38" t="s">
        <v>50</v>
      </c>
    </row>
    <row r="5" spans="1:15" x14ac:dyDescent="0.35">
      <c r="A5" s="40"/>
      <c r="B5" s="40"/>
      <c r="C5" s="40"/>
      <c r="D5" s="40"/>
      <c r="E5" s="6" t="s">
        <v>118</v>
      </c>
      <c r="F5" s="6" t="s">
        <v>119</v>
      </c>
      <c r="G5" s="6" t="s">
        <v>120</v>
      </c>
      <c r="H5" s="40"/>
      <c r="I5" s="40"/>
      <c r="J5" s="6" t="s">
        <v>118</v>
      </c>
      <c r="K5" s="6" t="s">
        <v>119</v>
      </c>
      <c r="L5" s="6" t="s">
        <v>120</v>
      </c>
      <c r="M5" s="40"/>
      <c r="N5" s="40"/>
      <c r="O5" s="40"/>
    </row>
    <row r="6" spans="1:15" x14ac:dyDescent="0.35">
      <c r="A6" s="48">
        <v>5</v>
      </c>
      <c r="B6" s="48" t="s">
        <v>36</v>
      </c>
      <c r="C6" s="24">
        <v>1</v>
      </c>
      <c r="D6" s="28"/>
      <c r="E6" s="19"/>
      <c r="F6" s="19"/>
      <c r="G6" s="19"/>
      <c r="H6" s="28"/>
      <c r="I6" s="28"/>
      <c r="J6" s="19"/>
      <c r="K6" s="19"/>
      <c r="L6" s="19"/>
      <c r="M6" s="18"/>
      <c r="N6" s="28"/>
      <c r="O6" s="29" t="s">
        <v>121</v>
      </c>
    </row>
    <row r="7" spans="1:15" x14ac:dyDescent="0.35">
      <c r="A7" s="49"/>
      <c r="B7" s="49"/>
      <c r="C7" s="24">
        <v>2</v>
      </c>
      <c r="D7" s="30"/>
      <c r="E7" s="19"/>
      <c r="F7" s="19"/>
      <c r="G7" s="19"/>
      <c r="H7" s="30"/>
      <c r="I7" s="30"/>
      <c r="J7" s="19"/>
      <c r="K7" s="19"/>
      <c r="L7" s="19"/>
      <c r="M7" s="18"/>
      <c r="N7" s="30"/>
      <c r="O7" s="7"/>
    </row>
    <row r="8" spans="1:15" x14ac:dyDescent="0.35">
      <c r="A8" s="49"/>
      <c r="B8" s="49"/>
      <c r="C8" s="24">
        <v>3</v>
      </c>
      <c r="D8" s="30"/>
      <c r="E8" s="19"/>
      <c r="F8" s="19"/>
      <c r="G8" s="19"/>
      <c r="H8" s="30"/>
      <c r="I8" s="30"/>
      <c r="J8" s="19"/>
      <c r="K8" s="19"/>
      <c r="L8" s="19"/>
      <c r="M8" s="18"/>
      <c r="N8" s="30"/>
      <c r="O8" s="7"/>
    </row>
    <row r="9" spans="1:15" x14ac:dyDescent="0.35">
      <c r="A9" s="49"/>
      <c r="B9" s="49"/>
      <c r="C9" s="24" t="s">
        <v>119</v>
      </c>
      <c r="D9" s="30"/>
      <c r="E9" s="19"/>
      <c r="F9" s="19"/>
      <c r="G9" s="19"/>
      <c r="H9" s="30"/>
      <c r="I9" s="30"/>
      <c r="J9" s="19"/>
      <c r="K9" s="19"/>
      <c r="L9" s="19"/>
      <c r="M9" s="18"/>
      <c r="N9" s="30"/>
      <c r="O9" s="31" t="s">
        <v>122</v>
      </c>
    </row>
    <row r="10" spans="1:15" x14ac:dyDescent="0.35">
      <c r="A10" s="49"/>
      <c r="B10" s="49"/>
      <c r="C10" s="7"/>
      <c r="D10" s="30"/>
      <c r="E10" s="7"/>
      <c r="F10" s="7"/>
      <c r="G10" s="7"/>
      <c r="H10" s="30"/>
      <c r="I10" s="30"/>
      <c r="J10" s="7"/>
      <c r="K10" s="7"/>
      <c r="L10" s="7"/>
      <c r="M10" s="7"/>
      <c r="N10" s="30"/>
      <c r="O10" s="7"/>
    </row>
    <row r="11" spans="1:15" x14ac:dyDescent="0.35">
      <c r="A11" s="49"/>
      <c r="B11" s="49"/>
      <c r="C11" s="24" t="s">
        <v>123</v>
      </c>
      <c r="D11" s="30"/>
      <c r="E11" s="19"/>
      <c r="F11" s="19"/>
      <c r="G11" s="19"/>
      <c r="H11" s="30"/>
      <c r="I11" s="30"/>
      <c r="J11" s="19"/>
      <c r="K11" s="19"/>
      <c r="L11" s="19"/>
      <c r="M11" s="18"/>
      <c r="N11" s="30"/>
      <c r="O11" s="31" t="s">
        <v>124</v>
      </c>
    </row>
    <row r="12" spans="1:15" ht="29" x14ac:dyDescent="0.35">
      <c r="A12" s="49"/>
      <c r="B12" s="49"/>
      <c r="C12" s="24" t="s">
        <v>125</v>
      </c>
      <c r="D12" s="30"/>
      <c r="E12" s="19"/>
      <c r="F12" s="19"/>
      <c r="G12" s="19"/>
      <c r="H12" s="30"/>
      <c r="I12" s="30"/>
      <c r="J12" s="19"/>
      <c r="K12" s="19"/>
      <c r="L12" s="19"/>
      <c r="M12" s="18"/>
      <c r="N12" s="30"/>
      <c r="O12" s="31" t="s">
        <v>126</v>
      </c>
    </row>
    <row r="13" spans="1:15" x14ac:dyDescent="0.35">
      <c r="A13" s="49"/>
      <c r="B13" s="49"/>
      <c r="C13" s="24" t="s">
        <v>127</v>
      </c>
      <c r="D13" s="30"/>
      <c r="E13" s="19"/>
      <c r="F13" s="19"/>
      <c r="G13" s="19"/>
      <c r="H13" s="30"/>
      <c r="I13" s="30"/>
      <c r="J13" s="19"/>
      <c r="K13" s="19"/>
      <c r="L13" s="19"/>
      <c r="M13" s="18"/>
      <c r="N13" s="30"/>
      <c r="O13" s="31" t="s">
        <v>128</v>
      </c>
    </row>
    <row r="14" spans="1:15" x14ac:dyDescent="0.35">
      <c r="A14" s="49"/>
      <c r="B14" s="49"/>
      <c r="C14" s="24" t="s">
        <v>129</v>
      </c>
      <c r="D14" s="30"/>
      <c r="E14" s="19"/>
      <c r="F14" s="19"/>
      <c r="G14" s="19"/>
      <c r="H14" s="30"/>
      <c r="I14" s="30"/>
      <c r="J14" s="19"/>
      <c r="K14" s="19"/>
      <c r="L14" s="19"/>
      <c r="M14" s="18"/>
      <c r="N14" s="30"/>
      <c r="O14" s="31" t="s">
        <v>130</v>
      </c>
    </row>
    <row r="15" spans="1:15" x14ac:dyDescent="0.35">
      <c r="A15" s="49"/>
      <c r="B15" s="49"/>
      <c r="C15" s="24" t="s">
        <v>131</v>
      </c>
      <c r="D15" s="30"/>
      <c r="E15" s="19"/>
      <c r="F15" s="19"/>
      <c r="G15" s="19"/>
      <c r="H15" s="30"/>
      <c r="I15" s="30"/>
      <c r="J15" s="19"/>
      <c r="K15" s="19"/>
      <c r="L15" s="19"/>
      <c r="M15" s="18"/>
      <c r="N15" s="30"/>
      <c r="O15" s="31" t="s">
        <v>132</v>
      </c>
    </row>
    <row r="16" spans="1:15" ht="29" x14ac:dyDescent="0.35">
      <c r="A16" s="50"/>
      <c r="B16" s="50"/>
      <c r="C16" s="7"/>
      <c r="D16" s="32"/>
      <c r="E16" s="7"/>
      <c r="F16" s="7"/>
      <c r="G16" s="7"/>
      <c r="H16" s="32"/>
      <c r="I16" s="32"/>
      <c r="J16" s="7"/>
      <c r="K16" s="7"/>
      <c r="L16" s="7"/>
      <c r="M16" s="18"/>
      <c r="N16" s="32"/>
      <c r="O16" s="31" t="s">
        <v>133</v>
      </c>
    </row>
  </sheetData>
  <mergeCells count="14">
    <mergeCell ref="A6:A16"/>
    <mergeCell ref="E4:G4"/>
    <mergeCell ref="J4:L4"/>
    <mergeCell ref="B6:B16"/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D5"/>
  <sheetViews>
    <sheetView workbookViewId="0"/>
  </sheetViews>
  <sheetFormatPr defaultRowHeight="14.5" x14ac:dyDescent="0.35"/>
  <cols>
    <col min="1" max="4" width="18" customWidth="1"/>
  </cols>
  <sheetData>
    <row r="3" spans="1:4" ht="45" customHeight="1" x14ac:dyDescent="0.35">
      <c r="A3" s="42" t="s">
        <v>134</v>
      </c>
      <c r="B3" s="34"/>
      <c r="C3" s="34"/>
      <c r="D3" s="34"/>
    </row>
    <row r="5" spans="1:4" ht="72.5" x14ac:dyDescent="0.35">
      <c r="A5" s="2" t="s">
        <v>135</v>
      </c>
      <c r="B5" s="2" t="s">
        <v>136</v>
      </c>
      <c r="C5" s="2" t="s">
        <v>137</v>
      </c>
      <c r="D5" s="2" t="s">
        <v>138</v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Darbalapiai</vt:lpstr>
      </vt:variant>
      <vt:variant>
        <vt:i4>7</vt:i4>
      </vt:variant>
    </vt:vector>
  </HeadingPairs>
  <TitlesOfParts>
    <vt:vector size="7" baseType="lpstr">
      <vt:lpstr>Greitis</vt:lpstr>
      <vt:lpstr>H2O</vt:lpstr>
      <vt:lpstr>Paėmimas</vt:lpstr>
      <vt:lpstr>Aerodinamika</vt:lpstr>
      <vt:lpstr>Koncentracija</vt:lpstr>
      <vt:lpstr>Svėrimas</vt:lpstr>
      <vt:lpstr>Koncentracijos ribinės vertės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Tomas Vilkickas</cp:lastModifiedBy>
  <dcterms:created xsi:type="dcterms:W3CDTF">2026-03-17T13:12:22Z</dcterms:created>
  <dcterms:modified xsi:type="dcterms:W3CDTF">2026-03-17T13:14:44Z</dcterms:modified>
</cp:coreProperties>
</file>