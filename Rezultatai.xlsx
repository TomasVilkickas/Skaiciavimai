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3">
    <font>
      <name val="Calibri"/>
      <family val="2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1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2">
      <c r="A2" s="2" t="inlineStr">
        <is>
          <t>Debitas pagal matuotą diferencinį slėgį</t>
        </is>
      </c>
    </row>
    <row r="4" ht="130" customHeight="1">
      <c r="A4" s="3" t="inlineStr">
        <is>
          <t>Matavimo data</t>
        </is>
      </c>
      <c r="B4" s="3" t="inlineStr">
        <is>
          <t>Ėminių registracijos Nr. T-107-2026-E-</t>
        </is>
      </c>
      <c r="C4" s="3" t="inlineStr">
        <is>
          <t>Objekto pavadinimas, adresas, taršos šaltinio Nr.</t>
        </is>
      </c>
      <c r="D4" s="3" t="inlineStr">
        <is>
          <t>Matavimo taškai ortakyje nuo vidinės sienelės, cm</t>
        </is>
      </c>
      <c r="E4" s="3" t="inlineStr">
        <is>
          <t>Išmatuotas diferencinis slėgis taškuose 1 linija, Pdi, hPa</t>
        </is>
      </c>
      <c r="F4" s="3" t="inlineStr">
        <is>
          <t>Pito vamzdelio koeficientas, K</t>
        </is>
      </c>
      <c r="G4" s="3" t="inlineStr">
        <is>
          <t>Temperatūra ortakyje t, oC</t>
        </is>
      </c>
      <c r="H4" s="3" t="inlineStr">
        <is>
          <t>Atmosferinis slėgis P, hPa</t>
        </is>
      </c>
      <c r="I4" s="3" t="inlineStr">
        <is>
          <t>Statinis slėgis ortakyje ± ΔP, hPa</t>
        </is>
      </c>
      <c r="J4" s="3" t="inlineStr">
        <is>
          <t>Dujų slėgis kamine Pk= P+ ΔP, hPa</t>
        </is>
      </c>
      <c r="K4" s="3" t="inlineStr">
        <is>
          <t>Dujų mol. masė Ms= qn *22.4, kg/</t>
        </is>
      </c>
      <c r="L4" s="3" t="inlineStr">
        <is>
          <t>Dujų srauto greitis matavimo taškuose, 1 linija, wi = K*129 *√t *√Pdi/ √Pk/√Ms, m/s</t>
        </is>
      </c>
      <c r="M4" s="3" t="inlineStr">
        <is>
          <t>Vidutinis dujų srauto greitis ortakyje w, m/s</t>
        </is>
      </c>
      <c r="N4" s="3" t="inlineStr">
        <is>
          <t>Ortakio diametras, matmenys, m</t>
        </is>
      </c>
      <c r="O4" s="3" t="inlineStr">
        <is>
          <t>Ortakio skerspjūvio plotas F, m2</t>
        </is>
      </c>
      <c r="P4" s="3" t="inlineStr">
        <is>
          <t>Dujų tūrio debitas realiomis sąlygomis Vk = wvid × F, m3/s</t>
        </is>
      </c>
      <c r="Q4" s="3" t="inlineStr">
        <is>
          <t>Dujų tūrio debitas normaliosiomis sąlygomis Vdr n.s =Vk *0,269*(P±ΔP)/(273+t), m3/s</t>
        </is>
      </c>
      <c r="R4" s="3" t="inlineStr">
        <is>
          <t>Vandens kondensato masė m H2O, kg</t>
        </is>
      </c>
      <c r="S4" s="3" t="inlineStr">
        <is>
          <t>Vandens garų konc. dujose x=mH2O/Vmn*qn, kg/kg</t>
        </is>
      </c>
      <c r="T4" s="3" t="inlineStr">
        <is>
          <t>Sausų dujų tūrio debitas normaliosiomis sąlygomis Vn= Vdr n.s *((1/(1+(x*qn/0.8038)))</t>
        </is>
      </c>
      <c r="U4" s="3" t="inlineStr">
        <is>
          <t>Prasiurbtas dujų tūris normaliosiomis sąlygomis Vmn, Nm3</t>
        </is>
      </c>
      <c r="V4" s="3" t="inlineStr">
        <is>
          <t>Išplėstinės neapibrėžties koef. A</t>
        </is>
      </c>
      <c r="W4" s="3" t="inlineStr">
        <is>
          <t>Išplėstinė neapibrėžtis (dujų tūrio debitas) Uv</t>
        </is>
      </c>
      <c r="X4" s="3" t="inlineStr">
        <is>
          <t>Išplėstinė neapibrėžtis (dujų srauto greitis) Uw</t>
        </is>
      </c>
      <c r="Y4" s="3" t="inlineStr">
        <is>
          <t>Sausų dujų tankis normaliosioms sąlygomis qn, (kg/m3)</t>
        </is>
      </c>
      <c r="Z4" s="3" t="inlineStr">
        <is>
          <t>Skaičiavimus atliko (inicialai, data)</t>
        </is>
      </c>
    </row>
    <row r="5">
      <c r="A5" s="1" t="n"/>
      <c r="B5" s="1" t="n"/>
      <c r="C5" s="1" t="n"/>
      <c r="D5" s="1" t="n">
        <v>5</v>
      </c>
      <c r="F5" s="6" t="n">
        <v>0.827</v>
      </c>
      <c r="N5" s="1" t="inlineStr">
        <is>
          <t>1,20</t>
        </is>
      </c>
      <c r="O5" s="7">
        <f>(N5^2*3.14)/4</f>
        <v/>
      </c>
      <c r="V5" s="6" t="n">
        <v>0.079</v>
      </c>
    </row>
    <row r="6">
      <c r="D6" s="1" t="n">
        <v>8</v>
      </c>
      <c r="F6" s="6" t="n">
        <v>0.827</v>
      </c>
      <c r="V6" s="6" t="n">
        <v>0.079</v>
      </c>
    </row>
    <row r="7">
      <c r="D7" s="1" t="n">
        <v>14</v>
      </c>
      <c r="F7" s="6" t="n">
        <v>0.827</v>
      </c>
    </row>
    <row r="8">
      <c r="D8" s="1" t="n">
        <v>20</v>
      </c>
      <c r="F8" s="6" t="n">
        <v>0.827</v>
      </c>
    </row>
    <row r="9">
      <c r="D9" s="1" t="n">
        <v>28</v>
      </c>
      <c r="F9" s="6" t="n">
        <v>0.827</v>
      </c>
    </row>
    <row r="10">
      <c r="D10" s="1" t="n">
        <v>39</v>
      </c>
      <c r="F10" s="6" t="n">
        <v>0.827</v>
      </c>
    </row>
    <row r="11">
      <c r="D11" s="1" t="n">
        <v>60</v>
      </c>
      <c r="F11" s="6" t="n">
        <v>0.827</v>
      </c>
    </row>
    <row r="12">
      <c r="D12" s="1" t="n">
        <v>81</v>
      </c>
      <c r="F12" s="6" t="n">
        <v>0.827</v>
      </c>
    </row>
    <row r="13">
      <c r="D13" s="1" t="n">
        <v>92</v>
      </c>
      <c r="F13" s="6" t="n">
        <v>0.827</v>
      </c>
    </row>
    <row r="14">
      <c r="D14" s="1" t="n">
        <v>100</v>
      </c>
      <c r="F14" s="6" t="n">
        <v>0.827</v>
      </c>
    </row>
    <row r="15">
      <c r="D15" s="1" t="n">
        <v>106</v>
      </c>
      <c r="F15" s="6" t="n">
        <v>0.827</v>
      </c>
    </row>
    <row r="16">
      <c r="D16" s="1" t="n">
        <v>112</v>
      </c>
      <c r="F16" s="6" t="n">
        <v>0.827</v>
      </c>
    </row>
    <row r="17">
      <c r="D17" s="1" t="n">
        <v>115</v>
      </c>
      <c r="F17" s="6" t="n">
        <v>0.827</v>
      </c>
    </row>
  </sheetData>
  <mergeCells count="3">
    <mergeCell ref="A5:A17"/>
    <mergeCell ref="B5:B17"/>
    <mergeCell ref="C5:C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5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Vidutinis 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</row>
    <row r="6">
      <c r="D6" s="9" t="inlineStr">
        <is>
          <t>1,20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</sheetData>
  <mergeCells count="1"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0" t="inlineStr">
        <is>
          <t>Ėminių registracijos Nr. T-107-2026-E-</t>
        </is>
      </c>
      <c r="B4" s="10" t="inlineStr">
        <is>
          <t>Objekto pavadinimas, adresas, taršos šaltinio Nr.</t>
        </is>
      </c>
      <c r="C4" s="10" t="inlineStr">
        <is>
          <t>Filtro/ indo Nr.</t>
        </is>
      </c>
      <c r="D4" s="10" t="inlineStr">
        <is>
          <t>Tuščio filtro/indo svėrimo data</t>
        </is>
      </c>
      <c r="E4" s="10" t="inlineStr">
        <is>
          <t>Filtro/indo svoris prieš KD ėmimą mpr (g)</t>
        </is>
      </c>
      <c r="F4" s="11" t="n"/>
      <c r="G4" s="11" t="n"/>
      <c r="H4" s="10" t="inlineStr">
        <is>
          <t>Atsakingo asmens inicialai, data</t>
        </is>
      </c>
      <c r="I4" s="10" t="inlineStr">
        <is>
          <t>Filtro/indo su ėminiu svėrimo data</t>
        </is>
      </c>
      <c r="J4" s="10" t="inlineStr">
        <is>
          <t>Filtro/indo svoris po KD ėmimo mpo (g)</t>
        </is>
      </c>
      <c r="K4" s="11" t="n"/>
      <c r="L4" s="11" t="n"/>
      <c r="M4" s="10" t="inlineStr">
        <is>
          <t>Kietųjų dalelių svoris mf/Svorių pokytis (g) (&lt;2,20 g filtro talpumas)</t>
        </is>
      </c>
      <c r="N4" s="10" t="inlineStr">
        <is>
          <t>Atsakingo asmens inicialai, data</t>
        </is>
      </c>
      <c r="O4" s="10" t="inlineStr">
        <is>
          <t>Pastabos</t>
        </is>
      </c>
    </row>
    <row r="5">
      <c r="A5" s="11" t="n"/>
      <c r="B5" s="11" t="n"/>
      <c r="C5" s="11" t="n"/>
      <c r="D5" s="11" t="n"/>
      <c r="E5" s="10" t="inlineStr">
        <is>
          <t>1</t>
        </is>
      </c>
      <c r="F5" s="10" t="inlineStr">
        <is>
          <t>2</t>
        </is>
      </c>
      <c r="G5" s="10" t="inlineStr">
        <is>
          <t>3</t>
        </is>
      </c>
      <c r="H5" s="11" t="n"/>
      <c r="I5" s="11" t="n"/>
      <c r="J5" s="10" t="inlineStr">
        <is>
          <t>1</t>
        </is>
      </c>
      <c r="K5" s="10" t="inlineStr">
        <is>
          <t>2</t>
        </is>
      </c>
      <c r="L5" s="10" t="inlineStr">
        <is>
          <t>3</t>
        </is>
      </c>
      <c r="M5" s="11" t="n"/>
      <c r="N5" s="11" t="n"/>
      <c r="O5" s="11" t="n"/>
    </row>
  </sheetData>
  <mergeCells count="12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993B1FAA-30F2-4307-BC21-9627AB878FB9}"/>
</file>

<file path=customXml/itemProps2.xml><?xml version="1.0" encoding="utf-8"?>
<ds:datastoreItem xmlns:ds="http://schemas.openxmlformats.org/officeDocument/2006/customXml" ds:itemID="{7FB2E5CD-0090-4A92-B693-912EDC998A43}"/>
</file>

<file path=customXml/itemProps3.xml><?xml version="1.0" encoding="utf-8"?>
<ds:datastoreItem xmlns:ds="http://schemas.openxmlformats.org/officeDocument/2006/customXml" ds:itemID="{0D9184D5-5844-4593-B5F7-CC80AB64064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2026-03-10T09:15:09Z</dcterms:created>
  <dcterms:modified xsi:type="dcterms:W3CDTF">2026-03-10T09:15:16Z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