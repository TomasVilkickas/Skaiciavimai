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eitis" sheetId="1" state="visible" r:id="rId1"/>
    <sheet name="H2O" sheetId="2" state="visible" r:id="rId2"/>
    <sheet name="Paėmimas" sheetId="3" state="visible" r:id="rId3"/>
    <sheet name="Aerodinamika" sheetId="4" state="visible" r:id="rId4"/>
    <sheet name="Koncentracija" sheetId="5" state="visible" r:id="rId5"/>
    <sheet name="Svėrimas" sheetId="6" state="visible" r:id="rId6"/>
    <sheet name="Koncentracijos ribinės vertė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"/>
  </numFmts>
  <fonts count="4">
    <font>
      <name val="Calibri"/>
      <family val="2"/>
      <color theme="1"/>
      <sz val="11"/>
      <scheme val="minor"/>
    </font>
    <font>
      <b val="1"/>
      <sz val="12"/>
    </font>
    <font/>
    <font>
      <b val="1"/>
    </font>
  </fonts>
  <fills count="5">
    <fill>
      <patternFill/>
    </fill>
    <fill>
      <patternFill patternType="gray125"/>
    </fill>
    <fill>
      <patternFill patternType="solid">
        <fgColor rgb="0092D050"/>
        <bgColor rgb="0092D050"/>
      </patternFill>
    </fill>
    <fill>
      <patternFill patternType="solid">
        <fgColor rgb="00FFFF00"/>
        <bgColor rgb="00FFFF00"/>
      </patternFill>
    </fill>
    <fill>
      <patternFill patternType="solid">
        <fgColor rgb="00FF9900"/>
        <bgColor rgb="00FF9900"/>
      </patternFill>
    </fill>
  </fills>
  <borders count="20">
    <border>
      <left/>
      <right/>
      <top/>
      <bottom/>
      <diagonal/>
    </border>
    <border>
      <left style="thin"/>
      <right style="thin"/>
      <top style="thin"/>
      <bottom style="thin"/>
    </border>
    <border/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rgb="00000000"/>
      </left>
      <right style="thin">
        <color rgb="00000000"/>
      </right>
      <top style="thin">
        <color rgb="00000000"/>
      </top>
    </border>
    <border>
      <left style="thin">
        <color rgb="00000000"/>
      </left>
      <right style="thin">
        <color rgb="00000000"/>
      </right>
    </border>
    <border>
      <left style="thin">
        <color rgb="00000000"/>
      </left>
      <right style="thin">
        <color rgb="00000000"/>
      </right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165" fontId="0" fillId="0" borderId="2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8" pivotButton="0" quotePrefix="0" xfId="0"/>
    <xf numFmtId="0" fontId="0" fillId="0" borderId="9" pivotButton="0" quotePrefix="0" xfId="0"/>
    <xf numFmtId="2" fontId="0" fillId="0" borderId="0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/>
    </xf>
    <xf numFmtId="2" fontId="0" fillId="2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0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165" fontId="0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center" vertical="center"/>
    </xf>
    <xf numFmtId="0" fontId="0" fillId="0" borderId="13" pivotButton="0" quotePrefix="0" xfId="0"/>
    <xf numFmtId="0" fontId="0" fillId="3" borderId="13" pivotButton="0" quotePrefix="0" xfId="0"/>
    <xf numFmtId="0" fontId="0" fillId="3" borderId="13" applyAlignment="1" pivotButton="0" quotePrefix="0" xfId="0">
      <alignment horizontal="center" vertical="center"/>
    </xf>
    <xf numFmtId="0" fontId="0" fillId="0" borderId="13" applyAlignment="1" pivotButton="0" quotePrefix="0" xfId="0">
      <alignment horizontal="left" vertical="center"/>
    </xf>
    <xf numFmtId="0" fontId="0" fillId="0" borderId="11" pivotButton="0" quotePrefix="0" xfId="0"/>
    <xf numFmtId="0" fontId="0" fillId="0" borderId="12" pivotButton="0" quotePrefix="0" xfId="0"/>
    <xf numFmtId="0" fontId="0" fillId="0" borderId="13" applyAlignment="1" pivotButton="0" quotePrefix="0" xfId="0">
      <alignment horizontal="center" vertical="center" wrapText="1"/>
    </xf>
    <xf numFmtId="0" fontId="0" fillId="0" borderId="15" pivotButton="0" quotePrefix="0" xfId="0"/>
    <xf numFmtId="0" fontId="0" fillId="0" borderId="16" pivotButton="0" quotePrefix="0" xfId="0"/>
    <xf numFmtId="0" fontId="0" fillId="0" borderId="17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" applyAlignment="1" pivotButton="0" quotePrefix="0" xfId="0">
      <alignment horizontal="left" vertical="center"/>
    </xf>
    <xf numFmtId="0" fontId="0" fillId="0" borderId="18" pivotButton="0" quotePrefix="0" xfId="0"/>
    <xf numFmtId="0" fontId="0" fillId="0" borderId="1" applyAlignment="1" pivotButton="0" quotePrefix="0" xfId="0">
      <alignment horizontal="left" vertical="center" wrapText="1"/>
    </xf>
    <xf numFmtId="0" fontId="0" fillId="0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AH1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</cols>
  <sheetData>
    <row r="3">
      <c r="A3" s="2" t="inlineStr">
        <is>
          <t>Debitas pagal matuotą diferencinį slėgį</t>
        </is>
      </c>
    </row>
    <row r="5" ht="130" customHeight="1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Matavimo taškai ortakyje nuo vidinės sienelės, cm</t>
        </is>
      </c>
      <c r="E5" s="3" t="inlineStr">
        <is>
          <t>Išmatuotas diferencinis slėgis taškuose 1 linija, Pdi, hPa</t>
        </is>
      </c>
      <c r="F5" s="3" t="inlineStr">
        <is>
          <t>Išmatuotas diferencinis slėgis taškuose 2 linija, Pdi, hPa</t>
        </is>
      </c>
      <c r="G5" s="3" t="inlineStr">
        <is>
          <t>Išmatuotas diferencinis slėgis taškuose 3 linija, Pdi, hPa</t>
        </is>
      </c>
      <c r="H5" s="3" t="inlineStr">
        <is>
          <t>Išmatuotas diferencinis slėgis taškuose 4 linija, Pdi, hPa</t>
        </is>
      </c>
      <c r="I5" s="3" t="inlineStr">
        <is>
          <t>Išmatuotas diferencinis slėgis taškuose 5 linija, Pdi, hPa</t>
        </is>
      </c>
      <c r="J5" s="3" t="inlineStr">
        <is>
          <t>Pito vamzdelio koeficientas, K</t>
        </is>
      </c>
      <c r="K5" s="3" t="inlineStr">
        <is>
          <t>Temperatūra ortakyje t, oC</t>
        </is>
      </c>
      <c r="L5" s="3" t="inlineStr">
        <is>
          <t>Atmosferinis slėgis P, hPa</t>
        </is>
      </c>
      <c r="M5" s="3" t="inlineStr">
        <is>
          <t>Statinis slėgis ortakyje ± ΔP, hPa</t>
        </is>
      </c>
      <c r="N5" s="3" t="inlineStr">
        <is>
          <t>Dujų slėgis kamine Pk= P+ ΔP, hPa</t>
        </is>
      </c>
      <c r="O5" s="3" t="inlineStr">
        <is>
          <t>Dujų mol. masė Ms= qn *22.4, kg/</t>
        </is>
      </c>
      <c r="P5" s="3" t="inlineStr">
        <is>
          <t>Dujų srauto greitis matavimo taškuose, 1 linija, wi = K*129 *√t *√Pdi/ √Pk/√Ms, m/s</t>
        </is>
      </c>
      <c r="Q5" s="3" t="inlineStr">
        <is>
          <t>Dujų srauto greitis matavimo taškuose, 2 linija, wi = K*129 *√t *√Pdi/ √Pk/√Ms, m/s</t>
        </is>
      </c>
      <c r="R5" s="3" t="inlineStr">
        <is>
          <t>Dujų srauto greitis matavimo taškuose, 3 linija, wi = K*129 *√t *√Pdi/ √Pk/√Ms, m/s</t>
        </is>
      </c>
      <c r="S5" s="3" t="inlineStr">
        <is>
          <t>Dujų srauto greitis matavimo taškuose, 4 linija, wi = K*129 *√t *√Pdi/ √Pk/√Ms, m/s</t>
        </is>
      </c>
      <c r="T5" s="3" t="inlineStr">
        <is>
          <t>Dujų srauto greitis matavimo taškuose, 5 linija, wi = K*129 *√t *√Pdi/ √Pk/√Ms, m/s</t>
        </is>
      </c>
      <c r="U5" s="3" t="inlineStr">
        <is>
          <t>Vidutinis dujų srauto greitis ortakyje w, m/s</t>
        </is>
      </c>
      <c r="V5" s="3" t="inlineStr">
        <is>
          <t>Ortakio diametras, matmenys, m</t>
        </is>
      </c>
      <c r="W5" s="3" t="inlineStr">
        <is>
          <t>Ortakio skerspjūvio plotas F, m2</t>
        </is>
      </c>
      <c r="X5" s="3" t="inlineStr">
        <is>
          <t>Dujų tūrio debitas realiomis sąlygomis Vk = wvid × F, m3/s</t>
        </is>
      </c>
      <c r="Y5" s="3" t="inlineStr">
        <is>
          <t>Dujų tūrio debitas normaliosiomis sąlygomis Vdr n.s =Vk *0,269*(P±ΔP)/(273+t), m3/s</t>
        </is>
      </c>
      <c r="Z5" s="3" t="inlineStr">
        <is>
          <t>Vandens kondensato masė m H2O, kg</t>
        </is>
      </c>
      <c r="AA5" s="3" t="inlineStr">
        <is>
          <t>Vandens garų konc. dujose x=mH2O/Vmn*qn, kg/kg</t>
        </is>
      </c>
      <c r="AB5" s="3" t="inlineStr">
        <is>
          <t>Sausų dujų tūrio debitas normaliosiomis sąlygomis Vn= Vdr n.s *((1/(1+(x*qn/0.8038)))</t>
        </is>
      </c>
      <c r="AC5" s="3" t="inlineStr">
        <is>
          <t>Prasiurbtas dujų tūris normaliosiomis sąlygomis Vmn, Nm3</t>
        </is>
      </c>
      <c r="AD5" s="3" t="inlineStr">
        <is>
          <t>Išplėstinės neapibrėžties koef. A</t>
        </is>
      </c>
      <c r="AE5" s="3" t="inlineStr">
        <is>
          <t>Išplėstinė neapibrėžtis (dujų tūrio debitas) Uv</t>
        </is>
      </c>
      <c r="AF5" s="3" t="inlineStr">
        <is>
          <t>Išplėstinė neapibrėžtis (dujų srauto greitis) Uw</t>
        </is>
      </c>
      <c r="AG5" s="3" t="inlineStr">
        <is>
          <t>Sausų dujų tankis normaliosioms sąlygomis qn, (kg/m3)</t>
        </is>
      </c>
      <c r="AH5" s="3" t="inlineStr">
        <is>
          <t>Skaičiavimus atliko (inicialai, data)</t>
        </is>
      </c>
    </row>
    <row r="6">
      <c r="A6" s="12" t="inlineStr">
        <is>
          <t>2026-02-10</t>
        </is>
      </c>
      <c r="B6" s="12" t="n">
        <v>5</v>
      </c>
      <c r="C6" s="12" t="inlineStr">
        <is>
          <t>Ekopartneris</t>
        </is>
      </c>
      <c r="D6" s="20" t="n">
        <v>13</v>
      </c>
      <c r="E6" s="21" t="n">
        <v>1</v>
      </c>
      <c r="F6" s="21" t="n">
        <v>2</v>
      </c>
      <c r="G6" s="21" t="n">
        <v>3</v>
      </c>
      <c r="H6" s="21" t="n">
        <v>4</v>
      </c>
      <c r="I6" s="21" t="n">
        <v>5</v>
      </c>
      <c r="J6" s="22" t="n">
        <v>0.827</v>
      </c>
      <c r="K6" s="23" t="n"/>
      <c r="L6" s="24" t="n">
        <v>1012</v>
      </c>
      <c r="M6" s="24" t="n">
        <v>-0.25</v>
      </c>
      <c r="N6" s="25" t="n"/>
      <c r="O6" s="25" t="n"/>
      <c r="P6" s="25" t="n"/>
      <c r="Q6" s="25" t="n"/>
      <c r="R6" s="25" t="n"/>
      <c r="S6" s="25" t="n"/>
      <c r="T6" s="25" t="n"/>
      <c r="U6" s="25" t="n"/>
      <c r="V6" s="23" t="n"/>
      <c r="W6" s="25" t="n"/>
      <c r="X6" s="25" t="n"/>
      <c r="Y6" s="23" t="n"/>
      <c r="Z6" s="23" t="n"/>
      <c r="AA6" s="25" t="n"/>
      <c r="AB6" s="23" t="n"/>
      <c r="AC6" s="23" t="n"/>
      <c r="AD6" s="22" t="n">
        <v>0.079</v>
      </c>
      <c r="AE6" s="25" t="n"/>
      <c r="AF6" s="25" t="n"/>
      <c r="AG6" s="23" t="n"/>
      <c r="AH6" s="13" t="n"/>
    </row>
    <row r="7">
      <c r="A7" s="15" t="n"/>
      <c r="B7" s="15" t="n"/>
      <c r="C7" s="15" t="n"/>
      <c r="D7" s="20" t="n">
        <v>69</v>
      </c>
      <c r="E7" s="21" t="n">
        <v>1</v>
      </c>
      <c r="F7" s="21" t="n">
        <v>2</v>
      </c>
      <c r="G7" s="21" t="n">
        <v>3</v>
      </c>
      <c r="H7" s="21" t="n">
        <v>4</v>
      </c>
      <c r="I7" s="21" t="n">
        <v>5</v>
      </c>
      <c r="J7" s="22" t="n">
        <v>0.827</v>
      </c>
      <c r="K7" s="23" t="n"/>
      <c r="L7" s="24" t="n">
        <v>1012</v>
      </c>
      <c r="M7" s="24" t="n">
        <v>-0.25</v>
      </c>
      <c r="N7" s="25" t="n"/>
      <c r="O7" s="25" t="n"/>
      <c r="P7" s="25" t="n"/>
      <c r="Q7" s="25" t="n"/>
      <c r="R7" s="25" t="n"/>
      <c r="S7" s="25" t="n"/>
      <c r="T7" s="25" t="n"/>
      <c r="U7" s="13" t="n"/>
      <c r="V7" s="20" t="inlineStr">
        <is>
          <t>1,89</t>
        </is>
      </c>
      <c r="W7" s="26">
        <f>V7*V8</f>
        <v/>
      </c>
      <c r="X7" s="25" t="n"/>
      <c r="Y7" s="23" t="n"/>
      <c r="Z7" s="23" t="n"/>
      <c r="AA7" s="25" t="n"/>
      <c r="AB7" s="23" t="n"/>
      <c r="AC7" s="23" t="n"/>
      <c r="AD7" s="22" t="n">
        <v>0.079</v>
      </c>
      <c r="AE7" s="25" t="n"/>
      <c r="AF7" s="25" t="n"/>
      <c r="AH7" s="16" t="n"/>
    </row>
    <row r="8">
      <c r="A8" s="15" t="n"/>
      <c r="B8" s="15" t="n"/>
      <c r="C8" s="15" t="n"/>
      <c r="D8" s="20" t="n">
        <v>116</v>
      </c>
      <c r="E8" s="21" t="n">
        <v>1</v>
      </c>
      <c r="F8" s="21" t="n">
        <v>2</v>
      </c>
      <c r="G8" s="21" t="n">
        <v>3</v>
      </c>
      <c r="H8" s="21" t="n">
        <v>4</v>
      </c>
      <c r="I8" s="21" t="n">
        <v>5</v>
      </c>
      <c r="J8" s="22" t="n">
        <v>0.827</v>
      </c>
      <c r="K8" s="23" t="n"/>
      <c r="L8" s="24" t="n">
        <v>1012</v>
      </c>
      <c r="M8" s="24" t="n">
        <v>-0.25</v>
      </c>
      <c r="N8" s="25" t="n"/>
      <c r="O8" s="25" t="n"/>
      <c r="P8" s="25" t="n"/>
      <c r="Q8" s="25" t="n"/>
      <c r="R8" s="25" t="n"/>
      <c r="S8" s="25" t="n"/>
      <c r="T8" s="25" t="n"/>
      <c r="U8" s="13" t="n"/>
      <c r="V8" s="20" t="inlineStr">
        <is>
          <t>1,91</t>
        </is>
      </c>
      <c r="W8" s="13" t="n"/>
      <c r="X8" s="13" t="n"/>
      <c r="Y8" s="13" t="n"/>
    </row>
    <row r="9">
      <c r="A9" s="16" t="n"/>
      <c r="B9" s="16" t="n"/>
      <c r="C9" s="16" t="n"/>
      <c r="D9" s="20" t="n">
        <v>162</v>
      </c>
      <c r="E9" s="21" t="n">
        <v>1</v>
      </c>
      <c r="F9" s="21" t="n">
        <v>2</v>
      </c>
      <c r="G9" s="21" t="n">
        <v>3</v>
      </c>
      <c r="H9" s="21" t="n">
        <v>4</v>
      </c>
      <c r="I9" s="21" t="n">
        <v>5</v>
      </c>
      <c r="J9" s="22" t="n">
        <v>0.827</v>
      </c>
      <c r="K9" s="23" t="n"/>
      <c r="L9" s="24" t="n">
        <v>1012</v>
      </c>
      <c r="M9" s="24" t="n">
        <v>-0.25</v>
      </c>
      <c r="N9" s="25" t="n"/>
      <c r="O9" s="25" t="n"/>
      <c r="P9" s="25" t="n"/>
      <c r="Q9" s="25" t="n"/>
      <c r="R9" s="25" t="n"/>
      <c r="S9" s="25" t="n"/>
      <c r="T9" s="25" t="n"/>
      <c r="U9" s="13" t="n"/>
      <c r="V9" s="13" t="n"/>
      <c r="W9" s="13" t="n"/>
      <c r="X9" s="13" t="n"/>
      <c r="Y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</row>
    <row r="11">
      <c r="A11" s="13" t="n"/>
      <c r="B11" s="13" t="n"/>
      <c r="C11" s="13" t="n"/>
      <c r="D11" s="27" t="inlineStr">
        <is>
          <t>RPU***</t>
        </is>
      </c>
      <c r="E11" s="28" t="inlineStr">
        <is>
          <t>Kai bus 2 linijos, RPU*** yra 2 linijos vidurinis taškas</t>
        </is>
      </c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 t="n"/>
    </row>
    <row r="12">
      <c r="A12" s="13" t="n"/>
      <c r="B12" s="13" t="n"/>
      <c r="C12" s="13" t="n"/>
    </row>
    <row r="13">
      <c r="A13" s="13" t="n"/>
      <c r="B13" s="13" t="n"/>
      <c r="C13" s="13" t="n"/>
    </row>
    <row r="14">
      <c r="A14" s="13" t="n"/>
      <c r="B14" s="13" t="n"/>
      <c r="C14" s="13" t="n"/>
    </row>
  </sheetData>
  <mergeCells count="6">
    <mergeCell ref="A3:AH3"/>
    <mergeCell ref="E11:T11"/>
    <mergeCell ref="A6:A9"/>
    <mergeCell ref="B6:B9"/>
    <mergeCell ref="AH6:AH7"/>
    <mergeCell ref="C6:C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L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3">
      <c r="A3" s="8" t="inlineStr">
        <is>
          <t>Skaičiuoklė kietųjų dalelių koncentracijai nustatyti. H2O skaičiavimas</t>
        </is>
      </c>
    </row>
    <row r="5">
      <c r="A5" s="3" t="inlineStr"/>
      <c r="B5" s="3" t="inlineStr">
        <is>
          <t>Ėminių ėmimo laikas t, min.</t>
        </is>
      </c>
      <c r="C5" s="3" t="inlineStr">
        <is>
          <t>Paėmimo greitis, l/min</t>
        </is>
      </c>
      <c r="D5" s="3" t="inlineStr">
        <is>
          <t>Atmosferinis slėgis, hPa</t>
        </is>
      </c>
      <c r="E5" s="3" t="inlineStr">
        <is>
          <t>Išretėjimas, -hPa</t>
        </is>
      </c>
      <c r="F5" s="3" t="inlineStr">
        <is>
          <t>Temperatūra prie aspiratoriaus, Vtr oC</t>
        </is>
      </c>
      <c r="G5" s="3" t="inlineStr">
        <is>
          <t>Dujų tūris normaliomis sąlygomis, Vn l.</t>
        </is>
      </c>
      <c r="H5" s="3" t="inlineStr">
        <is>
          <t>Prasiurbtas dujų tūris normaliosiomis sąlygomis Vmn, Nm3</t>
        </is>
      </c>
      <c r="I5" s="3" t="inlineStr">
        <is>
          <t>Vandens kondensato masė m H2O, kg</t>
        </is>
      </c>
      <c r="J5" s="3" t="inlineStr">
        <is>
          <t>Sausų dujų tankis normaliosioms sąlygomis qn (kg/m3)</t>
        </is>
      </c>
      <c r="K5" s="3" t="inlineStr">
        <is>
          <t>Drėgmės kiekis X (%) (izokinetinei sistemai)</t>
        </is>
      </c>
      <c r="L5" s="3" t="inlineStr">
        <is>
          <t>Pastabos</t>
        </is>
      </c>
    </row>
  </sheetData>
  <mergeCells count="1">
    <mergeCell ref="A3:L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A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</cols>
  <sheetData>
    <row r="2">
      <c r="A2" s="8" t="inlineStr">
        <is>
          <t>Skaičiuoklė kietųjų dalelių koncentracijai nustatyti. Pradinių duomenų nustatymas</t>
        </is>
      </c>
    </row>
    <row r="5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Ortakio matmenys, m</t>
        </is>
      </c>
      <c r="E5" s="3" t="inlineStr">
        <is>
          <t>Skerspjūvio plotas A (m2)</t>
        </is>
      </c>
      <c r="F5" s="3" t="inlineStr">
        <is>
          <t>Temperatūra ortakyje tor (°C)</t>
        </is>
      </c>
      <c r="G5" s="3" t="inlineStr">
        <is>
          <t>Srauto greitis ortakyje wor (m/s)</t>
        </is>
      </c>
      <c r="H5" s="3" t="inlineStr">
        <is>
          <t>Atmosferinis slėgis P (hPa)</t>
        </is>
      </c>
      <c r="I5" s="3" t="inlineStr">
        <is>
          <t>Statinis slėgis ortakyje ΔPor (hPa)</t>
        </is>
      </c>
      <c r="J5" s="3" t="inlineStr">
        <is>
          <t>Slėgis prieš rotametrą ΔPr (±hPa)</t>
        </is>
      </c>
      <c r="K5" s="3" t="inlineStr">
        <is>
          <t>Antgalio diametras da (mm)</t>
        </is>
      </c>
      <c r="L5" s="3" t="inlineStr">
        <is>
          <t>Prasiurbtas dujų tūris Vm (m3)</t>
        </is>
      </c>
      <c r="M5" s="3" t="inlineStr">
        <is>
          <t>Siurbimo laikas t (min)</t>
        </is>
      </c>
      <c r="N5" s="3" t="inlineStr">
        <is>
          <t>Siurbimo greitis Vo (l/min)</t>
        </is>
      </c>
      <c r="O5" s="3" t="inlineStr">
        <is>
          <t>Siurbiamų dujų temperatūra prieš rotametrą tr (°C)</t>
        </is>
      </c>
      <c r="P5" s="3" t="inlineStr">
        <is>
          <t>O2iš (%) (ore 21 %)</t>
        </is>
      </c>
      <c r="Q5" s="3" t="inlineStr">
        <is>
          <t>CO2iš (%) (ore 0,04 %)</t>
        </is>
      </c>
      <c r="R5" s="3" t="inlineStr">
        <is>
          <t>Darbuotojo inicialai, data</t>
        </is>
      </c>
      <c r="S5" s="3" t="inlineStr">
        <is>
          <t>Pastabos</t>
        </is>
      </c>
      <c r="T5" s="3" t="inlineStr">
        <is>
          <t>Išmatuota O2 koncentracija (%)</t>
        </is>
      </c>
      <c r="U5" s="3" t="inlineStr">
        <is>
          <t>Išmatuota CO2 koncentracija (%)</t>
        </is>
      </c>
      <c r="V5" s="3" t="inlineStr">
        <is>
          <t>Temperatūra ortakyje tor (°C)</t>
        </is>
      </c>
      <c r="W5" s="9" t="inlineStr"/>
      <c r="X5" s="3" t="inlineStr">
        <is>
          <t>Išmatuotas diferencinis slėgis taškuose, Pdi, hPa</t>
        </is>
      </c>
      <c r="Y5" s="3" t="inlineStr">
        <is>
          <t>Srauto greitis ortakyje wor (m/s)</t>
        </is>
      </c>
      <c r="Z5" s="3" t="inlineStr">
        <is>
          <t>Izokinetiškumas (0,95-1,15)</t>
        </is>
      </c>
      <c r="AA5" s="3" t="inlineStr">
        <is>
          <t>Pito vamzdelio koeficientas, K</t>
        </is>
      </c>
    </row>
    <row r="6">
      <c r="A6" s="12" t="inlineStr">
        <is>
          <t>2026-02-10</t>
        </is>
      </c>
      <c r="B6" s="12" t="n">
        <v>5</v>
      </c>
      <c r="C6" s="12" t="inlineStr">
        <is>
          <t>Ekopartneris</t>
        </is>
      </c>
      <c r="D6" s="10" t="inlineStr">
        <is>
          <t>1,89 x 1,91</t>
        </is>
      </c>
      <c r="E6" s="11">
        <f>'Greitis'!W7</f>
        <v/>
      </c>
    </row>
    <row r="7">
      <c r="A7" s="15" t="n"/>
      <c r="B7" s="15" t="n"/>
      <c r="C7" s="15" t="n"/>
    </row>
    <row r="8">
      <c r="A8" s="15" t="n"/>
      <c r="B8" s="15" t="n"/>
      <c r="C8" s="15" t="n"/>
    </row>
    <row r="9">
      <c r="A9" s="16" t="n"/>
      <c r="B9" s="16" t="n"/>
      <c r="C9" s="16" t="n"/>
    </row>
  </sheetData>
  <mergeCells count="4">
    <mergeCell ref="A2:V2"/>
    <mergeCell ref="B6:B9"/>
    <mergeCell ref="C6:C9"/>
    <mergeCell ref="A6:A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N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2">
      <c r="A2" s="8" t="inlineStr">
        <is>
          <t>Skaičiuoklė kietųjų dalelių koncentracijai nustatyti. Izokinetiškumo nustatymas</t>
        </is>
      </c>
    </row>
    <row r="5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Prasiurbtas dujų tūris Vm (m3)</t>
        </is>
      </c>
      <c r="E5" s="3" t="inlineStr">
        <is>
          <t>Prasiurbtas dujų tūris normaliosiomis sąlygomis Vmn (Nm3)</t>
        </is>
      </c>
      <c r="F5" s="3" t="inlineStr">
        <is>
          <t>Prasiurbto dujų tūrio normaliosiomis sąlygomis suma Vmn(sum) (Nm3)</t>
        </is>
      </c>
      <c r="G5" s="3" t="inlineStr">
        <is>
          <t>Sausų dujų tankis normaliosioms sąlygomis qn (kg/m3)</t>
        </is>
      </c>
      <c r="H5" s="3" t="inlineStr">
        <is>
          <t>Drėgmės kiekis X (%)</t>
        </is>
      </c>
      <c r="I5" s="3" t="inlineStr">
        <is>
          <t>Pratrauktas drėgnų dujų tūris realiomis sąlygomis Vmk (m3)</t>
        </is>
      </c>
      <c r="J5" s="3" t="inlineStr">
        <is>
          <t>Dujų srauto greitis antgalyje v antg. (m/s)</t>
        </is>
      </c>
      <c r="K5" s="3" t="inlineStr">
        <is>
          <t>Izokinetiškumas (0,95-1,15)</t>
        </is>
      </c>
      <c r="L5" s="3" t="inlineStr">
        <is>
          <t>Izokinetiškumo vidurkis (0,95-1,15)</t>
        </is>
      </c>
      <c r="M5" s="3" t="inlineStr">
        <is>
          <t>Skaičiavimus atlikusio asmens inicialai, data</t>
        </is>
      </c>
      <c r="N5" s="3" t="inlineStr">
        <is>
          <t>Pastabos</t>
        </is>
      </c>
    </row>
    <row r="6">
      <c r="A6" s="12" t="inlineStr">
        <is>
          <t>2026-02-10</t>
        </is>
      </c>
      <c r="B6" s="12" t="n">
        <v>5</v>
      </c>
      <c r="C6" s="12" t="inlineStr">
        <is>
          <t>Ekopartneris</t>
        </is>
      </c>
    </row>
    <row r="7">
      <c r="A7" s="15" t="n"/>
      <c r="B7" s="15" t="n"/>
      <c r="C7" s="15" t="n"/>
    </row>
    <row r="8">
      <c r="A8" s="15" t="n"/>
      <c r="B8" s="15" t="n"/>
      <c r="C8" s="15" t="n"/>
    </row>
    <row r="9">
      <c r="A9" s="16" t="n"/>
      <c r="B9" s="16" t="n"/>
      <c r="C9" s="16" t="n"/>
    </row>
  </sheetData>
  <mergeCells count="4">
    <mergeCell ref="B6:B9"/>
    <mergeCell ref="C6:C9"/>
    <mergeCell ref="A2:N2"/>
    <mergeCell ref="A6:A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P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2">
      <c r="A2" s="8" t="inlineStr">
        <is>
          <t>Skaičiuoklė kietųjų dalelių koncentracijai nustatyti. Kietųjų dalelių koncentracijos nustatymas</t>
        </is>
      </c>
    </row>
    <row r="5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Filtro Nr.</t>
        </is>
      </c>
      <c r="E5" s="3" t="inlineStr">
        <is>
          <t>Filtro svoris prieš KD ėmimą mpr (g)</t>
        </is>
      </c>
      <c r="F5" s="3" t="inlineStr">
        <is>
          <t>Filtro svoris po KD ėmimo mpo (g)</t>
        </is>
      </c>
      <c r="G5" s="3" t="inlineStr">
        <is>
          <t>Tuščiojo ėminio KD svoris mt (g)</t>
        </is>
      </c>
      <c r="H5" s="3" t="inlineStr">
        <is>
          <t>Nuosėdų kiekis mn (g)</t>
        </is>
      </c>
      <c r="I5" s="3" t="inlineStr">
        <is>
          <t>Indų svorių pokytis mIt (g)</t>
        </is>
      </c>
      <c r="J5" s="3" t="inlineStr">
        <is>
          <t>Sausų dujų tūris n.s. Vmn (Nm3)</t>
        </is>
      </c>
      <c r="K5" s="3" t="inlineStr">
        <is>
          <t>Kietų dalelių koncentracija c1 (neįvert. O2) (mg/Nm3)</t>
        </is>
      </c>
      <c r="L5" s="3" t="inlineStr">
        <is>
          <t>Tuščiojo filtro vertė mft (mg/m3) (&lt; 2 mg/m3)</t>
        </is>
      </c>
      <c r="M5" s="3" t="inlineStr">
        <is>
          <t>Surinktų dulkių ir tuščiojo ėminio santykis mFtk (&gt;5)</t>
        </is>
      </c>
      <c r="N5" s="3" t="inlineStr">
        <is>
          <t>Skaičiavimus atlikusio asmens inicialai, data</t>
        </is>
      </c>
      <c r="O5" s="3" t="inlineStr">
        <is>
          <t>Filtrų skaičius Fsk (vnt.)</t>
        </is>
      </c>
      <c r="P5" s="3" t="inlineStr">
        <is>
          <t>Pastabos</t>
        </is>
      </c>
    </row>
    <row r="6" ht="25" customHeight="1">
      <c r="A6" s="37" t="inlineStr">
        <is>
          <t>2026-02-10</t>
        </is>
      </c>
      <c r="B6" s="37" t="n">
        <v>5</v>
      </c>
      <c r="C6" s="30" t="inlineStr">
        <is>
          <t>Ekopartneris</t>
        </is>
      </c>
      <c r="D6" s="31" t="n"/>
      <c r="E6" s="32" t="n"/>
      <c r="F6" s="32" t="n"/>
      <c r="G6" s="32" t="n"/>
      <c r="H6" s="32" t="n"/>
      <c r="I6" s="32" t="n"/>
      <c r="J6" s="32" t="n"/>
      <c r="K6" s="32" t="n"/>
      <c r="L6" s="33" t="n"/>
      <c r="M6" s="33" t="n"/>
      <c r="N6" s="30" t="n"/>
      <c r="O6" s="30" t="n">
        <v>3</v>
      </c>
      <c r="P6" s="34" t="inlineStr">
        <is>
          <t>5 linijos, 1 filtras</t>
        </is>
      </c>
    </row>
    <row r="7" ht="25" customHeight="1">
      <c r="A7" s="38" t="n"/>
      <c r="B7" s="38" t="n"/>
      <c r="C7" s="38" t="n"/>
      <c r="D7" s="31" t="n"/>
      <c r="E7" s="32" t="n"/>
      <c r="F7" s="32" t="n"/>
      <c r="G7" s="32" t="n"/>
      <c r="H7" s="32" t="n"/>
      <c r="I7" s="32" t="n"/>
      <c r="J7" s="32" t="n"/>
      <c r="K7" s="32" t="n"/>
      <c r="L7" s="38" t="n"/>
      <c r="M7" s="38" t="n"/>
      <c r="N7" s="38" t="n"/>
      <c r="O7" s="38" t="n"/>
      <c r="P7" s="34" t="inlineStr">
        <is>
          <t>5 linijos, 2 filtras</t>
        </is>
      </c>
    </row>
    <row r="8" ht="25" customHeight="1">
      <c r="A8" s="39" t="n"/>
      <c r="B8" s="39" t="n"/>
      <c r="C8" s="39" t="n"/>
      <c r="D8" s="31" t="n"/>
      <c r="E8" s="32" t="n"/>
      <c r="F8" s="32" t="n"/>
      <c r="G8" s="32" t="n"/>
      <c r="H8" s="32" t="n"/>
      <c r="I8" s="32" t="n"/>
      <c r="J8" s="32" t="n"/>
      <c r="K8" s="32" t="n"/>
      <c r="L8" s="39" t="n"/>
      <c r="M8" s="39" t="n"/>
      <c r="N8" s="39" t="n"/>
      <c r="O8" s="39" t="n"/>
      <c r="P8" s="34" t="inlineStr">
        <is>
          <t>5 linijos, 3 filtras</t>
        </is>
      </c>
    </row>
  </sheetData>
  <mergeCells count="8">
    <mergeCell ref="M6:M8"/>
    <mergeCell ref="L6:L8"/>
    <mergeCell ref="N6:N8"/>
    <mergeCell ref="C6:C8"/>
    <mergeCell ref="A6:A8"/>
    <mergeCell ref="O6:O8"/>
    <mergeCell ref="B6:B8"/>
    <mergeCell ref="A2:P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O1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38" customWidth="1" min="15" max="15"/>
  </cols>
  <sheetData>
    <row r="2">
      <c r="A2" s="8" t="inlineStr">
        <is>
          <t>Skaičiuoklė kietųjų dalelių koncentracijai nustatyti. Svėrimas</t>
        </is>
      </c>
    </row>
    <row r="4" ht="60" customHeight="1">
      <c r="A4" s="12" t="inlineStr">
        <is>
          <t>Ėminių registracijos Nr. T-107-2026-E-</t>
        </is>
      </c>
      <c r="B4" s="12" t="inlineStr">
        <is>
          <t>Objekto pavadinimas, adresas, taršos šaltinio Nr.</t>
        </is>
      </c>
      <c r="C4" s="12" t="inlineStr">
        <is>
          <t>Filtro/ indo Nr.</t>
        </is>
      </c>
      <c r="D4" s="12" t="inlineStr">
        <is>
          <t>Tuščio filtro/indo svėrimo data</t>
        </is>
      </c>
      <c r="E4" s="12" t="inlineStr">
        <is>
          <t>Filtro/indo svoris prieš KD ėmimą mpr (g)</t>
        </is>
      </c>
      <c r="F4" s="17" t="n"/>
      <c r="G4" s="18" t="n"/>
      <c r="H4" s="12" t="inlineStr">
        <is>
          <t>Atsakingo asmens inicialai, data</t>
        </is>
      </c>
      <c r="I4" s="12" t="inlineStr">
        <is>
          <t>Filtro/indo su ėminiu svėrimo data</t>
        </is>
      </c>
      <c r="J4" s="12" t="inlineStr">
        <is>
          <t>Filtro/indo svoris po KD ėmimo mpo (g)</t>
        </is>
      </c>
      <c r="K4" s="17" t="n"/>
      <c r="L4" s="18" t="n"/>
      <c r="M4" s="12" t="inlineStr">
        <is>
          <t>Kietųjų dalelių svoris mf/Svorių pokytis (g) (&lt;2,20 g filtro talpumas)</t>
        </is>
      </c>
      <c r="N4" s="12" t="inlineStr">
        <is>
          <t>Atsakingo asmens inicialai, data</t>
        </is>
      </c>
      <c r="O4" s="12" t="inlineStr">
        <is>
          <t>Pastabos</t>
        </is>
      </c>
    </row>
    <row r="5">
      <c r="A5" s="16" t="n"/>
      <c r="B5" s="16" t="n"/>
      <c r="C5" s="16" t="n"/>
      <c r="D5" s="16" t="n"/>
      <c r="E5" s="12" t="inlineStr">
        <is>
          <t>1</t>
        </is>
      </c>
      <c r="F5" s="12" t="inlineStr">
        <is>
          <t>2</t>
        </is>
      </c>
      <c r="G5" s="12" t="inlineStr">
        <is>
          <t>3</t>
        </is>
      </c>
      <c r="H5" s="16" t="n"/>
      <c r="I5" s="16" t="n"/>
      <c r="J5" s="12" t="inlineStr">
        <is>
          <t>1</t>
        </is>
      </c>
      <c r="K5" s="12" t="inlineStr">
        <is>
          <t>2</t>
        </is>
      </c>
      <c r="L5" s="12" t="inlineStr">
        <is>
          <t>3</t>
        </is>
      </c>
      <c r="M5" s="16" t="n"/>
      <c r="N5" s="16" t="n"/>
      <c r="O5" s="16" t="n"/>
    </row>
    <row r="6">
      <c r="A6" s="40" t="n">
        <v>5</v>
      </c>
      <c r="B6" s="40" t="inlineStr">
        <is>
          <t>Ekopartneris</t>
        </is>
      </c>
      <c r="C6" s="41" t="n">
        <v>1</v>
      </c>
      <c r="D6" s="42" t="n"/>
      <c r="E6" s="23" t="n"/>
      <c r="F6" s="23" t="n"/>
      <c r="G6" s="23" t="n"/>
      <c r="H6" s="42" t="n"/>
      <c r="I6" s="42" t="n"/>
      <c r="J6" s="23" t="n"/>
      <c r="K6" s="23" t="n"/>
      <c r="L6" s="23" t="n"/>
      <c r="M6" s="25" t="n"/>
      <c r="N6" s="42" t="n"/>
      <c r="O6" s="43" t="inlineStr">
        <is>
          <t>5 linijos, 3 filtrai</t>
        </is>
      </c>
    </row>
    <row r="7">
      <c r="A7" s="44" t="n"/>
      <c r="B7" s="44" t="n"/>
      <c r="C7" s="41" t="n">
        <v>2</v>
      </c>
      <c r="D7" s="44" t="n"/>
      <c r="E7" s="23" t="n"/>
      <c r="F7" s="23" t="n"/>
      <c r="G7" s="23" t="n"/>
      <c r="H7" s="44" t="n"/>
      <c r="I7" s="44" t="n"/>
      <c r="J7" s="23" t="n"/>
      <c r="K7" s="23" t="n"/>
      <c r="L7" s="23" t="n"/>
      <c r="M7" s="25" t="n"/>
      <c r="N7" s="44" t="n"/>
      <c r="O7" s="13" t="n"/>
    </row>
    <row r="8">
      <c r="A8" s="44" t="n"/>
      <c r="B8" s="44" t="n"/>
      <c r="C8" s="41" t="n">
        <v>3</v>
      </c>
      <c r="D8" s="44" t="n"/>
      <c r="E8" s="23" t="n"/>
      <c r="F8" s="23" t="n"/>
      <c r="G8" s="23" t="n"/>
      <c r="H8" s="44" t="n"/>
      <c r="I8" s="44" t="n"/>
      <c r="J8" s="23" t="n"/>
      <c r="K8" s="23" t="n"/>
      <c r="L8" s="23" t="n"/>
      <c r="M8" s="25" t="n"/>
      <c r="N8" s="44" t="n"/>
      <c r="O8" s="13" t="n"/>
    </row>
    <row r="9">
      <c r="A9" s="44" t="n"/>
      <c r="B9" s="44" t="n"/>
      <c r="C9" s="41" t="inlineStr">
        <is>
          <t>2</t>
        </is>
      </c>
      <c r="D9" s="44" t="n"/>
      <c r="E9" s="23" t="n"/>
      <c r="F9" s="23" t="n"/>
      <c r="G9" s="23" t="n"/>
      <c r="H9" s="44" t="n"/>
      <c r="I9" s="44" t="n"/>
      <c r="J9" s="23" t="n"/>
      <c r="K9" s="23" t="n"/>
      <c r="L9" s="23" t="n"/>
      <c r="M9" s="25" t="n"/>
      <c r="N9" s="44" t="n"/>
      <c r="O9" s="45" t="inlineStr">
        <is>
          <t>Tuščiasis ėminys (mt)</t>
        </is>
      </c>
    </row>
    <row r="10">
      <c r="A10" s="44" t="n"/>
      <c r="B10" s="44" t="n"/>
      <c r="C10" s="13" t="n"/>
      <c r="D10" s="44" t="n"/>
      <c r="E10" s="13" t="n"/>
      <c r="F10" s="13" t="n"/>
      <c r="G10" s="13" t="n"/>
      <c r="H10" s="44" t="n"/>
      <c r="I10" s="44" t="n"/>
      <c r="J10" s="13" t="n"/>
      <c r="K10" s="13" t="n"/>
      <c r="L10" s="13" t="n"/>
      <c r="M10" s="13" t="n"/>
      <c r="N10" s="44" t="n"/>
      <c r="O10" s="13" t="n"/>
    </row>
    <row r="11">
      <c r="A11" s="44" t="n"/>
      <c r="B11" s="44" t="n"/>
      <c r="C11" s="41" t="inlineStr">
        <is>
          <t>41</t>
        </is>
      </c>
      <c r="D11" s="44" t="n"/>
      <c r="E11" s="23" t="n"/>
      <c r="F11" s="23" t="n"/>
      <c r="G11" s="23" t="n"/>
      <c r="H11" s="44" t="n"/>
      <c r="I11" s="44" t="n"/>
      <c r="J11" s="23" t="n"/>
      <c r="K11" s="23" t="n"/>
      <c r="L11" s="23" t="n"/>
      <c r="M11" s="25" t="n"/>
      <c r="N11" s="44" t="n"/>
      <c r="O11" s="45" t="inlineStr">
        <is>
          <t>Išplautos nuosėdos (mn)</t>
        </is>
      </c>
    </row>
    <row r="12">
      <c r="A12" s="44" t="n"/>
      <c r="B12" s="44" t="n"/>
      <c r="C12" s="41" t="inlineStr">
        <is>
          <t>00</t>
        </is>
      </c>
      <c r="D12" s="44" t="n"/>
      <c r="E12" s="23" t="n"/>
      <c r="F12" s="23" t="n"/>
      <c r="G12" s="23" t="n"/>
      <c r="H12" s="44" t="n"/>
      <c r="I12" s="44" t="n"/>
      <c r="J12" s="23" t="n"/>
      <c r="K12" s="23" t="n"/>
      <c r="L12" s="23" t="n"/>
      <c r="M12" s="25" t="n"/>
      <c r="N12" s="44" t="n"/>
      <c r="O12" s="45" t="inlineStr">
        <is>
          <t>Išvalytos ėminių sistemos tuščiasis ėminys (mIt)</t>
        </is>
      </c>
    </row>
    <row r="13">
      <c r="A13" s="44" t="n"/>
      <c r="B13" s="44" t="n"/>
      <c r="C13" s="41" t="inlineStr">
        <is>
          <t>01</t>
        </is>
      </c>
      <c r="D13" s="44" t="n"/>
      <c r="E13" s="23" t="n"/>
      <c r="F13" s="23" t="n"/>
      <c r="G13" s="23" t="n"/>
      <c r="H13" s="44" t="n"/>
      <c r="I13" s="44" t="n"/>
      <c r="J13" s="23" t="n"/>
      <c r="K13" s="23" t="n"/>
      <c r="L13" s="23" t="n"/>
      <c r="M13" s="25" t="n"/>
      <c r="N13" s="44" t="n"/>
      <c r="O13" s="45" t="inlineStr">
        <is>
          <t>Tušti indai svorio kontrolei (mIt1)</t>
        </is>
      </c>
    </row>
    <row r="14">
      <c r="A14" s="44" t="n"/>
      <c r="B14" s="44" t="n"/>
      <c r="C14" s="41" t="inlineStr">
        <is>
          <t>02</t>
        </is>
      </c>
      <c r="D14" s="44" t="n"/>
      <c r="E14" s="23" t="n"/>
      <c r="F14" s="23" t="n"/>
      <c r="G14" s="23" t="n"/>
      <c r="H14" s="44" t="n"/>
      <c r="I14" s="44" t="n"/>
      <c r="J14" s="23" t="n"/>
      <c r="K14" s="23" t="n"/>
      <c r="L14" s="23" t="n"/>
      <c r="M14" s="25" t="n"/>
      <c r="N14" s="44" t="n"/>
      <c r="O14" s="45" t="inlineStr">
        <is>
          <t>Tušti indai svorio kontrolei (mIt2)</t>
        </is>
      </c>
    </row>
    <row r="15">
      <c r="A15" s="44" t="n"/>
      <c r="B15" s="44" t="n"/>
      <c r="C15" s="41" t="inlineStr">
        <is>
          <t>03</t>
        </is>
      </c>
      <c r="D15" s="44" t="n"/>
      <c r="E15" s="23" t="n"/>
      <c r="F15" s="23" t="n"/>
      <c r="G15" s="23" t="n"/>
      <c r="H15" s="44" t="n"/>
      <c r="I15" s="44" t="n"/>
      <c r="J15" s="23" t="n"/>
      <c r="K15" s="23" t="n"/>
      <c r="L15" s="23" t="n"/>
      <c r="M15" s="25" t="n"/>
      <c r="N15" s="44" t="n"/>
      <c r="O15" s="45" t="inlineStr">
        <is>
          <t>Tušti indai svorio kontrolei (mIt3)</t>
        </is>
      </c>
    </row>
    <row r="16">
      <c r="A16" s="46" t="n"/>
      <c r="B16" s="46" t="n"/>
      <c r="C16" s="13" t="n"/>
      <c r="D16" s="46" t="n"/>
      <c r="E16" s="13" t="n"/>
      <c r="F16" s="13" t="n"/>
      <c r="G16" s="13" t="n"/>
      <c r="H16" s="46" t="n"/>
      <c r="I16" s="46" t="n"/>
      <c r="J16" s="13" t="n"/>
      <c r="K16" s="13" t="n"/>
      <c r="L16" s="13" t="n"/>
      <c r="M16" s="25" t="n"/>
      <c r="N16" s="46" t="n"/>
      <c r="O16" s="45" t="inlineStr">
        <is>
          <t>Tuščių indų ir išvalytos ėminių sistemos tuščiojo ėminio svorio pokytis (mItp)</t>
        </is>
      </c>
    </row>
  </sheetData>
  <mergeCells count="14">
    <mergeCell ref="M4:M5"/>
    <mergeCell ref="B4:B5"/>
    <mergeCell ref="A2:O2"/>
    <mergeCell ref="C4:C5"/>
    <mergeCell ref="A4:A5"/>
    <mergeCell ref="D4:D5"/>
    <mergeCell ref="H4:H5"/>
    <mergeCell ref="I4:I5"/>
    <mergeCell ref="N4:N5"/>
    <mergeCell ref="O4:O5"/>
    <mergeCell ref="A6:A16"/>
    <mergeCell ref="E4:G4"/>
    <mergeCell ref="J4:L4"/>
    <mergeCell ref="B6:B1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3:D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3" ht="45" customHeight="1">
      <c r="A3" s="8" t="inlineStr">
        <is>
          <t>Patikrinimas, ar planuojamas surinkti dulkių kiekis suderinamas su tuščiojo ėminio verte ir ar filtras nebus per daug apkrautas</t>
        </is>
      </c>
    </row>
    <row r="5">
      <c r="A5" s="3" t="inlineStr">
        <is>
          <t>Planuojama surinkti dulkių masė m, g (&lt;2,20 g)</t>
        </is>
      </c>
      <c r="B5" s="3" t="inlineStr">
        <is>
          <t>Mažiausia ėminio ėmimo trukmė t, 30 min</t>
        </is>
      </c>
      <c r="C5" s="3" t="inlineStr">
        <is>
          <t>Tikėtina dulkių koncentracija cexs, mg/Nm3;</t>
        </is>
      </c>
      <c r="D5" s="3" t="inlineStr">
        <is>
          <t>Planuojamas dujų tūrio siurbimo greitis matavimo metu ortakio sąlygomis Vo, l/min.</t>
        </is>
      </c>
    </row>
  </sheetData>
  <mergeCells count="1">
    <mergeCell ref="A3:D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2026-03-16T08:37:00Z</dcterms:created>
  <dcterms:modified xsi:type="dcterms:W3CDTF">2026-03-16T08:37:21Z</dcterms:modified>
</cp:coreProperties>
</file>