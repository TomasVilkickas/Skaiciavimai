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D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</cols>
  <sheetData>
    <row r="2">
      <c r="A2" s="2" t="inlineStr">
        <is>
          <t>Debitas pagal matuotą diferencinį slėgį</t>
        </is>
      </c>
    </row>
    <row r="4" ht="130" customHeight="1">
      <c r="A4" s="3" t="inlineStr">
        <is>
          <t>Matavimo data</t>
        </is>
      </c>
      <c r="B4" s="3" t="inlineStr">
        <is>
          <t>Ėminių registracijos Nr. T-107-2026-E-</t>
        </is>
      </c>
      <c r="C4" s="3" t="inlineStr">
        <is>
          <t>Objekto pavadinimas, adresas, taršos šaltinio Nr.</t>
        </is>
      </c>
      <c r="D4" s="3" t="inlineStr">
        <is>
          <t>Matavimo taškai ortakyje nuo vidinės sienelės, cm</t>
        </is>
      </c>
      <c r="E4" s="3" t="inlineStr">
        <is>
          <t>Išmatuotas diferencinis slėgis taškuose 1 linija, Pdi, hPa</t>
        </is>
      </c>
      <c r="F4" s="3" t="inlineStr">
        <is>
          <t>Išmatuotas diferencinis slėgis taškuose 2 linija, Pdi, hPa</t>
        </is>
      </c>
      <c r="G4" s="3" t="inlineStr">
        <is>
          <t>Išmatuotas diferencinis slėgis taškuose 3 linija, Pdi, hPa</t>
        </is>
      </c>
      <c r="H4" s="3" t="inlineStr">
        <is>
          <t>Pito vamzdelio koeficientas, K</t>
        </is>
      </c>
      <c r="I4" s="3" t="inlineStr">
        <is>
          <t>Temperatūra ortakyje t, oC</t>
        </is>
      </c>
      <c r="J4" s="3" t="inlineStr">
        <is>
          <t>Atmosferinis slėgis P, hPa</t>
        </is>
      </c>
      <c r="K4" s="3" t="inlineStr">
        <is>
          <t>Statinis slėgis ortakyje ± ΔP, hPa</t>
        </is>
      </c>
      <c r="L4" s="3" t="inlineStr">
        <is>
          <t>Dujų slėgis kamine Pk= P+ ΔP, hPa</t>
        </is>
      </c>
      <c r="M4" s="3" t="inlineStr">
        <is>
          <t>Dujų mol. masė Ms= qn *22.4, kg/</t>
        </is>
      </c>
      <c r="N4" s="3" t="inlineStr">
        <is>
          <t>Dujų srauto greitis matavimo taškuose, 1 linija, wi = K*129 *√t *√Pdi/ √Pk/√Ms, m/s</t>
        </is>
      </c>
      <c r="O4" s="3" t="inlineStr">
        <is>
          <t>Dujų srauto greitis matavimo taškuose, 2 linija, wi = K*129 *√t *√Pdi/ √Pk/√Ms, m/s</t>
        </is>
      </c>
      <c r="P4" s="3" t="inlineStr">
        <is>
          <t>Dujų srauto greitis matavimo taškuose, 3 linija, wi = K*129 *√t *√Pdi/ √Pk/√Ms, m/s</t>
        </is>
      </c>
      <c r="Q4" s="3" t="inlineStr">
        <is>
          <t>Vidutinis dujų srauto greitis ortakyje w, m/s</t>
        </is>
      </c>
      <c r="R4" s="3" t="inlineStr">
        <is>
          <t>Ortakio diametras, matmenys, m</t>
        </is>
      </c>
      <c r="S4" s="3" t="inlineStr">
        <is>
          <t>Ortakio skerspjūvio plotas F, m2</t>
        </is>
      </c>
      <c r="T4" s="3" t="inlineStr">
        <is>
          <t>Dujų tūrio debitas realiomis sąlygomis Vk = wvid × F, m3/s</t>
        </is>
      </c>
      <c r="U4" s="3" t="inlineStr">
        <is>
          <t>Dujų tūrio debitas normaliosiomis sąlygomis Vdr n.s =Vk *0,269*(P±ΔP)/(273+t), m3/s</t>
        </is>
      </c>
      <c r="V4" s="3" t="inlineStr">
        <is>
          <t>Vandens kondensato masė m H2O, kg</t>
        </is>
      </c>
      <c r="W4" s="3" t="inlineStr">
        <is>
          <t>Vandens garų konc. dujose x=mH2O/Vmn*qn, kg/kg</t>
        </is>
      </c>
      <c r="X4" s="3" t="inlineStr">
        <is>
          <t>Sausų dujų tūrio debitas normaliosiomis sąlygomis Vn= Vdr n.s *((1/(1+(x*qn/0.8038)))</t>
        </is>
      </c>
      <c r="Y4" s="3" t="inlineStr">
        <is>
          <t>Prasiurbtas dujų tūris normaliosiomis sąlygomis Vmn, Nm3</t>
        </is>
      </c>
      <c r="Z4" s="3" t="inlineStr">
        <is>
          <t>Išplėstinės neapibrėžties koef. A</t>
        </is>
      </c>
      <c r="AA4" s="3" t="inlineStr">
        <is>
          <t>Išplėstinė neapibrėžtis (dujų tūrio debitas) Uv</t>
        </is>
      </c>
      <c r="AB4" s="3" t="inlineStr">
        <is>
          <t>Išplėstinė neapibrėžtis (dujų srauto greitis) Uw</t>
        </is>
      </c>
      <c r="AC4" s="3" t="inlineStr">
        <is>
          <t>Sausų dujų tankis normaliosioms sąlygomis qn, (kg/m3)</t>
        </is>
      </c>
      <c r="AD4" s="3" t="inlineStr">
        <is>
          <t>Skaičiavimus atliko (inicialai, data)</t>
        </is>
      </c>
    </row>
    <row r="5">
      <c r="A5" s="1" t="n"/>
      <c r="B5" s="1" t="n"/>
      <c r="C5" s="1" t="n"/>
      <c r="D5" s="1" t="n">
        <v>14</v>
      </c>
    </row>
    <row r="6">
      <c r="D6" s="1" t="n">
        <v>42.5</v>
      </c>
      <c r="R6" s="1" t="inlineStr">
        <is>
          <t>0,86</t>
        </is>
      </c>
      <c r="S6" s="4">
        <f>R6*R7</f>
        <v/>
      </c>
    </row>
    <row r="7">
      <c r="D7" s="1" t="n">
        <v>71</v>
      </c>
      <c r="R7" s="1" t="inlineStr">
        <is>
          <t>0,87</t>
        </is>
      </c>
    </row>
  </sheetData>
  <mergeCells count="3">
    <mergeCell ref="C5:C7"/>
    <mergeCell ref="A5:A7"/>
    <mergeCell ref="B5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2026-03-09T10:22:55Z</dcterms:created>
  <dcterms:modified xsi:type="dcterms:W3CDTF">2026-03-09T10:23:11Z</dcterms:modified>
</cp:coreProperties>
</file>