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agentura2020.sharepoint.com/sites/VidurioLietuvosaplinkostyrimuskyrius/Bendrai naudojami dokumentai/EB7-014 Darbuotojų failai/Tomo/Python 3.14.3/Skaiciavimai/"/>
    </mc:Choice>
  </mc:AlternateContent>
  <xr:revisionPtr revIDLastSave="0" documentId="11_9BBC2E8AEE62497E31F4E97D1C7C76D0B0F29433" xr6:coauthVersionLast="47" xr6:coauthVersionMax="47" xr10:uidLastSave="{00000000-0000-0000-0000-000000000000}"/>
  <bookViews>
    <workbookView xWindow="-110" yWindow="-110" windowWidth="19420" windowHeight="10300" activeTab="2" xr2:uid="{00000000-000D-0000-FFFF-FFFF00000000}"/>
  </bookViews>
  <sheets>
    <sheet name="Greitis" sheetId="1" r:id="rId1"/>
    <sheet name="H2O" sheetId="2" r:id="rId2"/>
    <sheet name="Paėmimas" sheetId="3" r:id="rId3"/>
    <sheet name="Aerodinamika" sheetId="4" r:id="rId4"/>
    <sheet name="Koncentracija" sheetId="5" r:id="rId5"/>
    <sheet name="Svėrimas" sheetId="6" r:id="rId6"/>
    <sheet name="Koncentracijos ribinės vertės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6" i="1" l="1"/>
  <c r="E6" i="3" s="1"/>
</calcChain>
</file>

<file path=xl/sharedStrings.xml><?xml version="1.0" encoding="utf-8"?>
<sst xmlns="http://schemas.openxmlformats.org/spreadsheetml/2006/main" count="126" uniqueCount="101">
  <si>
    <t>Debitas pagal matuotą diferencinį slėgį</t>
  </si>
  <si>
    <t>Matavimo data</t>
  </si>
  <si>
    <t>Ėminių registracijos Nr. T-107-2026-E-</t>
  </si>
  <si>
    <t>Objekto pavadinimas, adresas, taršos šaltinio Nr.</t>
  </si>
  <si>
    <t>Matavimo taškai ortakyje nuo vidinės sienelės, cm</t>
  </si>
  <si>
    <t>Išmatuotas diferencinis slėgis taškuose 1 linija, Pdi, hPa</t>
  </si>
  <si>
    <t>Išmatuotas diferencinis slėgis taškuose 2 linija, Pdi, hPa</t>
  </si>
  <si>
    <t>Išmatuotas diferencinis slėgis taškuose 3 linija, Pdi, hPa</t>
  </si>
  <si>
    <t>Išmatuotas diferencinis slėgis taškuose 4 linija, Pdi, hPa</t>
  </si>
  <si>
    <t>Pito vamzdelio koeficientas, K</t>
  </si>
  <si>
    <t>Temperatūra ortakyje t, oC</t>
  </si>
  <si>
    <t>Atmosferinis slėgis P, hPa</t>
  </si>
  <si>
    <t>Statinis slėgis ortakyje ± ΔP, hPa</t>
  </si>
  <si>
    <t>Dujų slėgis kamine Pk= P+ ΔP, hPa</t>
  </si>
  <si>
    <t>Dujų mol. masė Ms= qn *22.4, kg/</t>
  </si>
  <si>
    <t>Dujų srauto greitis matavimo taškuose, 1 linija, wi = K*129 *√t *√Pdi/ √Pk/√Ms, m/s</t>
  </si>
  <si>
    <t>Dujų srauto greitis matavimo taškuose, 2 linija, wi = K*129 *√t *√Pdi/ √Pk/√Ms, m/s</t>
  </si>
  <si>
    <t>Dujų srauto greitis matavimo taškuose, 3 linija, wi = K*129 *√t *√Pdi/ √Pk/√Ms, m/s</t>
  </si>
  <si>
    <t>Dujų srauto greitis matavimo taškuose, 4 linija, wi = K*129 *√t *√Pdi/ √Pk/√Ms, m/s</t>
  </si>
  <si>
    <t>Vidutinis dujų srauto greitis ortakyje w, m/s</t>
  </si>
  <si>
    <t>Ortakio diametras, matmenys, m</t>
  </si>
  <si>
    <t>Ortakio skerspjūvio plotas F, m2</t>
  </si>
  <si>
    <t>Dujų tūrio debitas realiomis sąlygomis Vk = wvid × F, m3/s</t>
  </si>
  <si>
    <t>Dujų tūrio debitas normaliosiomis sąlygomis Vdr n.s =Vk *0,269*(P±ΔP)/(273+t), m3/s</t>
  </si>
  <si>
    <t>Vandens kondensato masė m H2O, kg</t>
  </si>
  <si>
    <t>Vandens garų konc. dujose x=mH2O/Vmn*qn, kg/kg</t>
  </si>
  <si>
    <t>Sausų dujų tūrio debitas normaliosiomis sąlygomis Vn= Vdr n.s *((1/(1+(x*qn/0.8038)))</t>
  </si>
  <si>
    <t>Prasiurbtas dujų tūris normaliosiomis sąlygomis Vmn, Nm3</t>
  </si>
  <si>
    <t>Išplėstinės neapibrėžties koef. A</t>
  </si>
  <si>
    <t>Išplėstinė neapibrėžtis (dujų tūrio debitas) Uv</t>
  </si>
  <si>
    <t>Išplėstinė neapibrėžtis (dujų srauto greitis) Uw</t>
  </si>
  <si>
    <t>Sausų dujų tankis normaliosioms sąlygomis qn, (kg/m3)</t>
  </si>
  <si>
    <t>Skaičiavimus atliko (inicialai, data)</t>
  </si>
  <si>
    <t>0,85</t>
  </si>
  <si>
    <t>0,86</t>
  </si>
  <si>
    <t>Skaičiuoklė kietųjų dalelių koncentracijai nustatyti. H2O skaičiavimas</t>
  </si>
  <si>
    <t>Ėminių ėmimo laikas t, min.</t>
  </si>
  <si>
    <t>Paėmimo greitis, l/min</t>
  </si>
  <si>
    <t>Atmosferinis slėgis, hPa</t>
  </si>
  <si>
    <t>Išretėjimas, -hPa</t>
  </si>
  <si>
    <t>Temperatūra prie aspiratoriaus, Vtr oC</t>
  </si>
  <si>
    <t>Dujų tūris normaliomis sąlygomis, Vn l.</t>
  </si>
  <si>
    <t>Sausų dujų tankis normaliosioms sąlygomis qn (kg/m3)</t>
  </si>
  <si>
    <t>Drėgmės kiekis X (%) (izokinetinei sistemai)</t>
  </si>
  <si>
    <t>Pastabos</t>
  </si>
  <si>
    <t>Skaičiuoklė kietųjų dalelių koncentracijai nustatyti. Pradinių duomenų nustatymas</t>
  </si>
  <si>
    <t>Ortakio matmenys, m</t>
  </si>
  <si>
    <t>Skerspjūvio plotas A (m2)</t>
  </si>
  <si>
    <t>Temperatūra ortakyje tor (°C)</t>
  </si>
  <si>
    <t>Vidutinis srauto greitis ortakyje wor (m/s)</t>
  </si>
  <si>
    <t>Atmosferinis slėgis P (hPa)</t>
  </si>
  <si>
    <t>Statinis slėgis ortakyje ΔPor (hPa)</t>
  </si>
  <si>
    <t>Slėgis prieš rotametrą ΔPr (±hPa)</t>
  </si>
  <si>
    <t>Antgalio diametras da (mm)</t>
  </si>
  <si>
    <t>Prasiurbtas dujų tūris Vm (m3)</t>
  </si>
  <si>
    <t>Siurbimo laikas t (min)</t>
  </si>
  <si>
    <t>Siurbimo greitis Vo (l/min)</t>
  </si>
  <si>
    <t>Siurbiamų dujų temperatūra prieš rotametrą tr (°C)</t>
  </si>
  <si>
    <t>O2iš (%) (ore 21 %)</t>
  </si>
  <si>
    <t>CO2iš (%) (ore 0,04 %)</t>
  </si>
  <si>
    <t>Darbuotojo inicialai, data</t>
  </si>
  <si>
    <t>Išmatuota O2 koncentracija (%)</t>
  </si>
  <si>
    <t>Išmatuota CO2 koncentracija (%)</t>
  </si>
  <si>
    <t>0,85 x 0,86</t>
  </si>
  <si>
    <t>Skaičiuoklė kietųjų dalelių koncentracijai nustatyti. Izokinetiškumo nustatymas</t>
  </si>
  <si>
    <t>Prasiurbtas dujų tūris normaliosiomis sąlygomis Vmn (Nm3)</t>
  </si>
  <si>
    <t>Prasiurbto dujų tūrio normaliosiomis sąlygomis suma Vmn(sum) (Nm3)</t>
  </si>
  <si>
    <t>Drėgmės kiekis X (%)</t>
  </si>
  <si>
    <t>Pratrauktas drėgnų dujų tūris realiomis sąlygomis Vmk (m3)</t>
  </si>
  <si>
    <t>Dujų srauto greitis antgalyje v antg. (m/s)</t>
  </si>
  <si>
    <t>Izokinetiškumas (0,95-1,15)</t>
  </si>
  <si>
    <t>Izokinetiškumo vidurkis (0,95-1,15)</t>
  </si>
  <si>
    <t>Skaičiavimus atlikusio asmens inicialai, data</t>
  </si>
  <si>
    <t>Skaičiuoklė kietųjų dalelių koncentracijai nustatyti. Kietųjų dalelių koncentracijos nustatymas</t>
  </si>
  <si>
    <t>Filtro Nr.</t>
  </si>
  <si>
    <t>Filtro svoris prieš KD ėmimą mpr (g)</t>
  </si>
  <si>
    <t>Filtro svoris po KD ėmimo mpo (g)</t>
  </si>
  <si>
    <t>Tuščiojo ėminio KD svoris mt (g)</t>
  </si>
  <si>
    <t>Nuosėdų kiekis mn (g)</t>
  </si>
  <si>
    <t>Indų svorių pokytis mIt (g)</t>
  </si>
  <si>
    <t>Sausų dujų tūris n.s. Vmn (Nm3)</t>
  </si>
  <si>
    <t>Kietų dalelių koncentracija c1 (neįvert. O2) (mg/Nm3)</t>
  </si>
  <si>
    <t>Tuščiojo filtro vertė mft (mg/m3) (&lt; 2 mg/m3)</t>
  </si>
  <si>
    <t>Surinktų dulkių ir tuščiojo ėminio santykis mFtk (&gt;5)</t>
  </si>
  <si>
    <t>Filtrų skaičius Fsk (vnt.)</t>
  </si>
  <si>
    <t>Skaičiuoklė kietųjų dalelių koncentracijai nustatyti. Svėrimas</t>
  </si>
  <si>
    <t>Filtro/ indo Nr.</t>
  </si>
  <si>
    <t>Tuščio filtro/indo svėrimo data</t>
  </si>
  <si>
    <t>Filtro/indo svoris prieš KD ėmimą mpr (g)</t>
  </si>
  <si>
    <t>Atsakingo asmens inicialai, data</t>
  </si>
  <si>
    <t>Filtro/indo su ėminiu svėrimo data</t>
  </si>
  <si>
    <t>Filtro/indo svoris po KD ėmimo mpo (g)</t>
  </si>
  <si>
    <t>Kietųjų dalelių svoris mf/Svorių pokytis (g) (&lt;2,20 g filtro talpumas)</t>
  </si>
  <si>
    <t>1</t>
  </si>
  <si>
    <t>2</t>
  </si>
  <si>
    <t>3</t>
  </si>
  <si>
    <t>Patikrinimas, ar planuojamas surinkti dulkių kiekis suderinamas su tuščiojo ėminio verte ir ar filtras nebus per daug apkrautas</t>
  </si>
  <si>
    <t>Planuojama surinkti dulkių masė m, g (&lt;2,20 g)</t>
  </si>
  <si>
    <t>Mažiausia ėminio ėmimo trukmė t, 30 min</t>
  </si>
  <si>
    <t>Tikėtina dulkių koncentracija cexs, mg/Nm3;</t>
  </si>
  <si>
    <t>Planuojamas dujų tūrio siurbimo greitis matavimo metu ortakio sąlygomis Vo, l/min.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</si>
</sst>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4" x14ac:knownFonts="1">
    <font>
      <sz val="11"/>
      <color theme="1"/>
      <name val="Calibri"/>
      <family val="2"/>
      <scheme val="minor"/>
    </font>
    <font>
      <b/>
      <sz val="12"/>
      <name val="Calibri"/>
    </font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165" fontId="0" fillId="0" borderId="2" xfId="0" applyNumberForma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/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/>
  </cellXfs>
  <cellStyles count="1">
    <cellStyle name="Įprastas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F7"/>
  <sheetViews>
    <sheetView workbookViewId="0"/>
  </sheetViews>
  <sheetFormatPr defaultRowHeight="14.5" x14ac:dyDescent="0.35"/>
  <cols>
    <col min="1" max="32" width="15" customWidth="1"/>
  </cols>
  <sheetData>
    <row r="2" spans="1:32" ht="15.5" x14ac:dyDescent="0.35">
      <c r="A2" s="10" t="s">
        <v>0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</row>
    <row r="4" spans="1:32" ht="130" customHeight="1" x14ac:dyDescent="0.35">
      <c r="A4" s="2" t="s">
        <v>1</v>
      </c>
      <c r="B4" s="2" t="s">
        <v>2</v>
      </c>
      <c r="C4" s="2" t="s">
        <v>3</v>
      </c>
      <c r="D4" s="2" t="s">
        <v>4</v>
      </c>
      <c r="E4" s="2" t="s">
        <v>5</v>
      </c>
      <c r="F4" s="2" t="s">
        <v>6</v>
      </c>
      <c r="G4" s="2" t="s">
        <v>7</v>
      </c>
      <c r="H4" s="2" t="s">
        <v>8</v>
      </c>
      <c r="I4" s="2" t="s">
        <v>9</v>
      </c>
      <c r="J4" s="2" t="s">
        <v>10</v>
      </c>
      <c r="K4" s="2" t="s">
        <v>11</v>
      </c>
      <c r="L4" s="2" t="s">
        <v>12</v>
      </c>
      <c r="M4" s="2" t="s">
        <v>13</v>
      </c>
      <c r="N4" s="2" t="s">
        <v>14</v>
      </c>
      <c r="O4" s="2" t="s">
        <v>15</v>
      </c>
      <c r="P4" s="2" t="s">
        <v>16</v>
      </c>
      <c r="Q4" s="2" t="s">
        <v>17</v>
      </c>
      <c r="R4" s="2" t="s">
        <v>18</v>
      </c>
      <c r="S4" s="2" t="s">
        <v>19</v>
      </c>
      <c r="T4" s="2" t="s">
        <v>20</v>
      </c>
      <c r="U4" s="2" t="s">
        <v>21</v>
      </c>
      <c r="V4" s="2" t="s">
        <v>22</v>
      </c>
      <c r="W4" s="2" t="s">
        <v>23</v>
      </c>
      <c r="X4" s="2" t="s">
        <v>24</v>
      </c>
      <c r="Y4" s="2" t="s">
        <v>25</v>
      </c>
      <c r="Z4" s="2" t="s">
        <v>26</v>
      </c>
      <c r="AA4" s="2" t="s">
        <v>27</v>
      </c>
      <c r="AB4" s="2" t="s">
        <v>28</v>
      </c>
      <c r="AC4" s="2" t="s">
        <v>29</v>
      </c>
      <c r="AD4" s="2" t="s">
        <v>30</v>
      </c>
      <c r="AE4" s="2" t="s">
        <v>31</v>
      </c>
      <c r="AF4" s="2" t="s">
        <v>32</v>
      </c>
    </row>
    <row r="5" spans="1:32" x14ac:dyDescent="0.35">
      <c r="A5" s="8"/>
      <c r="B5" s="8"/>
      <c r="C5" s="8"/>
      <c r="D5" s="1">
        <v>14</v>
      </c>
      <c r="I5" s="3">
        <v>0.82699999999999996</v>
      </c>
      <c r="AB5" s="3">
        <v>7.9000000000000001E-2</v>
      </c>
    </row>
    <row r="6" spans="1:32" x14ac:dyDescent="0.35">
      <c r="A6" s="9"/>
      <c r="B6" s="9"/>
      <c r="C6" s="9"/>
      <c r="D6" s="1">
        <v>42.5</v>
      </c>
      <c r="I6" s="3">
        <v>0.82699999999999996</v>
      </c>
      <c r="T6" s="1" t="s">
        <v>33</v>
      </c>
      <c r="U6" s="4">
        <f>T6*T7</f>
        <v>0.73099999999999998</v>
      </c>
      <c r="AB6" s="3">
        <v>7.9000000000000001E-2</v>
      </c>
    </row>
    <row r="7" spans="1:32" x14ac:dyDescent="0.35">
      <c r="A7" s="9"/>
      <c r="B7" s="9"/>
      <c r="C7" s="9"/>
      <c r="D7" s="1">
        <v>71</v>
      </c>
      <c r="I7" s="3">
        <v>0.82699999999999996</v>
      </c>
      <c r="T7" s="1" t="s">
        <v>34</v>
      </c>
    </row>
  </sheetData>
  <mergeCells count="4">
    <mergeCell ref="C5:C7"/>
    <mergeCell ref="A5:A7"/>
    <mergeCell ref="A2:AF2"/>
    <mergeCell ref="B5:B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L5"/>
  <sheetViews>
    <sheetView workbookViewId="0"/>
  </sheetViews>
  <sheetFormatPr defaultRowHeight="14.5" x14ac:dyDescent="0.35"/>
  <cols>
    <col min="1" max="12" width="14" customWidth="1"/>
  </cols>
  <sheetData>
    <row r="3" spans="1:12" x14ac:dyDescent="0.35">
      <c r="A3" s="11" t="s">
        <v>35</v>
      </c>
      <c r="B3" s="9"/>
      <c r="C3" s="9"/>
      <c r="D3" s="9"/>
      <c r="E3" s="9"/>
      <c r="F3" s="9"/>
      <c r="G3" s="9"/>
      <c r="H3" s="9"/>
      <c r="I3" s="9"/>
      <c r="J3" s="9"/>
      <c r="K3" s="9"/>
      <c r="L3" s="9"/>
    </row>
    <row r="5" spans="1:12" ht="72.5" x14ac:dyDescent="0.35">
      <c r="A5" s="2"/>
      <c r="B5" s="2" t="s">
        <v>36</v>
      </c>
      <c r="C5" s="2" t="s">
        <v>37</v>
      </c>
      <c r="D5" s="2" t="s">
        <v>38</v>
      </c>
      <c r="E5" s="2" t="s">
        <v>39</v>
      </c>
      <c r="F5" s="2" t="s">
        <v>40</v>
      </c>
      <c r="G5" s="2" t="s">
        <v>41</v>
      </c>
      <c r="H5" s="2" t="s">
        <v>27</v>
      </c>
      <c r="I5" s="2" t="s">
        <v>24</v>
      </c>
      <c r="J5" s="2" t="s">
        <v>42</v>
      </c>
      <c r="K5" s="2" t="s">
        <v>43</v>
      </c>
      <c r="L5" s="2" t="s">
        <v>44</v>
      </c>
    </row>
  </sheetData>
  <mergeCells count="1">
    <mergeCell ref="A3:L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V6"/>
  <sheetViews>
    <sheetView tabSelected="1" workbookViewId="0"/>
  </sheetViews>
  <sheetFormatPr defaultRowHeight="14.5" x14ac:dyDescent="0.35"/>
  <cols>
    <col min="1" max="22" width="14" customWidth="1"/>
  </cols>
  <sheetData>
    <row r="2" spans="1:22" x14ac:dyDescent="0.35">
      <c r="A2" s="11" t="s">
        <v>45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</row>
    <row r="5" spans="1:22" ht="58" x14ac:dyDescent="0.35">
      <c r="A5" s="2" t="s">
        <v>1</v>
      </c>
      <c r="B5" s="2" t="s">
        <v>2</v>
      </c>
      <c r="C5" s="2" t="s">
        <v>3</v>
      </c>
      <c r="D5" s="2" t="s">
        <v>46</v>
      </c>
      <c r="E5" s="2" t="s">
        <v>47</v>
      </c>
      <c r="F5" s="2" t="s">
        <v>48</v>
      </c>
      <c r="G5" s="2" t="s">
        <v>49</v>
      </c>
      <c r="H5" s="2" t="s">
        <v>50</v>
      </c>
      <c r="I5" s="2" t="s">
        <v>51</v>
      </c>
      <c r="J5" s="2" t="s">
        <v>52</v>
      </c>
      <c r="K5" s="2" t="s">
        <v>53</v>
      </c>
      <c r="L5" s="2" t="s">
        <v>54</v>
      </c>
      <c r="M5" s="2" t="s">
        <v>55</v>
      </c>
      <c r="N5" s="2" t="s">
        <v>56</v>
      </c>
      <c r="O5" s="2" t="s">
        <v>57</v>
      </c>
      <c r="P5" s="2" t="s">
        <v>58</v>
      </c>
      <c r="Q5" s="2" t="s">
        <v>59</v>
      </c>
      <c r="R5" s="2" t="s">
        <v>60</v>
      </c>
      <c r="S5" s="2" t="s">
        <v>44</v>
      </c>
      <c r="T5" s="2" t="s">
        <v>61</v>
      </c>
      <c r="U5" s="2" t="s">
        <v>62</v>
      </c>
      <c r="V5" s="2" t="s">
        <v>48</v>
      </c>
    </row>
    <row r="6" spans="1:22" x14ac:dyDescent="0.35">
      <c r="D6" s="5" t="s">
        <v>63</v>
      </c>
      <c r="E6" s="6">
        <f>Greitis!U6</f>
        <v>0.73099999999999998</v>
      </c>
    </row>
  </sheetData>
  <mergeCells count="1">
    <mergeCell ref="A2:V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N5"/>
  <sheetViews>
    <sheetView workbookViewId="0"/>
  </sheetViews>
  <sheetFormatPr defaultRowHeight="14.5" x14ac:dyDescent="0.35"/>
  <cols>
    <col min="1" max="14" width="14" customWidth="1"/>
  </cols>
  <sheetData>
    <row r="2" spans="1:14" x14ac:dyDescent="0.35">
      <c r="A2" s="11" t="s">
        <v>64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</row>
    <row r="5" spans="1:14" ht="87" x14ac:dyDescent="0.35">
      <c r="A5" s="2" t="s">
        <v>1</v>
      </c>
      <c r="B5" s="2" t="s">
        <v>2</v>
      </c>
      <c r="C5" s="2" t="s">
        <v>3</v>
      </c>
      <c r="D5" s="2" t="s">
        <v>54</v>
      </c>
      <c r="E5" s="2" t="s">
        <v>65</v>
      </c>
      <c r="F5" s="2" t="s">
        <v>66</v>
      </c>
      <c r="G5" s="2" t="s">
        <v>42</v>
      </c>
      <c r="H5" s="2" t="s">
        <v>67</v>
      </c>
      <c r="I5" s="2" t="s">
        <v>68</v>
      </c>
      <c r="J5" s="2" t="s">
        <v>69</v>
      </c>
      <c r="K5" s="2" t="s">
        <v>70</v>
      </c>
      <c r="L5" s="2" t="s">
        <v>71</v>
      </c>
      <c r="M5" s="2" t="s">
        <v>72</v>
      </c>
      <c r="N5" s="2" t="s">
        <v>44</v>
      </c>
    </row>
  </sheetData>
  <mergeCells count="1">
    <mergeCell ref="A2:N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P5"/>
  <sheetViews>
    <sheetView workbookViewId="0"/>
  </sheetViews>
  <sheetFormatPr defaultRowHeight="14.5" x14ac:dyDescent="0.35"/>
  <cols>
    <col min="1" max="16" width="14" customWidth="1"/>
  </cols>
  <sheetData>
    <row r="2" spans="1:16" x14ac:dyDescent="0.35">
      <c r="A2" s="11" t="s">
        <v>73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</row>
    <row r="5" spans="1:16" ht="58" x14ac:dyDescent="0.35">
      <c r="A5" s="2" t="s">
        <v>1</v>
      </c>
      <c r="B5" s="2" t="s">
        <v>2</v>
      </c>
      <c r="C5" s="2" t="s">
        <v>3</v>
      </c>
      <c r="D5" s="2" t="s">
        <v>74</v>
      </c>
      <c r="E5" s="2" t="s">
        <v>75</v>
      </c>
      <c r="F5" s="2" t="s">
        <v>76</v>
      </c>
      <c r="G5" s="2" t="s">
        <v>77</v>
      </c>
      <c r="H5" s="2" t="s">
        <v>78</v>
      </c>
      <c r="I5" s="2" t="s">
        <v>79</v>
      </c>
      <c r="J5" s="2" t="s">
        <v>80</v>
      </c>
      <c r="K5" s="2" t="s">
        <v>81</v>
      </c>
      <c r="L5" s="2" t="s">
        <v>82</v>
      </c>
      <c r="M5" s="2" t="s">
        <v>83</v>
      </c>
      <c r="N5" s="2" t="s">
        <v>72</v>
      </c>
      <c r="O5" s="2" t="s">
        <v>84</v>
      </c>
      <c r="P5" s="2" t="s">
        <v>44</v>
      </c>
    </row>
  </sheetData>
  <mergeCells count="1">
    <mergeCell ref="A2:P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O5"/>
  <sheetViews>
    <sheetView workbookViewId="0"/>
  </sheetViews>
  <sheetFormatPr defaultRowHeight="14.5" x14ac:dyDescent="0.35"/>
  <cols>
    <col min="1" max="15" width="16" customWidth="1"/>
  </cols>
  <sheetData>
    <row r="2" spans="1:15" x14ac:dyDescent="0.35">
      <c r="A2" s="11" t="s">
        <v>85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</row>
    <row r="4" spans="1:15" ht="60" customHeight="1" x14ac:dyDescent="0.35">
      <c r="A4" s="12" t="s">
        <v>2</v>
      </c>
      <c r="B4" s="12" t="s">
        <v>3</v>
      </c>
      <c r="C4" s="12" t="s">
        <v>86</v>
      </c>
      <c r="D4" s="12" t="s">
        <v>87</v>
      </c>
      <c r="E4" s="12" t="s">
        <v>88</v>
      </c>
      <c r="F4" s="13"/>
      <c r="G4" s="13"/>
      <c r="H4" s="12" t="s">
        <v>89</v>
      </c>
      <c r="I4" s="12" t="s">
        <v>90</v>
      </c>
      <c r="J4" s="12" t="s">
        <v>91</v>
      </c>
      <c r="K4" s="13"/>
      <c r="L4" s="13"/>
      <c r="M4" s="12" t="s">
        <v>92</v>
      </c>
      <c r="N4" s="12" t="s">
        <v>89</v>
      </c>
      <c r="O4" s="12" t="s">
        <v>44</v>
      </c>
    </row>
    <row r="5" spans="1:15" x14ac:dyDescent="0.35">
      <c r="A5" s="13"/>
      <c r="B5" s="13"/>
      <c r="C5" s="13"/>
      <c r="D5" s="13"/>
      <c r="E5" s="7" t="s">
        <v>93</v>
      </c>
      <c r="F5" s="7" t="s">
        <v>94</v>
      </c>
      <c r="G5" s="7" t="s">
        <v>95</v>
      </c>
      <c r="H5" s="13"/>
      <c r="I5" s="13"/>
      <c r="J5" s="7" t="s">
        <v>93</v>
      </c>
      <c r="K5" s="7" t="s">
        <v>94</v>
      </c>
      <c r="L5" s="7" t="s">
        <v>95</v>
      </c>
      <c r="M5" s="13"/>
      <c r="N5" s="13"/>
      <c r="O5" s="13"/>
    </row>
  </sheetData>
  <mergeCells count="12">
    <mergeCell ref="M4:M5"/>
    <mergeCell ref="B4:B5"/>
    <mergeCell ref="A2:O2"/>
    <mergeCell ref="C4:C5"/>
    <mergeCell ref="A4:A5"/>
    <mergeCell ref="D4:D5"/>
    <mergeCell ref="H4:H5"/>
    <mergeCell ref="I4:I5"/>
    <mergeCell ref="N4:N5"/>
    <mergeCell ref="O4:O5"/>
    <mergeCell ref="E4:G4"/>
    <mergeCell ref="J4:L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3:D5"/>
  <sheetViews>
    <sheetView workbookViewId="0"/>
  </sheetViews>
  <sheetFormatPr defaultRowHeight="14.5" x14ac:dyDescent="0.35"/>
  <cols>
    <col min="1" max="4" width="18" customWidth="1"/>
  </cols>
  <sheetData>
    <row r="3" spans="1:4" ht="45" customHeight="1" x14ac:dyDescent="0.35">
      <c r="A3" s="11" t="s">
        <v>96</v>
      </c>
      <c r="B3" s="9"/>
      <c r="C3" s="9"/>
      <c r="D3" s="9"/>
    </row>
    <row r="5" spans="1:4" ht="72.5" x14ac:dyDescent="0.35">
      <c r="A5" s="2" t="s">
        <v>97</v>
      </c>
      <c r="B5" s="2" t="s">
        <v>98</v>
      </c>
      <c r="C5" s="2" t="s">
        <v>99</v>
      </c>
      <c r="D5" s="2" t="s">
        <v>100</v>
      </c>
    </row>
  </sheetData>
  <mergeCells count="1">
    <mergeCell ref="A3:D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Darbalapiai</vt:lpstr>
      </vt:variant>
      <vt:variant>
        <vt:i4>7</vt:i4>
      </vt:variant>
    </vt:vector>
  </HeadingPairs>
  <TitlesOfParts>
    <vt:vector size="7" baseType="lpstr">
      <vt:lpstr>Greitis</vt:lpstr>
      <vt:lpstr>H2O</vt:lpstr>
      <vt:lpstr>Paėmimas</vt:lpstr>
      <vt:lpstr>Aerodinamika</vt:lpstr>
      <vt:lpstr>Koncentracija</vt:lpstr>
      <vt:lpstr>Svėrimas</vt:lpstr>
      <vt:lpstr>Koncentracijos ribinės vertės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Tomas Vilkickas</cp:lastModifiedBy>
  <dcterms:created xsi:type="dcterms:W3CDTF">2026-03-10T10:41:16Z</dcterms:created>
  <dcterms:modified xsi:type="dcterms:W3CDTF">2026-03-10T10:46:19Z</dcterms:modified>
</cp:coreProperties>
</file>