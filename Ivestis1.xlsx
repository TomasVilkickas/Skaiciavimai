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30" documentId="13_ncr:1_{01443EB8-4D64-407F-8533-569B30C1461B}" xr6:coauthVersionLast="47" xr6:coauthVersionMax="47" xr10:uidLastSave="{57E278BD-8C50-4613-80CC-64D50D242CD1}"/>
  <bookViews>
    <workbookView xWindow="-110" yWindow="-110" windowWidth="19420" windowHeight="10300" tabRatio="821" firstSheet="1" activeTab="3"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X7" i="11"/>
  <c r="X8" i="11"/>
  <c r="X9" i="11"/>
  <c r="X10" i="11"/>
  <c r="X11" i="11"/>
  <c r="X12" i="11"/>
  <c r="X13" i="11"/>
  <c r="X14" i="11"/>
  <c r="X15" i="11"/>
  <c r="X16" i="11"/>
  <c r="X17" i="11"/>
  <c r="X18" i="11"/>
  <c r="X19" i="11"/>
  <c r="X20" i="11"/>
  <c r="X21" i="11"/>
  <c r="X22" i="11"/>
  <c r="X6" i="11"/>
  <c r="N23" i="11"/>
  <c r="C6" i="11"/>
  <c r="A6" i="11"/>
  <c r="I6" i="11"/>
  <c r="H6" i="11"/>
  <c r="D7" i="20"/>
  <c r="T7" i="22"/>
  <c r="T6" i="22"/>
  <c r="L47" i="22" l="1"/>
  <c r="K47" i="22"/>
  <c r="L46" i="22"/>
  <c r="K46" i="22"/>
  <c r="L45" i="22"/>
  <c r="K45" i="22"/>
  <c r="L44" i="22"/>
  <c r="K44" i="22"/>
  <c r="L43" i="22"/>
  <c r="K43" i="22"/>
  <c r="L42" i="22"/>
  <c r="K42" i="22"/>
  <c r="L41" i="22"/>
  <c r="K41" i="22"/>
  <c r="L40" i="22"/>
  <c r="K40" i="22"/>
  <c r="L39" i="22"/>
  <c r="K39" i="22"/>
  <c r="L38" i="22"/>
  <c r="K38" i="22"/>
  <c r="L37" i="22"/>
  <c r="K37" i="22"/>
  <c r="L36" i="22"/>
  <c r="K36" i="22"/>
  <c r="L35" i="22"/>
  <c r="K35" i="22"/>
  <c r="L34" i="22"/>
  <c r="K34" i="22"/>
  <c r="L33" i="22"/>
  <c r="K33" i="22"/>
  <c r="U32" i="22"/>
  <c r="Q32" i="22"/>
  <c r="L32" i="22"/>
  <c r="K32" i="22"/>
  <c r="U31" i="22"/>
  <c r="Q31" i="22"/>
  <c r="O31" i="22"/>
  <c r="R31" i="22" s="1"/>
  <c r="S31" i="22" s="1"/>
  <c r="V31" i="22" s="1"/>
  <c r="Y31" i="22" s="1"/>
  <c r="L31" i="22"/>
  <c r="K31" i="22"/>
  <c r="J24" i="22"/>
  <c r="I24" i="22"/>
  <c r="K24" i="22" s="1"/>
  <c r="G24" i="22"/>
  <c r="J22" i="22"/>
  <c r="I22" i="22"/>
  <c r="G22" i="22"/>
  <c r="J21" i="22"/>
  <c r="I21" i="22"/>
  <c r="G21" i="22"/>
  <c r="K20" i="22"/>
  <c r="J20" i="22"/>
  <c r="I20" i="22"/>
  <c r="G20" i="22"/>
  <c r="J19" i="22"/>
  <c r="K19" i="22" s="1"/>
  <c r="I19" i="22"/>
  <c r="G19" i="22"/>
  <c r="J18" i="22"/>
  <c r="I18" i="22"/>
  <c r="G18" i="22"/>
  <c r="J17" i="22"/>
  <c r="I17" i="22"/>
  <c r="K17" i="22" s="1"/>
  <c r="G17" i="22"/>
  <c r="J16" i="22"/>
  <c r="I16" i="22"/>
  <c r="G16" i="22"/>
  <c r="J15" i="22"/>
  <c r="I15" i="22"/>
  <c r="G15" i="22"/>
  <c r="K14" i="22"/>
  <c r="J14" i="22"/>
  <c r="I14" i="22"/>
  <c r="G14" i="22"/>
  <c r="J13" i="22"/>
  <c r="K13" i="22" s="1"/>
  <c r="I13" i="22"/>
  <c r="G13" i="22"/>
  <c r="J12" i="22"/>
  <c r="I12" i="22"/>
  <c r="G12" i="22"/>
  <c r="J11" i="22"/>
  <c r="I11" i="22"/>
  <c r="K11" i="22" s="1"/>
  <c r="G11" i="22"/>
  <c r="J10" i="22"/>
  <c r="I10" i="22"/>
  <c r="G10" i="22"/>
  <c r="J9" i="22"/>
  <c r="I9" i="22"/>
  <c r="G9" i="22"/>
  <c r="K8" i="22"/>
  <c r="J8" i="22"/>
  <c r="I8" i="22"/>
  <c r="G8" i="22"/>
  <c r="Q7" i="22"/>
  <c r="J7" i="22"/>
  <c r="I7" i="22"/>
  <c r="K7" i="22" s="1"/>
  <c r="G7" i="22"/>
  <c r="Q6" i="22"/>
  <c r="K6" i="22"/>
  <c r="K10" i="22" l="1"/>
  <c r="K12" i="22"/>
  <c r="K16" i="22"/>
  <c r="K18" i="22"/>
  <c r="K22" i="22"/>
  <c r="K9" i="22"/>
  <c r="K21" i="22"/>
  <c r="Z32" i="22"/>
  <c r="R32" i="22"/>
  <c r="S32" i="22" s="1"/>
  <c r="V32" i="22" s="1"/>
  <c r="Y32" i="22" s="1"/>
  <c r="K15" i="22"/>
  <c r="Z31" i="22"/>
  <c r="A6" i="12"/>
  <c r="G7" i="20"/>
  <c r="H7" i="20" s="1"/>
  <c r="A6" i="21"/>
  <c r="W6" i="22" l="1"/>
  <c r="U6" i="22" s="1"/>
  <c r="W7" i="22"/>
  <c r="U7" i="22" s="1"/>
  <c r="M12" i="12"/>
  <c r="M16" i="12" s="1"/>
  <c r="M13" i="12"/>
  <c r="M14" i="12"/>
  <c r="M15" i="12"/>
  <c r="B6" i="12"/>
  <c r="D6" i="12"/>
  <c r="H6" i="12"/>
  <c r="M6" i="12"/>
  <c r="O6" i="12"/>
  <c r="M7" i="12"/>
  <c r="M8" i="12"/>
  <c r="M9" i="12"/>
  <c r="M11" i="12"/>
  <c r="H6" i="2" s="1"/>
  <c r="V9" i="11"/>
  <c r="U9" i="11"/>
  <c r="Q6" i="11" s="1"/>
  <c r="T9" i="11"/>
  <c r="P6" i="11" s="1"/>
  <c r="F6" i="11" l="1"/>
  <c r="H6" i="22"/>
  <c r="I6" i="2"/>
  <c r="H7" i="11"/>
  <c r="H8" i="11" s="1"/>
  <c r="H9" i="11" s="1"/>
  <c r="H10" i="11" s="1"/>
  <c r="H11" i="11" s="1"/>
  <c r="H12" i="11" s="1"/>
  <c r="H13" i="11" s="1"/>
  <c r="H14" i="11" s="1"/>
  <c r="H15" i="11" s="1"/>
  <c r="H16" i="11" s="1"/>
  <c r="H17" i="11" s="1"/>
  <c r="H18" i="11" s="1"/>
  <c r="H19" i="11" s="1"/>
  <c r="H20" i="11" s="1"/>
  <c r="H21" i="11" s="1"/>
  <c r="H22" i="11" s="1"/>
  <c r="I7" i="11"/>
  <c r="I8" i="11" s="1"/>
  <c r="I9" i="11" s="1"/>
  <c r="I10" i="11" s="1"/>
  <c r="I11" i="11" s="1"/>
  <c r="I12" i="11" s="1"/>
  <c r="I13" i="11" s="1"/>
  <c r="I14" i="11" s="1"/>
  <c r="I15" i="11" s="1"/>
  <c r="I16" i="11" s="1"/>
  <c r="I17" i="11" s="1"/>
  <c r="I18" i="11" s="1"/>
  <c r="I19" i="11" s="1"/>
  <c r="I20" i="11" s="1"/>
  <c r="I21" i="11" s="1"/>
  <c r="I22" i="11" s="1"/>
  <c r="K7" i="11"/>
  <c r="K8" i="11" s="1"/>
  <c r="K9" i="11" s="1"/>
  <c r="K10" i="11" s="1"/>
  <c r="K11" i="11" s="1"/>
  <c r="K12" i="11" s="1"/>
  <c r="K13" i="11" s="1"/>
  <c r="K14" i="11" s="1"/>
  <c r="K15" i="11" s="1"/>
  <c r="K16" i="11" s="1"/>
  <c r="K17" i="11" s="1"/>
  <c r="K18" i="11" s="1"/>
  <c r="K19" i="11" s="1"/>
  <c r="K20" i="11" s="1"/>
  <c r="K21" i="11" s="1"/>
  <c r="K22" i="11" s="1"/>
  <c r="M7" i="11"/>
  <c r="P7" i="11"/>
  <c r="P8" i="11" s="1"/>
  <c r="P9" i="11" s="1"/>
  <c r="P10" i="11" s="1"/>
  <c r="P11" i="11" s="1"/>
  <c r="P12" i="11" s="1"/>
  <c r="P13" i="11" s="1"/>
  <c r="P14" i="11" s="1"/>
  <c r="P15" i="11" s="1"/>
  <c r="P16" i="11" s="1"/>
  <c r="P17" i="11" s="1"/>
  <c r="P18" i="11" s="1"/>
  <c r="P19" i="11" s="1"/>
  <c r="P20" i="11" s="1"/>
  <c r="P21" i="11" s="1"/>
  <c r="P22" i="11" s="1"/>
  <c r="Q7" i="11"/>
  <c r="A6" i="1"/>
  <c r="F7" i="11" l="1"/>
  <c r="H24" i="22"/>
  <c r="H14" i="22"/>
  <c r="H13" i="22"/>
  <c r="H22" i="22"/>
  <c r="H19" i="22"/>
  <c r="H21" i="22"/>
  <c r="H17" i="22"/>
  <c r="H18" i="22"/>
  <c r="H20" i="22"/>
  <c r="H12" i="22"/>
  <c r="H9" i="22"/>
  <c r="H7" i="22"/>
  <c r="H8" i="22"/>
  <c r="H10" i="22"/>
  <c r="H11" i="22"/>
  <c r="H15" i="22"/>
  <c r="H16" i="22"/>
  <c r="G7" i="1"/>
  <c r="Q8" i="11"/>
  <c r="L7" i="11"/>
  <c r="D7" i="1" s="1"/>
  <c r="E7" i="1" s="1"/>
  <c r="M8" i="11"/>
  <c r="F8" i="11" l="1"/>
  <c r="Q9" i="11"/>
  <c r="G8" i="1"/>
  <c r="L8" i="11"/>
  <c r="D8" i="1" s="1"/>
  <c r="E8" i="1" s="1"/>
  <c r="M9" i="11"/>
  <c r="F9" i="11" l="1"/>
  <c r="Q10" i="11"/>
  <c r="G9" i="1"/>
  <c r="M10" i="11"/>
  <c r="L9" i="11"/>
  <c r="D9" i="1" s="1"/>
  <c r="E9" i="1" s="1"/>
  <c r="F10" i="11" l="1"/>
  <c r="Q11" i="11"/>
  <c r="G10" i="1"/>
  <c r="L10" i="11"/>
  <c r="D10" i="1" s="1"/>
  <c r="E10" i="1" s="1"/>
  <c r="M11" i="11"/>
  <c r="P6" i="2"/>
  <c r="N6" i="1"/>
  <c r="F11" i="11" l="1"/>
  <c r="Q12" i="11"/>
  <c r="G11" i="1"/>
  <c r="M12" i="11"/>
  <c r="L11" i="11"/>
  <c r="D11" i="1" s="1"/>
  <c r="E11" i="1" s="1"/>
  <c r="F12" i="11" l="1"/>
  <c r="Q13" i="11"/>
  <c r="G12" i="1"/>
  <c r="L12" i="11"/>
  <c r="D12" i="1" s="1"/>
  <c r="E12" i="1" s="1"/>
  <c r="M13" i="11"/>
  <c r="F13" i="11" l="1"/>
  <c r="Q14" i="11"/>
  <c r="G13" i="1"/>
  <c r="M14" i="11"/>
  <c r="L13" i="11"/>
  <c r="D13" i="1" s="1"/>
  <c r="E13" i="1" s="1"/>
  <c r="G6" i="1"/>
  <c r="B6" i="1"/>
  <c r="C6" i="1"/>
  <c r="F14" i="11" l="1"/>
  <c r="Q15" i="11"/>
  <c r="G14" i="1"/>
  <c r="L14" i="11"/>
  <c r="D14" i="1" s="1"/>
  <c r="E14" i="1" s="1"/>
  <c r="M15" i="11"/>
  <c r="F15" i="11" l="1"/>
  <c r="Q16" i="11"/>
  <c r="G15" i="1"/>
  <c r="L15" i="11"/>
  <c r="D15" i="1" s="1"/>
  <c r="E15" i="1" s="1"/>
  <c r="M16" i="11"/>
  <c r="B6" i="2"/>
  <c r="N6" i="2"/>
  <c r="C6" i="2"/>
  <c r="M6" i="1"/>
  <c r="A6" i="2"/>
  <c r="F6" i="2"/>
  <c r="E6" i="2"/>
  <c r="D6" i="2"/>
  <c r="L6" i="11"/>
  <c r="F16" i="11" l="1"/>
  <c r="Q17" i="11"/>
  <c r="Q18" i="11" s="1"/>
  <c r="G16" i="1"/>
  <c r="L16" i="11"/>
  <c r="D16" i="1" s="1"/>
  <c r="E16" i="1" s="1"/>
  <c r="M17" i="11"/>
  <c r="M18" i="11" s="1"/>
  <c r="G6" i="2"/>
  <c r="M6" i="2" s="1"/>
  <c r="D6" i="1"/>
  <c r="F17" i="11" l="1"/>
  <c r="G18" i="1"/>
  <c r="Q19" i="11"/>
  <c r="M19" i="11"/>
  <c r="L18" i="11"/>
  <c r="D18" i="1" s="1"/>
  <c r="E18" i="1" s="1"/>
  <c r="G17" i="1"/>
  <c r="L17" i="11"/>
  <c r="D17" i="1" s="1"/>
  <c r="E17" i="1" s="1"/>
  <c r="E6" i="1"/>
  <c r="F18" i="11" l="1"/>
  <c r="G19" i="1"/>
  <c r="Q20" i="11"/>
  <c r="M20" i="11"/>
  <c r="L19" i="11"/>
  <c r="D19" i="1" s="1"/>
  <c r="E19" i="1" s="1"/>
  <c r="F19" i="11" l="1"/>
  <c r="G20" i="1"/>
  <c r="Q21" i="11"/>
  <c r="L20" i="11"/>
  <c r="D20" i="1" s="1"/>
  <c r="E20" i="1" s="1"/>
  <c r="M21" i="11"/>
  <c r="F20" i="11" l="1"/>
  <c r="Q22" i="11"/>
  <c r="G22" i="1" s="1"/>
  <c r="G21" i="1"/>
  <c r="M22" i="11"/>
  <c r="L21" i="11"/>
  <c r="D21" i="1" s="1"/>
  <c r="E21" i="1" s="1"/>
  <c r="F21" i="11" l="1"/>
  <c r="G23" i="1"/>
  <c r="J7" i="20" s="1"/>
  <c r="K7" i="20" s="1"/>
  <c r="L22" i="11"/>
  <c r="D22" i="1" s="1"/>
  <c r="E22" i="1" s="1"/>
  <c r="M23" i="11"/>
  <c r="F22" i="11" l="1"/>
  <c r="AA6" i="22"/>
  <c r="L15" i="22" s="1"/>
  <c r="H17" i="1"/>
  <c r="I17" i="1" s="1"/>
  <c r="J17" i="1" s="1"/>
  <c r="H7" i="1"/>
  <c r="I7" i="1" s="1"/>
  <c r="J7" i="1" s="1"/>
  <c r="H16" i="1"/>
  <c r="I16" i="1" s="1"/>
  <c r="J16" i="1" s="1"/>
  <c r="H19" i="1"/>
  <c r="I19" i="1" s="1"/>
  <c r="J19" i="1" s="1"/>
  <c r="H11" i="1"/>
  <c r="I11" i="1" s="1"/>
  <c r="J11" i="1" s="1"/>
  <c r="H21" i="1"/>
  <c r="I21" i="1" s="1"/>
  <c r="H12" i="1"/>
  <c r="I12" i="1" s="1"/>
  <c r="J12" i="1" s="1"/>
  <c r="H8" i="1"/>
  <c r="I8" i="1" s="1"/>
  <c r="J8" i="1" s="1"/>
  <c r="H14" i="1"/>
  <c r="I14" i="1" s="1"/>
  <c r="J14" i="1" s="1"/>
  <c r="H9" i="1"/>
  <c r="I9" i="1" s="1"/>
  <c r="J9" i="1" s="1"/>
  <c r="H15" i="1"/>
  <c r="I15" i="1" s="1"/>
  <c r="J15" i="1" s="1"/>
  <c r="H6" i="1"/>
  <c r="I6" i="1" s="1"/>
  <c r="J6" i="1" s="1"/>
  <c r="H13" i="1"/>
  <c r="I13" i="1" s="1"/>
  <c r="J13" i="1" s="1"/>
  <c r="H18" i="1"/>
  <c r="I18" i="1" s="1"/>
  <c r="J18" i="1" s="1"/>
  <c r="H10" i="1"/>
  <c r="I10" i="1" s="1"/>
  <c r="J10" i="1" s="1"/>
  <c r="H22" i="1"/>
  <c r="H20" i="1"/>
  <c r="I20" i="1" s="1"/>
  <c r="J20" i="1" s="1"/>
  <c r="J21" i="1"/>
  <c r="F6" i="1"/>
  <c r="J6" i="2" s="1"/>
  <c r="K6" i="2" s="1"/>
  <c r="L23" i="11"/>
  <c r="L9" i="22" l="1"/>
  <c r="G22" i="11"/>
  <c r="L10" i="22"/>
  <c r="I22" i="1"/>
  <c r="J22" i="1" s="1"/>
  <c r="L6" i="22"/>
  <c r="M15" i="22"/>
  <c r="G15" i="11"/>
  <c r="K15" i="1" s="1"/>
  <c r="Y15" i="11" s="1"/>
  <c r="L22" i="22"/>
  <c r="M22" i="22" s="1"/>
  <c r="L14" i="22"/>
  <c r="L12" i="22"/>
  <c r="L11" i="22"/>
  <c r="L20" i="22"/>
  <c r="L18" i="22"/>
  <c r="L7" i="22"/>
  <c r="L19" i="22"/>
  <c r="L21" i="22"/>
  <c r="L16" i="22"/>
  <c r="L8" i="22"/>
  <c r="L24" i="22"/>
  <c r="M24" i="22" s="1"/>
  <c r="L17" i="22"/>
  <c r="L13" i="22"/>
  <c r="I23" i="1"/>
  <c r="M18" i="22" l="1"/>
  <c r="G18" i="11"/>
  <c r="K18" i="1" s="1"/>
  <c r="Y18" i="11" s="1"/>
  <c r="M16" i="22"/>
  <c r="G16" i="11"/>
  <c r="K16" i="1" s="1"/>
  <c r="Y16" i="11" s="1"/>
  <c r="M11" i="22"/>
  <c r="G11" i="11"/>
  <c r="K11" i="1" s="1"/>
  <c r="Y11" i="11" s="1"/>
  <c r="M9" i="22"/>
  <c r="G9" i="11"/>
  <c r="K9" i="1" s="1"/>
  <c r="Y9" i="11" s="1"/>
  <c r="M10" i="22"/>
  <c r="G10" i="11"/>
  <c r="K10" i="1" s="1"/>
  <c r="Y10" i="11" s="1"/>
  <c r="M8" i="22"/>
  <c r="G8" i="11"/>
  <c r="K8" i="1" s="1"/>
  <c r="Y8" i="11" s="1"/>
  <c r="M20" i="22"/>
  <c r="G20" i="11"/>
  <c r="K20" i="1" s="1"/>
  <c r="Y20" i="11" s="1"/>
  <c r="M21" i="22"/>
  <c r="G21" i="11"/>
  <c r="K21" i="1" s="1"/>
  <c r="Y21" i="11" s="1"/>
  <c r="M12" i="22"/>
  <c r="G12" i="11"/>
  <c r="K12" i="1" s="1"/>
  <c r="Y12" i="11" s="1"/>
  <c r="M13" i="22"/>
  <c r="G13" i="11"/>
  <c r="K13" i="1" s="1"/>
  <c r="Y13" i="11" s="1"/>
  <c r="M19" i="22"/>
  <c r="G19" i="11"/>
  <c r="K19" i="1" s="1"/>
  <c r="Y19" i="11" s="1"/>
  <c r="M14" i="22"/>
  <c r="G14" i="11"/>
  <c r="K14" i="1" s="1"/>
  <c r="Y14" i="11" s="1"/>
  <c r="M6" i="22"/>
  <c r="G6" i="11"/>
  <c r="K6" i="1" s="1"/>
  <c r="M17" i="22"/>
  <c r="G17" i="11"/>
  <c r="K17" i="1" s="1"/>
  <c r="Y17" i="11" s="1"/>
  <c r="M7" i="22"/>
  <c r="G7" i="11"/>
  <c r="K7" i="1" s="1"/>
  <c r="Y7" i="11" s="1"/>
  <c r="K22" i="1"/>
  <c r="Y22" i="11" s="1"/>
  <c r="Y6" i="11"/>
  <c r="O6" i="22" l="1"/>
  <c r="L6" i="1"/>
  <c r="R7" i="22" l="1"/>
  <c r="S7" i="22" s="1"/>
  <c r="V7" i="22" s="1"/>
  <c r="Y7" i="22" s="1"/>
  <c r="R6" i="22"/>
  <c r="S6" i="22" s="1"/>
  <c r="V6" i="22" s="1"/>
  <c r="Y6" i="22" s="1"/>
  <c r="Z6" i="22"/>
  <c r="Z7" i="22"/>
</calcChain>
</file>

<file path=xl/sharedStrings.xml><?xml version="1.0" encoding="utf-8"?>
<sst xmlns="http://schemas.openxmlformats.org/spreadsheetml/2006/main" count="192" uniqueCount="142">
  <si>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</si>
  <si>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</si>
  <si>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</si>
  <si>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</si>
  <si>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</si>
  <si>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</si>
  <si>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</si>
  <si>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</si>
  <si>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</si>
  <si>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</si>
  <si>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</si>
  <si>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</si>
  <si>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</si>
  <si>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</si>
  <si>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</si>
  <si>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</si>
  <si>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</si>
  <si>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</si>
  <si>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</si>
  <si>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</si>
  <si>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</si>
  <si>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</si>
  <si>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</si>
  <si>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</si>
  <si>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</si>
  <si>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</si>
  <si>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</si>
  <si>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</si>
  <si>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</si>
  <si>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</si>
  <si>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</si>
  <si>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</si>
  <si>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</si>
  <si>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</si>
  <si>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</si>
  <si>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</si>
  <si>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</si>
  <si>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</si>
  <si>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</si>
  <si>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</si>
  <si>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</si>
  <si>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</si>
  <si>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</si>
  <si>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</si>
  <si>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</si>
  <si>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</si>
  <si>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</si>
  <si>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</si>
  <si>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</si>
  <si>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</si>
  <si>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</si>
  <si>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</si>
  <si>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</si>
  <si>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</si>
  <si>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</si>
  <si>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</si>
  <si>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</si>
  <si>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</si>
  <si>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</si>
  <si>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</si>
  <si>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</si>
  <si>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</si>
  <si>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</si>
  <si>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</si>
  <si>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</si>
  <si>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</si>
  <si>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</si>
  <si>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</si>
  <si>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</si>
  <si>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</si>
  <si>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</si>
  <si>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</si>
  <si>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</si>
  <si>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</si>
  <si>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</si>
  <si>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</si>
  <si>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</si>
  <si>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</si>
  <si>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</si>
  <si>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</si>
  <si>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</si>
  <si>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</si>
  <si>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</si>
  <si>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</si>
  <si>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</si>
  <si>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</si>
  <si>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</si>
  <si>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</si>
  <si>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</si>
  <si>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</si>
  <si>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</si>
  <si>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</si>
  <si>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</si>
  <si>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</si>
  <si>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</si>
  <si>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</si>
  <si>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</si>
  <si>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</si>
  <si>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</si>
  <si>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Drėgmės kiekis X (%) (izokinetinei sistemai)</t>
  </si>
  <si>
    <t>S.Č., 2026-05-02</t>
  </si>
  <si>
    <t>S.Č., 2026-05-03</t>
  </si>
  <si>
    <t>Filtrų skaičius Fsk (vnt.)</t>
  </si>
  <si>
    <t>1 linija, 1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</si>
  <si>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</si>
  <si>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</si>
  <si>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</si>
  <si>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</si>
  <si>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</si>
  <si>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</si>
  <si>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</si>
  <si>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</si>
  <si>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</si>
  <si>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</si>
  <si>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</si>
  <si>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</si>
  <si>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</si>
  <si>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</si>
  <si>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</si>
  <si>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</si>
  <si>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</si>
  <si>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</si>
  <si>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</si>
  <si>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</si>
  <si>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</si>
  <si>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</si>
  <si>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S.Č. 2026-</t>
  </si>
  <si>
    <t>Iš Aerodinamika</t>
  </si>
  <si>
    <t xml:space="preserve">   </t>
  </si>
  <si>
    <t xml:space="preserve">                                                                                                                                                                                                                                                                                                                                                                                                                                                                                                                                                                                                                                                                                                                                                                                                                                                                                                                                                                                                                                                                                                                                                                                                                                                                                                                                                        </t>
  </si>
  <si>
    <t>RPU**</t>
  </si>
  <si>
    <t>vidurinis taškas 2 matavimas</t>
  </si>
  <si>
    <t xml:space="preserve">                     </t>
  </si>
  <si>
    <t>Debitas pagal matuotą dujų greitį</t>
  </si>
  <si>
    <t>UAB ,,Ekopartneris", L. Ivinskio g. 65, Kaunas. Katilinė. Taršos šaltinis  Nr. 001.</t>
  </si>
  <si>
    <t xml:space="preserve">Vidurkis Vo (l/min) </t>
  </si>
  <si>
    <t>Suma Vmk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</si>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</sst>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11"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5"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5"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10" fillId="0" borderId="0" xfId="0" applyFont="1" applyAlignment="1" applyProtection="1">
      <alignment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6" fontId="8" fillId="0" borderId="15" xfId="0" applyNumberFormat="1" applyFont="1" applyBorder="1" applyAlignment="1">
      <alignment vertical="center"/>
    </xf>
    <xf numFmtId="166"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5" borderId="4" xfId="0" applyFont="1" applyFill="1" applyBorder="1" applyAlignment="1" applyProtection="1">
      <alignment horizontal="center" vertical="center" wrapText="1"/>
      <protection locked="0"/>
    </xf>
    <xf numFmtId="166" fontId="8" fillId="2" borderId="4" xfId="0" applyNumberFormat="1" applyFont="1" applyFill="1" applyBorder="1" applyAlignment="1">
      <alignment horizontal="center" vertical="center"/>
    </xf>
    <xf numFmtId="0" fontId="4" fillId="0" borderId="0" xfId="0" applyFont="1" applyAlignment="1" applyProtection="1">
      <alignment vertical="center"/>
      <protection locked="0"/>
    </xf>
    <xf numFmtId="0" fontId="4"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167" fontId="4" fillId="0" borderId="10" xfId="0" applyNumberFormat="1" applyFont="1" applyBorder="1" applyAlignment="1" applyProtection="1">
      <alignment horizontal="center" vertical="center"/>
      <protection locked="0"/>
    </xf>
    <xf numFmtId="0" fontId="4" fillId="0" borderId="10" xfId="0" applyFont="1" applyBorder="1" applyAlignment="1" applyProtection="1">
      <alignment vertical="center"/>
      <protection locked="0"/>
    </xf>
    <xf numFmtId="0" fontId="4" fillId="0" borderId="8" xfId="0" applyFont="1" applyBorder="1" applyAlignment="1" applyProtection="1">
      <alignment vertical="center"/>
      <protection locked="0"/>
    </xf>
    <xf numFmtId="166" fontId="4" fillId="0" borderId="4" xfId="0" applyNumberFormat="1" applyFont="1" applyBorder="1" applyAlignment="1" applyProtection="1">
      <alignment horizontal="center" vertical="center" wrapText="1"/>
      <protection locked="0"/>
    </xf>
    <xf numFmtId="0" fontId="4" fillId="0" borderId="0" xfId="1" applyFont="1" applyAlignment="1" applyProtection="1">
      <alignment vertical="center"/>
      <protection locked="0"/>
    </xf>
    <xf numFmtId="0" fontId="8" fillId="0" borderId="4" xfId="1" applyFont="1" applyBorder="1" applyAlignment="1" applyProtection="1">
      <alignment horizontal="center" vertical="center" wrapText="1"/>
      <protection locked="0"/>
    </xf>
    <xf numFmtId="167" fontId="8" fillId="2" borderId="11" xfId="0" applyNumberFormat="1" applyFont="1" applyFill="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4" xfId="0" applyFont="1" applyBorder="1" applyProtection="1">
      <protection locked="0"/>
    </xf>
    <xf numFmtId="0" fontId="4" fillId="0" borderId="10" xfId="0" applyFont="1" applyBorder="1" applyAlignment="1" applyProtection="1">
      <alignment vertical="center" wrapText="1"/>
      <protection locked="0"/>
    </xf>
    <xf numFmtId="0" fontId="4" fillId="0" borderId="8" xfId="0" applyFont="1" applyBorder="1" applyAlignment="1" applyProtection="1">
      <alignment vertical="center" wrapText="1"/>
      <protection locked="0"/>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8"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167" fontId="8" fillId="2" borderId="5" xfId="0" applyNumberFormat="1" applyFont="1" applyFill="1" applyBorder="1" applyAlignment="1">
      <alignment horizontal="center" vertical="center"/>
    </xf>
    <xf numFmtId="49" fontId="4" fillId="0" borderId="13"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6" xfId="0" applyFont="1" applyBorder="1" applyAlignment="1" applyProtection="1">
      <alignment wrapText="1"/>
      <protection locked="0"/>
    </xf>
    <xf numFmtId="0" fontId="29" fillId="0" borderId="7" xfId="0" applyFont="1" applyBorder="1" applyProtection="1">
      <protection locked="0"/>
    </xf>
    <xf numFmtId="0" fontId="29" fillId="0" borderId="14" xfId="0" applyFont="1" applyBorder="1" applyProtection="1">
      <protection locked="0"/>
    </xf>
    <xf numFmtId="0" fontId="29" fillId="0" borderId="14" xfId="0" applyFont="1" applyBorder="1" applyAlignment="1" applyProtection="1">
      <alignment wrapText="1"/>
      <protection locked="0"/>
    </xf>
    <xf numFmtId="1" fontId="8" fillId="2" borderId="4" xfId="0" applyNumberFormat="1" applyFont="1" applyFill="1" applyBorder="1" applyAlignment="1">
      <alignment horizontal="center" vertical="center"/>
    </xf>
    <xf numFmtId="164" fontId="4" fillId="2" borderId="8" xfId="0" applyNumberFormat="1" applyFont="1" applyFill="1" applyBorder="1" applyAlignment="1">
      <alignment horizontal="center" vertical="center"/>
    </xf>
    <xf numFmtId="0" fontId="12" fillId="5" borderId="4" xfId="0" applyFont="1" applyFill="1" applyBorder="1" applyAlignment="1" applyProtection="1">
      <alignment horizontal="center" vertical="center"/>
      <protection locked="0"/>
    </xf>
    <xf numFmtId="1" fontId="12" fillId="5" borderId="4" xfId="0" applyNumberFormat="1" applyFont="1" applyFill="1" applyBorder="1" applyAlignment="1" applyProtection="1">
      <alignment horizontal="center" vertical="center"/>
      <protection locked="0"/>
    </xf>
    <xf numFmtId="0" fontId="14" fillId="5" borderId="4" xfId="0" applyFont="1" applyFill="1" applyBorder="1" applyAlignment="1" applyProtection="1">
      <alignment horizontal="center" vertical="center"/>
      <protection locked="0"/>
    </xf>
    <xf numFmtId="167" fontId="14" fillId="5" borderId="4" xfId="0" applyNumberFormat="1" applyFont="1" applyFill="1" applyBorder="1" applyAlignment="1" applyProtection="1">
      <alignment horizontal="center" vertical="center"/>
      <protection locked="0"/>
    </xf>
    <xf numFmtId="166" fontId="14"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5" borderId="4" xfId="0" applyNumberFormat="1" applyFont="1" applyFill="1" applyBorder="1" applyAlignment="1" applyProtection="1">
      <alignment horizontal="center" vertical="center"/>
      <protection locked="0"/>
    </xf>
    <xf numFmtId="167" fontId="20" fillId="5" borderId="4" xfId="0" applyNumberFormat="1" applyFont="1" applyFill="1" applyBorder="1" applyAlignment="1" applyProtection="1">
      <alignment horizontal="center" vertical="center"/>
      <protection locked="0"/>
    </xf>
    <xf numFmtId="167" fontId="8" fillId="7" borderId="4" xfId="0" applyNumberFormat="1" applyFont="1" applyFill="1" applyBorder="1" applyAlignment="1" applyProtection="1">
      <alignment horizontal="center" vertical="center"/>
      <protection locked="0"/>
    </xf>
    <xf numFmtId="2" fontId="20" fillId="5" borderId="5" xfId="0" applyNumberFormat="1" applyFont="1" applyFill="1" applyBorder="1" applyAlignment="1" applyProtection="1">
      <alignment horizontal="center" vertical="center"/>
      <protection locked="0"/>
    </xf>
    <xf numFmtId="165" fontId="20" fillId="5" borderId="5" xfId="0" applyNumberFormat="1" applyFont="1" applyFill="1" applyBorder="1" applyAlignment="1" applyProtection="1">
      <alignment horizontal="center" vertical="center"/>
      <protection locked="0"/>
    </xf>
    <xf numFmtId="1" fontId="20" fillId="5" borderId="4" xfId="0" applyNumberFormat="1" applyFont="1" applyFill="1" applyBorder="1" applyAlignment="1" applyProtection="1">
      <alignment horizontal="center" vertical="center"/>
      <protection locked="0"/>
    </xf>
    <xf numFmtId="0" fontId="20" fillId="5" borderId="4" xfId="0" applyFont="1" applyFill="1" applyBorder="1" applyAlignment="1" applyProtection="1">
      <alignment horizontal="center" vertical="center"/>
      <protection locked="0"/>
    </xf>
    <xf numFmtId="0" fontId="4" fillId="0" borderId="9" xfId="0" applyFont="1" applyBorder="1" applyAlignment="1" applyProtection="1">
      <alignment horizontal="center" vertical="center"/>
      <protection locked="0"/>
    </xf>
    <xf numFmtId="0" fontId="30"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0" fillId="8" borderId="4" xfId="0" applyFont="1" applyFill="1" applyBorder="1" applyAlignment="1">
      <alignment horizontal="center" vertical="center" wrapText="1"/>
    </xf>
    <xf numFmtId="0" fontId="10" fillId="8" borderId="4" xfId="0" applyFont="1" applyFill="1" applyBorder="1" applyAlignment="1" applyProtection="1">
      <alignment horizontal="center" vertical="center" wrapText="1"/>
      <protection locked="0"/>
    </xf>
    <xf numFmtId="0" fontId="30" fillId="8"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6" fontId="9" fillId="0" borderId="4" xfId="0" applyNumberFormat="1" applyFont="1" applyBorder="1" applyAlignment="1" applyProtection="1">
      <alignment horizontal="center" vertical="center" wrapText="1"/>
      <protection locked="0"/>
    </xf>
    <xf numFmtId="0" fontId="9" fillId="10" borderId="4" xfId="0"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10"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7"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2" fontId="9" fillId="2" borderId="5" xfId="0" applyNumberFormat="1" applyFont="1" applyFill="1" applyBorder="1" applyAlignment="1">
      <alignment horizontal="center" vertical="center"/>
    </xf>
    <xf numFmtId="0" fontId="30" fillId="0" borderId="13"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0" fontId="30" fillId="0" borderId="16"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30" fillId="0" borderId="4" xfId="0" applyFont="1" applyBorder="1" applyAlignment="1" applyProtection="1">
      <alignment vertical="center"/>
      <protection locked="0"/>
    </xf>
    <xf numFmtId="166"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xf>
    <xf numFmtId="0" fontId="30" fillId="0" borderId="10" xfId="0" applyFont="1" applyBorder="1" applyAlignment="1" applyProtection="1">
      <alignment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19" xfId="0" applyFont="1" applyBorder="1" applyAlignment="1" applyProtection="1">
      <alignment horizontal="center" vertical="center"/>
      <protection locked="0"/>
    </xf>
    <xf numFmtId="0" fontId="9" fillId="0" borderId="19"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7" fontId="9" fillId="2" borderId="4" xfId="0" applyNumberFormat="1" applyFont="1" applyFill="1" applyBorder="1" applyAlignment="1">
      <alignment horizontal="center" vertical="center"/>
    </xf>
    <xf numFmtId="168" fontId="9" fillId="8" borderId="4" xfId="0" applyNumberFormat="1" applyFont="1" applyFill="1" applyBorder="1" applyAlignment="1" applyProtection="1">
      <alignment horizontal="center" vertical="center"/>
      <protection locked="0"/>
    </xf>
    <xf numFmtId="0" fontId="12" fillId="8"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166" fontId="30" fillId="0" borderId="4" xfId="0" applyNumberFormat="1" applyFont="1" applyBorder="1" applyAlignment="1" applyProtection="1">
      <alignment horizontal="center" vertical="center"/>
      <protection locked="0"/>
    </xf>
    <xf numFmtId="167" fontId="12" fillId="2"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3" xfId="0" applyNumberFormat="1" applyFont="1" applyBorder="1" applyAlignment="1" applyProtection="1">
      <alignment horizontal="center" vertical="center"/>
      <protection locked="0"/>
    </xf>
    <xf numFmtId="165" fontId="4" fillId="0" borderId="9"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16"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2" fontId="20" fillId="11" borderId="4" xfId="0" applyNumberFormat="1" applyFont="1" applyFill="1" applyBorder="1" applyAlignment="1" applyProtection="1">
      <alignment horizontal="center" vertical="center"/>
      <protection locked="0"/>
    </xf>
    <xf numFmtId="0" fontId="8" fillId="0" borderId="0" xfId="0" applyFont="1" applyAlignment="1" applyProtection="1">
      <alignment vertical="center"/>
      <protection locked="0"/>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2" fontId="9" fillId="0" borderId="5" xfId="0" applyNumberFormat="1" applyFont="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2" fontId="8" fillId="10" borderId="4"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4" fontId="4" fillId="0" borderId="8"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horizontal="center" vertical="center"/>
    </xf>
    <xf numFmtId="166" fontId="4" fillId="0" borderId="12" xfId="0" applyNumberFormat="1" applyFont="1" applyBorder="1" applyAlignment="1">
      <alignment horizontal="center" vertical="center"/>
    </xf>
    <xf numFmtId="166" fontId="4" fillId="0" borderId="14" xfId="0" applyNumberFormat="1" applyFont="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0" fontId="4" fillId="10" borderId="12" xfId="0" applyFont="1" applyFill="1" applyBorder="1" applyAlignment="1">
      <alignment horizontal="center" vertical="center"/>
    </xf>
    <xf numFmtId="0" fontId="4" fillId="0" borderId="12" xfId="0" applyFont="1" applyBorder="1" applyAlignment="1">
      <alignment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14" xfId="0" applyFont="1" applyFill="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0" fontId="18" fillId="0" borderId="11"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3"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wrapText="1"/>
      <protection locked="0"/>
    </xf>
    <xf numFmtId="0" fontId="4" fillId="0" borderId="10"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526E6-BBF5-41D6-8166-61F4D244A1B4}">
  <sheetPr>
    <pageSetUpPr fitToPage="1"/>
  </sheetPr>
  <dimension ref="A3:AB47"/>
  <sheetViews>
    <sheetView zoomScale="50" zoomScaleNormal="50" workbookViewId="0">
      <selection activeCell="T16" sqref="T16"/>
    </sheetView>
  </sheetViews>
  <sheetFormatPr defaultColWidth="9.1796875" defaultRowHeight="15.5" x14ac:dyDescent="0.25"/>
  <cols>
    <col min="1" max="1" width="11.26953125" style="136" customWidth="1"/>
    <col min="2" max="2" width="12" style="136" customWidth="1"/>
    <col min="3" max="3" width="17" style="136" customWidth="1"/>
    <col min="4" max="4" width="9.1796875" style="136"/>
    <col min="5" max="6" width="10.26953125" style="136" customWidth="1"/>
    <col min="7" max="7" width="10.54296875" style="136" customWidth="1"/>
    <col min="8" max="8" width="9.1796875" style="136"/>
    <col min="9" max="9" width="9.26953125" style="136" customWidth="1"/>
    <col min="10" max="10" width="9.1796875" style="136"/>
    <col min="11" max="11" width="9.54296875" style="136" bestFit="1" customWidth="1"/>
    <col min="12" max="12" width="9.26953125" style="136" bestFit="1" customWidth="1"/>
    <col min="13" max="13" width="11.1796875" style="136" customWidth="1"/>
    <col min="14" max="14" width="11.453125" style="136" customWidth="1"/>
    <col min="15" max="15" width="9.1796875" style="136"/>
    <col min="16" max="16" width="10.54296875" style="136" customWidth="1"/>
    <col min="17" max="17" width="9.54296875" style="136" bestFit="1" customWidth="1"/>
    <col min="18" max="18" width="9.1796875" style="136"/>
    <col min="19" max="19" width="11.26953125" style="136" customWidth="1"/>
    <col min="20" max="20" width="11.7265625" style="136" customWidth="1"/>
    <col min="21" max="21" width="10" style="136" customWidth="1"/>
    <col min="22" max="22" width="11.7265625" style="136" customWidth="1"/>
    <col min="23" max="23" width="11.453125" style="136" customWidth="1"/>
    <col min="24" max="24" width="10.26953125" style="136" customWidth="1"/>
    <col min="25" max="25" width="9.54296875" style="136" customWidth="1"/>
    <col min="26" max="26" width="9.81640625" style="136" customWidth="1"/>
    <col min="27" max="27" width="9.7265625" style="136" customWidth="1"/>
    <col min="28" max="16384" width="9.1796875" style="136"/>
  </cols>
  <sheetData>
    <row r="3" spans="1:28" x14ac:dyDescent="0.25">
      <c r="D3" s="249" t="s">
        <v>105</v>
      </c>
      <c r="E3" s="249"/>
      <c r="F3" s="249"/>
      <c r="G3" s="249"/>
      <c r="H3" s="249"/>
      <c r="I3" s="249"/>
      <c r="J3" s="249"/>
      <c r="K3" s="249"/>
      <c r="L3" s="249"/>
      <c r="M3" s="249"/>
      <c r="N3" s="249"/>
      <c r="O3" s="249"/>
      <c r="P3" s="249"/>
      <c r="Q3" s="249"/>
      <c r="R3" s="249"/>
      <c r="S3" s="249"/>
      <c r="T3" s="249"/>
      <c r="U3" s="249"/>
      <c r="V3" s="249"/>
      <c r="W3" s="249"/>
      <c r="X3" s="249"/>
      <c r="Y3" s="249"/>
      <c r="Z3" s="249"/>
    </row>
    <row r="5" spans="1:28" s="10" customFormat="1" ht="126" x14ac:dyDescent="0.25">
      <c r="A5" s="9" t="s">
        <v>8</v>
      </c>
      <c r="B5" s="9" t="s">
        <v>78</v>
      </c>
      <c r="C5" s="9" t="s">
        <v>9</v>
      </c>
      <c r="D5" s="44" t="s">
        <v>106</v>
      </c>
      <c r="E5" s="44" t="s">
        <v>137</v>
      </c>
      <c r="F5" s="44" t="s">
        <v>138</v>
      </c>
      <c r="G5" s="9" t="s">
        <v>107</v>
      </c>
      <c r="H5" s="9" t="s">
        <v>108</v>
      </c>
      <c r="I5" s="9" t="s">
        <v>109</v>
      </c>
      <c r="J5" s="9" t="s">
        <v>110</v>
      </c>
      <c r="K5" s="9" t="s">
        <v>111</v>
      </c>
      <c r="L5" s="9" t="s">
        <v>112</v>
      </c>
      <c r="M5" s="9" t="s">
        <v>113</v>
      </c>
      <c r="N5" s="9" t="s">
        <v>114</v>
      </c>
      <c r="O5" s="9" t="s">
        <v>115</v>
      </c>
      <c r="P5" s="9" t="s">
        <v>116</v>
      </c>
      <c r="Q5" s="9" t="s">
        <v>117</v>
      </c>
      <c r="R5" s="9" t="s">
        <v>118</v>
      </c>
      <c r="S5" s="9" t="s">
        <v>119</v>
      </c>
      <c r="T5" s="9" t="s">
        <v>25</v>
      </c>
      <c r="U5" s="138" t="s">
        <v>120</v>
      </c>
      <c r="V5" s="138" t="s">
        <v>121</v>
      </c>
      <c r="W5" s="139" t="s">
        <v>26</v>
      </c>
      <c r="X5" s="9" t="s">
        <v>139</v>
      </c>
      <c r="Y5" s="9" t="s">
        <v>122</v>
      </c>
      <c r="Z5" s="9" t="s">
        <v>123</v>
      </c>
      <c r="AA5" s="140" t="s">
        <v>124</v>
      </c>
      <c r="AB5" s="141" t="s">
        <v>125</v>
      </c>
    </row>
    <row r="6" spans="1:28" ht="16" thickBot="1" x14ac:dyDescent="0.3">
      <c r="A6" s="250">
        <v>46210</v>
      </c>
      <c r="B6" s="253">
        <v>7</v>
      </c>
      <c r="C6" s="254" t="s">
        <v>134</v>
      </c>
      <c r="D6" s="143">
        <v>1</v>
      </c>
      <c r="E6" s="144">
        <v>0.14000000000000001</v>
      </c>
      <c r="F6" s="145"/>
      <c r="G6" s="70">
        <v>0.83599999999999997</v>
      </c>
      <c r="H6" s="193">
        <f>Paėmimas!V9</f>
        <v>40</v>
      </c>
      <c r="I6" s="13">
        <v>1000</v>
      </c>
      <c r="J6" s="147">
        <v>-1</v>
      </c>
      <c r="K6" s="185">
        <f>SUM(I6:J6)</f>
        <v>999</v>
      </c>
      <c r="L6" s="148">
        <f>AA6*22.4</f>
        <v>29.060863999999995</v>
      </c>
      <c r="M6" s="60">
        <f>G6*129*(SQRT(E6*(273+H6)/(I6+J6)/L6))</f>
        <v>4.1898181061790627</v>
      </c>
      <c r="N6" s="71"/>
      <c r="O6" s="60">
        <f>AVERAGE(M6:M22)</f>
        <v>4.1898181061790618</v>
      </c>
      <c r="P6" s="149">
        <v>1</v>
      </c>
      <c r="Q6" s="150">
        <f>+(3.14*P6*P6/4)</f>
        <v>0.78500000000000003</v>
      </c>
      <c r="R6" s="151">
        <f>O6*Q6</f>
        <v>3.2890072133505637</v>
      </c>
      <c r="S6" s="151">
        <f>+(I6+J6)/(273+H6)*0.269*R6</f>
        <v>2.8238281068719182</v>
      </c>
      <c r="T6" s="152">
        <f>H2O!I7</f>
        <v>5.0000000000000001E-3</v>
      </c>
      <c r="U6" s="153">
        <f>T6/(1.29*W6)</f>
        <v>4.2265197828811746E-2</v>
      </c>
      <c r="V6" s="154">
        <f>S6*1/(1+(U6*1.29/0.8038))</f>
        <v>2.6444536597096722</v>
      </c>
      <c r="W6" s="155">
        <f>H2O!H7</f>
        <v>9.1705923344947746E-2</v>
      </c>
      <c r="X6" s="156">
        <v>8.3000000000000004E-2</v>
      </c>
      <c r="Y6" s="157">
        <f>V6*X6</f>
        <v>0.21948965375590279</v>
      </c>
      <c r="Z6" s="158">
        <f>O6*X6</f>
        <v>0.34775490281286214</v>
      </c>
      <c r="AA6" s="159">
        <f>Aerodinamika!G23</f>
        <v>1.2973599999999998</v>
      </c>
      <c r="AB6" s="247" t="s">
        <v>126</v>
      </c>
    </row>
    <row r="7" spans="1:28" x14ac:dyDescent="0.25">
      <c r="A7" s="251"/>
      <c r="B7" s="251"/>
      <c r="C7" s="255"/>
      <c r="D7" s="143">
        <v>2</v>
      </c>
      <c r="E7" s="144">
        <v>0.14000000000000001</v>
      </c>
      <c r="F7" s="145"/>
      <c r="G7" s="160">
        <f>(G6)</f>
        <v>0.83599999999999997</v>
      </c>
      <c r="H7" s="193">
        <f t="shared" ref="H7:J7" si="0">(H6)</f>
        <v>40</v>
      </c>
      <c r="I7" s="161">
        <f t="shared" si="0"/>
        <v>1000</v>
      </c>
      <c r="J7" s="162">
        <f t="shared" si="0"/>
        <v>-1</v>
      </c>
      <c r="K7" s="185">
        <f t="shared" ref="K7:K14" si="1">SUM(I7:J7)</f>
        <v>999</v>
      </c>
      <c r="L7" s="148">
        <f>AA6*22.4</f>
        <v>29.060863999999995</v>
      </c>
      <c r="M7" s="60">
        <f t="shared" ref="M7:M22" si="2">G7*129*(SQRT(E7*(273+H7)/(I7+J7)/L7))</f>
        <v>4.1898181061790627</v>
      </c>
      <c r="N7" s="71"/>
      <c r="O7" s="163"/>
      <c r="P7" s="164">
        <v>0.5</v>
      </c>
      <c r="Q7" s="165">
        <f>+(P8*P7)</f>
        <v>0.25</v>
      </c>
      <c r="R7" s="151">
        <f>O6*Q7</f>
        <v>1.0474545265447655</v>
      </c>
      <c r="S7" s="151">
        <f>+(I6+J6)/(273+H6)*0.269*R7</f>
        <v>0.8993083142904198</v>
      </c>
      <c r="T7" s="152">
        <f>H2O!I7</f>
        <v>5.0000000000000001E-3</v>
      </c>
      <c r="U7" s="153">
        <f>T7/(1.29*W7)</f>
        <v>4.2265197828811746E-2</v>
      </c>
      <c r="V7" s="154">
        <f>S7*(1/(1+(U7*1.29/0.8038)))</f>
        <v>0.84218269417505476</v>
      </c>
      <c r="W7" s="155">
        <f>H2O!H7</f>
        <v>9.1705923344947746E-2</v>
      </c>
      <c r="X7" s="156">
        <v>8.3000000000000004E-2</v>
      </c>
      <c r="Y7" s="157">
        <f>V7*X7</f>
        <v>6.9901163616529552E-2</v>
      </c>
      <c r="Z7" s="158">
        <f>O6*X7</f>
        <v>0.34775490281286214</v>
      </c>
      <c r="AB7" s="248"/>
    </row>
    <row r="8" spans="1:28" x14ac:dyDescent="0.25">
      <c r="A8" s="251"/>
      <c r="B8" s="251"/>
      <c r="C8" s="255"/>
      <c r="D8" s="166">
        <v>3</v>
      </c>
      <c r="E8" s="144">
        <v>0.14000000000000001</v>
      </c>
      <c r="F8" s="167"/>
      <c r="G8" s="160">
        <f>(G6)</f>
        <v>0.83599999999999997</v>
      </c>
      <c r="H8" s="193">
        <f t="shared" ref="H8:J8" si="3">(H6)</f>
        <v>40</v>
      </c>
      <c r="I8" s="161">
        <f t="shared" si="3"/>
        <v>1000</v>
      </c>
      <c r="J8" s="162">
        <f t="shared" si="3"/>
        <v>-1</v>
      </c>
      <c r="K8" s="190">
        <f t="shared" si="1"/>
        <v>999</v>
      </c>
      <c r="L8" s="148">
        <f>AA6*22.4</f>
        <v>29.060863999999995</v>
      </c>
      <c r="M8" s="168">
        <f t="shared" si="2"/>
        <v>4.1898181061790627</v>
      </c>
      <c r="N8" s="209"/>
      <c r="O8" s="169"/>
      <c r="P8" s="170">
        <v>0.5</v>
      </c>
      <c r="Q8" s="171"/>
      <c r="R8" s="142"/>
      <c r="S8" s="142"/>
    </row>
    <row r="9" spans="1:28" x14ac:dyDescent="0.25">
      <c r="A9" s="251"/>
      <c r="B9" s="251"/>
      <c r="C9" s="255"/>
      <c r="D9" s="143">
        <v>4</v>
      </c>
      <c r="E9" s="144">
        <v>0.14000000000000001</v>
      </c>
      <c r="F9" s="145"/>
      <c r="G9" s="160">
        <f>(G6)</f>
        <v>0.83599999999999997</v>
      </c>
      <c r="H9" s="193">
        <f t="shared" ref="H9:J9" si="4">(H6)</f>
        <v>40</v>
      </c>
      <c r="I9" s="161">
        <f t="shared" si="4"/>
        <v>1000</v>
      </c>
      <c r="J9" s="162">
        <f t="shared" si="4"/>
        <v>-1</v>
      </c>
      <c r="K9" s="185">
        <f t="shared" si="1"/>
        <v>999</v>
      </c>
      <c r="L9" s="148">
        <f>AA6*22.4</f>
        <v>29.060863999999995</v>
      </c>
      <c r="M9" s="168">
        <f t="shared" si="2"/>
        <v>4.1898181061790627</v>
      </c>
      <c r="N9" s="209"/>
      <c r="O9" s="172"/>
      <c r="P9" s="172"/>
      <c r="Q9" s="172"/>
      <c r="R9" s="172"/>
      <c r="S9" s="172"/>
      <c r="W9" s="173" t="s">
        <v>127</v>
      </c>
      <c r="AA9" s="173" t="s">
        <v>127</v>
      </c>
    </row>
    <row r="10" spans="1:28" x14ac:dyDescent="0.25">
      <c r="A10" s="251"/>
      <c r="B10" s="251"/>
      <c r="C10" s="255"/>
      <c r="D10" s="143">
        <v>5</v>
      </c>
      <c r="E10" s="144">
        <v>0.14000000000000001</v>
      </c>
      <c r="F10" s="145"/>
      <c r="G10" s="160">
        <f>(G6)</f>
        <v>0.83599999999999997</v>
      </c>
      <c r="H10" s="193">
        <f t="shared" ref="H10:J10" si="5">(H6)</f>
        <v>40</v>
      </c>
      <c r="I10" s="161">
        <f t="shared" si="5"/>
        <v>1000</v>
      </c>
      <c r="J10" s="162">
        <f t="shared" si="5"/>
        <v>-1</v>
      </c>
      <c r="K10" s="185">
        <f t="shared" si="1"/>
        <v>999</v>
      </c>
      <c r="L10" s="148">
        <f>AA6*22.4</f>
        <v>29.060863999999995</v>
      </c>
      <c r="M10" s="168">
        <f t="shared" si="2"/>
        <v>4.1898181061790627</v>
      </c>
      <c r="N10" s="209"/>
    </row>
    <row r="11" spans="1:28" x14ac:dyDescent="0.25">
      <c r="A11" s="251"/>
      <c r="B11" s="251"/>
      <c r="C11" s="255"/>
      <c r="D11" s="166">
        <v>6</v>
      </c>
      <c r="E11" s="144">
        <v>0.14000000000000001</v>
      </c>
      <c r="F11" s="145"/>
      <c r="G11" s="160">
        <f>(G6)</f>
        <v>0.83599999999999997</v>
      </c>
      <c r="H11" s="193">
        <f t="shared" ref="H11:J11" si="6">(H6)</f>
        <v>40</v>
      </c>
      <c r="I11" s="161">
        <f t="shared" si="6"/>
        <v>1000</v>
      </c>
      <c r="J11" s="162">
        <f t="shared" si="6"/>
        <v>-1</v>
      </c>
      <c r="K11" s="185">
        <f t="shared" si="1"/>
        <v>999</v>
      </c>
      <c r="L11" s="148">
        <f>AA6*22.4</f>
        <v>29.060863999999995</v>
      </c>
      <c r="M11" s="168">
        <f t="shared" si="2"/>
        <v>4.1898181061790627</v>
      </c>
      <c r="N11" s="209"/>
    </row>
    <row r="12" spans="1:28" x14ac:dyDescent="0.25">
      <c r="A12" s="251"/>
      <c r="B12" s="251"/>
      <c r="C12" s="255"/>
      <c r="D12" s="143">
        <v>7</v>
      </c>
      <c r="E12" s="144">
        <v>0.14000000000000001</v>
      </c>
      <c r="F12" s="145"/>
      <c r="G12" s="160">
        <f>(G6)</f>
        <v>0.83599999999999997</v>
      </c>
      <c r="H12" s="193">
        <f t="shared" ref="H12:J12" si="7">(H6)</f>
        <v>40</v>
      </c>
      <c r="I12" s="161">
        <f t="shared" si="7"/>
        <v>1000</v>
      </c>
      <c r="J12" s="162">
        <f t="shared" si="7"/>
        <v>-1</v>
      </c>
      <c r="K12" s="185">
        <f t="shared" si="1"/>
        <v>999</v>
      </c>
      <c r="L12" s="148">
        <f>AA6*22.4</f>
        <v>29.060863999999995</v>
      </c>
      <c r="M12" s="168">
        <f t="shared" si="2"/>
        <v>4.1898181061790627</v>
      </c>
      <c r="N12" s="209"/>
    </row>
    <row r="13" spans="1:28" x14ac:dyDescent="0.25">
      <c r="A13" s="251"/>
      <c r="B13" s="251"/>
      <c r="C13" s="255"/>
      <c r="D13" s="143">
        <v>8</v>
      </c>
      <c r="E13" s="144">
        <v>0.14000000000000001</v>
      </c>
      <c r="F13" s="145"/>
      <c r="G13" s="160">
        <f>(G6)</f>
        <v>0.83599999999999997</v>
      </c>
      <c r="H13" s="193">
        <f t="shared" ref="H13:J13" si="8">(H6)</f>
        <v>40</v>
      </c>
      <c r="I13" s="161">
        <f t="shared" si="8"/>
        <v>1000</v>
      </c>
      <c r="J13" s="162">
        <f t="shared" si="8"/>
        <v>-1</v>
      </c>
      <c r="K13" s="185">
        <f t="shared" si="1"/>
        <v>999</v>
      </c>
      <c r="L13" s="148">
        <f>AA6*22.4</f>
        <v>29.060863999999995</v>
      </c>
      <c r="M13" s="168">
        <f t="shared" si="2"/>
        <v>4.1898181061790627</v>
      </c>
      <c r="N13" s="209"/>
      <c r="O13" s="137"/>
    </row>
    <row r="14" spans="1:28" x14ac:dyDescent="0.25">
      <c r="A14" s="251"/>
      <c r="B14" s="251"/>
      <c r="C14" s="255"/>
      <c r="D14" s="166">
        <v>9</v>
      </c>
      <c r="E14" s="144">
        <v>0.14000000000000001</v>
      </c>
      <c r="F14" s="145"/>
      <c r="G14" s="160">
        <f>(G6)</f>
        <v>0.83599999999999997</v>
      </c>
      <c r="H14" s="193">
        <f t="shared" ref="H14:J14" si="9">(H6)</f>
        <v>40</v>
      </c>
      <c r="I14" s="161">
        <f t="shared" si="9"/>
        <v>1000</v>
      </c>
      <c r="J14" s="162">
        <f t="shared" si="9"/>
        <v>-1</v>
      </c>
      <c r="K14" s="185">
        <f t="shared" si="1"/>
        <v>999</v>
      </c>
      <c r="L14" s="148">
        <f>AA6*22.4</f>
        <v>29.060863999999995</v>
      </c>
      <c r="M14" s="168">
        <f t="shared" si="2"/>
        <v>4.1898181061790627</v>
      </c>
      <c r="N14" s="209"/>
      <c r="R14" s="38"/>
      <c r="S14" s="38"/>
      <c r="T14" s="38"/>
      <c r="U14" s="38"/>
    </row>
    <row r="15" spans="1:28" x14ac:dyDescent="0.25">
      <c r="A15" s="251"/>
      <c r="B15" s="251"/>
      <c r="C15" s="255"/>
      <c r="D15" s="143">
        <v>10</v>
      </c>
      <c r="E15" s="144">
        <v>0.14000000000000001</v>
      </c>
      <c r="F15" s="145"/>
      <c r="G15" s="160">
        <f>(G6)</f>
        <v>0.83599999999999997</v>
      </c>
      <c r="H15" s="193">
        <f t="shared" ref="H15:J15" si="10">(H6)</f>
        <v>40</v>
      </c>
      <c r="I15" s="161">
        <f t="shared" si="10"/>
        <v>1000</v>
      </c>
      <c r="J15" s="162">
        <f t="shared" si="10"/>
        <v>-1</v>
      </c>
      <c r="K15" s="185">
        <f t="shared" ref="K15:K21" si="11">SUM(I15:J15)</f>
        <v>999</v>
      </c>
      <c r="L15" s="148">
        <f>AA6*22.4</f>
        <v>29.060863999999995</v>
      </c>
      <c r="M15" s="168">
        <f t="shared" si="2"/>
        <v>4.1898181061790627</v>
      </c>
      <c r="N15" s="209"/>
      <c r="R15" s="38"/>
      <c r="S15" s="38"/>
      <c r="T15" s="38"/>
      <c r="U15" s="38"/>
    </row>
    <row r="16" spans="1:28" x14ac:dyDescent="0.25">
      <c r="A16" s="251"/>
      <c r="B16" s="251"/>
      <c r="C16" s="255"/>
      <c r="D16" s="143">
        <v>11</v>
      </c>
      <c r="E16" s="144">
        <v>0.14000000000000001</v>
      </c>
      <c r="F16" s="145"/>
      <c r="G16" s="160">
        <f>(G6)</f>
        <v>0.83599999999999997</v>
      </c>
      <c r="H16" s="193">
        <f t="shared" ref="H16:J16" si="12">(H6)</f>
        <v>40</v>
      </c>
      <c r="I16" s="161">
        <f t="shared" si="12"/>
        <v>1000</v>
      </c>
      <c r="J16" s="162">
        <f t="shared" si="12"/>
        <v>-1</v>
      </c>
      <c r="K16" s="185">
        <f t="shared" si="11"/>
        <v>999</v>
      </c>
      <c r="L16" s="148">
        <f>AA6*22.4</f>
        <v>29.060863999999995</v>
      </c>
      <c r="M16" s="168">
        <f t="shared" si="2"/>
        <v>4.1898181061790627</v>
      </c>
      <c r="N16" s="209"/>
      <c r="R16" s="38"/>
      <c r="S16" s="38"/>
      <c r="T16" s="38"/>
      <c r="U16" s="38"/>
    </row>
    <row r="17" spans="1:28" x14ac:dyDescent="0.25">
      <c r="A17" s="251"/>
      <c r="B17" s="251"/>
      <c r="C17" s="255"/>
      <c r="D17" s="166">
        <v>12</v>
      </c>
      <c r="E17" s="144">
        <v>0.14000000000000001</v>
      </c>
      <c r="F17" s="145"/>
      <c r="G17" s="160">
        <f>(G6)</f>
        <v>0.83599999999999997</v>
      </c>
      <c r="H17" s="193">
        <f t="shared" ref="H17:J17" si="13">(H6)</f>
        <v>40</v>
      </c>
      <c r="I17" s="161">
        <f t="shared" si="13"/>
        <v>1000</v>
      </c>
      <c r="J17" s="162">
        <f t="shared" si="13"/>
        <v>-1</v>
      </c>
      <c r="K17" s="185">
        <f t="shared" si="11"/>
        <v>999</v>
      </c>
      <c r="L17" s="148">
        <f>AA6*22.4</f>
        <v>29.060863999999995</v>
      </c>
      <c r="M17" s="168">
        <f t="shared" si="2"/>
        <v>4.1898181061790627</v>
      </c>
      <c r="N17" s="209"/>
      <c r="R17" s="38"/>
      <c r="S17" s="38"/>
      <c r="T17" s="38"/>
      <c r="U17" s="38"/>
    </row>
    <row r="18" spans="1:28" x14ac:dyDescent="0.25">
      <c r="A18" s="251"/>
      <c r="B18" s="251"/>
      <c r="C18" s="255"/>
      <c r="D18" s="143">
        <v>13</v>
      </c>
      <c r="E18" s="144">
        <v>0.14000000000000001</v>
      </c>
      <c r="F18" s="145"/>
      <c r="G18" s="160">
        <f>(G6)</f>
        <v>0.83599999999999997</v>
      </c>
      <c r="H18" s="193">
        <f t="shared" ref="H18:J18" si="14">(H6)</f>
        <v>40</v>
      </c>
      <c r="I18" s="161">
        <f t="shared" si="14"/>
        <v>1000</v>
      </c>
      <c r="J18" s="162">
        <f t="shared" si="14"/>
        <v>-1</v>
      </c>
      <c r="K18" s="185">
        <f t="shared" si="11"/>
        <v>999</v>
      </c>
      <c r="L18" s="148">
        <f>AA6*22.4</f>
        <v>29.060863999999995</v>
      </c>
      <c r="M18" s="168">
        <f t="shared" si="2"/>
        <v>4.1898181061790627</v>
      </c>
      <c r="N18" s="209"/>
      <c r="R18" s="38"/>
      <c r="S18" s="38"/>
      <c r="T18" s="38"/>
      <c r="U18" s="38"/>
    </row>
    <row r="19" spans="1:28" x14ac:dyDescent="0.25">
      <c r="A19" s="251"/>
      <c r="B19" s="251"/>
      <c r="C19" s="255"/>
      <c r="D19" s="143">
        <v>14</v>
      </c>
      <c r="E19" s="144">
        <v>0.14000000000000001</v>
      </c>
      <c r="F19" s="145"/>
      <c r="G19" s="160">
        <f>(G6)</f>
        <v>0.83599999999999997</v>
      </c>
      <c r="H19" s="193">
        <f t="shared" ref="H19:J19" si="15">(H6)</f>
        <v>40</v>
      </c>
      <c r="I19" s="161">
        <f t="shared" si="15"/>
        <v>1000</v>
      </c>
      <c r="J19" s="162">
        <f t="shared" si="15"/>
        <v>-1</v>
      </c>
      <c r="K19" s="185">
        <f t="shared" si="11"/>
        <v>999</v>
      </c>
      <c r="L19" s="148">
        <f>AA6*22.4</f>
        <v>29.060863999999995</v>
      </c>
      <c r="M19" s="168">
        <f t="shared" si="2"/>
        <v>4.1898181061790627</v>
      </c>
      <c r="N19" s="209"/>
      <c r="R19" s="38"/>
      <c r="S19" s="38"/>
      <c r="T19" s="38"/>
      <c r="U19" s="38"/>
    </row>
    <row r="20" spans="1:28" x14ac:dyDescent="0.25">
      <c r="A20" s="251"/>
      <c r="B20" s="251"/>
      <c r="C20" s="255"/>
      <c r="D20" s="166">
        <v>15</v>
      </c>
      <c r="E20" s="144">
        <v>0.14000000000000001</v>
      </c>
      <c r="F20" s="145"/>
      <c r="G20" s="160">
        <f>(G6)</f>
        <v>0.83599999999999997</v>
      </c>
      <c r="H20" s="193">
        <f t="shared" ref="H20:J20" si="16">(H6)</f>
        <v>40</v>
      </c>
      <c r="I20" s="161">
        <f t="shared" si="16"/>
        <v>1000</v>
      </c>
      <c r="J20" s="162">
        <f t="shared" si="16"/>
        <v>-1</v>
      </c>
      <c r="K20" s="185">
        <f t="shared" si="11"/>
        <v>999</v>
      </c>
      <c r="L20" s="148">
        <f>AA6*22.4</f>
        <v>29.060863999999995</v>
      </c>
      <c r="M20" s="168">
        <f t="shared" si="2"/>
        <v>4.1898181061790627</v>
      </c>
      <c r="N20" s="209"/>
      <c r="R20" s="38"/>
      <c r="S20" s="38"/>
      <c r="T20" s="38"/>
      <c r="U20" s="38"/>
    </row>
    <row r="21" spans="1:28" x14ac:dyDescent="0.25">
      <c r="A21" s="251"/>
      <c r="B21" s="251"/>
      <c r="C21" s="255"/>
      <c r="D21" s="143">
        <v>16</v>
      </c>
      <c r="E21" s="144">
        <v>0.14000000000000001</v>
      </c>
      <c r="F21" s="145"/>
      <c r="G21" s="160">
        <f>(G6)</f>
        <v>0.83599999999999997</v>
      </c>
      <c r="H21" s="193">
        <f t="shared" ref="H21:J21" si="17">(H6)</f>
        <v>40</v>
      </c>
      <c r="I21" s="161">
        <f t="shared" si="17"/>
        <v>1000</v>
      </c>
      <c r="J21" s="162">
        <f t="shared" si="17"/>
        <v>-1</v>
      </c>
      <c r="K21" s="185">
        <f t="shared" si="11"/>
        <v>999</v>
      </c>
      <c r="L21" s="148">
        <f>AA6*22.4</f>
        <v>29.060863999999995</v>
      </c>
      <c r="M21" s="168">
        <f t="shared" si="2"/>
        <v>4.1898181061790627</v>
      </c>
      <c r="N21" s="209"/>
      <c r="R21" s="38"/>
      <c r="S21" s="38"/>
      <c r="T21" s="38"/>
      <c r="U21" s="38"/>
    </row>
    <row r="22" spans="1:28" x14ac:dyDescent="0.25">
      <c r="A22" s="252"/>
      <c r="B22" s="252"/>
      <c r="C22" s="256"/>
      <c r="D22" s="143">
        <v>17</v>
      </c>
      <c r="E22" s="144">
        <v>0.14000000000000001</v>
      </c>
      <c r="F22" s="145"/>
      <c r="G22" s="160">
        <f>(G6)</f>
        <v>0.83599999999999997</v>
      </c>
      <c r="H22" s="193">
        <f t="shared" ref="H22:J22" si="18">(H6)</f>
        <v>40</v>
      </c>
      <c r="I22" s="161">
        <f t="shared" si="18"/>
        <v>1000</v>
      </c>
      <c r="J22" s="162">
        <f t="shared" si="18"/>
        <v>-1</v>
      </c>
      <c r="K22" s="185">
        <f t="shared" ref="K22" si="19">SUM(I22:J22)</f>
        <v>999</v>
      </c>
      <c r="L22" s="148">
        <f>AA6*22.4</f>
        <v>29.060863999999995</v>
      </c>
      <c r="M22" s="168">
        <f t="shared" si="2"/>
        <v>4.1898181061790627</v>
      </c>
      <c r="N22" s="209"/>
      <c r="R22" s="38"/>
      <c r="S22" s="38"/>
      <c r="T22" s="38"/>
      <c r="U22" s="38"/>
    </row>
    <row r="23" spans="1:28" x14ac:dyDescent="0.25">
      <c r="A23" s="174"/>
      <c r="B23" s="174"/>
      <c r="C23" s="174"/>
      <c r="D23" s="172"/>
      <c r="E23" s="144"/>
      <c r="F23" s="145"/>
      <c r="G23" s="175"/>
      <c r="H23" s="176"/>
      <c r="I23" s="176"/>
      <c r="J23" s="71"/>
      <c r="K23" s="172"/>
      <c r="L23" s="172"/>
      <c r="M23" s="172"/>
      <c r="N23" s="147"/>
      <c r="O23" s="136" t="s">
        <v>128</v>
      </c>
      <c r="P23" s="136" t="s">
        <v>129</v>
      </c>
    </row>
    <row r="24" spans="1:28" x14ac:dyDescent="0.25">
      <c r="A24" s="174"/>
      <c r="B24" s="174"/>
      <c r="C24" s="174"/>
      <c r="D24" s="143" t="s">
        <v>130</v>
      </c>
      <c r="E24" s="144">
        <v>0</v>
      </c>
      <c r="F24" s="145"/>
      <c r="G24" s="160">
        <f>(G6)</f>
        <v>0.83599999999999997</v>
      </c>
      <c r="H24" s="193">
        <f t="shared" ref="H24:J24" si="20">(H6)</f>
        <v>40</v>
      </c>
      <c r="I24" s="161">
        <f t="shared" si="20"/>
        <v>1000</v>
      </c>
      <c r="J24" s="162">
        <f t="shared" si="20"/>
        <v>-1</v>
      </c>
      <c r="K24" s="185">
        <f t="shared" ref="K24" si="21">SUM(I24:J24)</f>
        <v>999</v>
      </c>
      <c r="L24" s="148">
        <f>AA6*22.4</f>
        <v>29.060863999999995</v>
      </c>
      <c r="M24" s="60">
        <f t="shared" ref="M24" si="22">G24*129*(SQRT(E24*(273+H24)/(I24+J24)/L24))</f>
        <v>0</v>
      </c>
      <c r="N24" s="71"/>
      <c r="O24" s="257" t="s">
        <v>131</v>
      </c>
      <c r="P24" s="258"/>
      <c r="Q24" s="258"/>
    </row>
    <row r="25" spans="1:28" x14ac:dyDescent="0.25">
      <c r="A25" s="177"/>
      <c r="B25" s="177"/>
      <c r="C25" s="177"/>
      <c r="E25" s="178"/>
      <c r="F25" s="178"/>
      <c r="G25" s="179"/>
      <c r="N25" s="180"/>
    </row>
    <row r="26" spans="1:28" x14ac:dyDescent="0.25">
      <c r="A26" s="177"/>
      <c r="B26" s="177"/>
      <c r="C26" s="177"/>
      <c r="E26" s="178"/>
      <c r="F26" s="178"/>
      <c r="G26" s="179"/>
      <c r="N26" s="180"/>
      <c r="P26" s="136" t="s">
        <v>132</v>
      </c>
    </row>
    <row r="27" spans="1:28" x14ac:dyDescent="0.25">
      <c r="A27" s="177"/>
      <c r="B27" s="177"/>
      <c r="C27" s="177"/>
      <c r="E27" s="38"/>
      <c r="F27" s="38"/>
      <c r="N27" s="180"/>
    </row>
    <row r="28" spans="1:28" x14ac:dyDescent="0.25">
      <c r="A28" s="177"/>
      <c r="B28" s="177"/>
      <c r="C28" s="177"/>
      <c r="D28" s="259" t="s">
        <v>133</v>
      </c>
      <c r="E28" s="249"/>
      <c r="F28" s="249"/>
      <c r="G28" s="249"/>
      <c r="H28" s="249"/>
      <c r="I28" s="249"/>
      <c r="J28" s="249"/>
      <c r="K28" s="249"/>
      <c r="L28" s="249"/>
      <c r="M28" s="249"/>
      <c r="N28" s="249"/>
      <c r="O28" s="249"/>
      <c r="P28" s="249"/>
      <c r="Q28" s="249"/>
      <c r="R28" s="249"/>
      <c r="S28" s="249"/>
      <c r="T28" s="249"/>
      <c r="U28" s="249"/>
      <c r="V28" s="249"/>
      <c r="W28" s="249"/>
      <c r="X28" s="249"/>
      <c r="Y28" s="249"/>
    </row>
    <row r="29" spans="1:28" x14ac:dyDescent="0.25">
      <c r="A29" s="177"/>
      <c r="B29" s="177"/>
      <c r="C29" s="177"/>
      <c r="D29" s="181"/>
      <c r="E29" s="182"/>
      <c r="F29" s="182"/>
      <c r="G29" s="181"/>
      <c r="H29" s="181"/>
      <c r="I29" s="181"/>
      <c r="J29" s="181"/>
      <c r="K29" s="181"/>
      <c r="L29" s="181"/>
      <c r="M29" s="181"/>
      <c r="N29" s="183"/>
    </row>
    <row r="30" spans="1:28" s="10" customFormat="1" ht="126" x14ac:dyDescent="0.25">
      <c r="A30" s="9" t="s">
        <v>8</v>
      </c>
      <c r="B30" s="9" t="s">
        <v>78</v>
      </c>
      <c r="C30" s="9" t="s">
        <v>9</v>
      </c>
      <c r="D30" s="57" t="s">
        <v>106</v>
      </c>
      <c r="E30" s="57" t="s">
        <v>137</v>
      </c>
      <c r="F30" s="57" t="s">
        <v>138</v>
      </c>
      <c r="G30" s="184" t="s">
        <v>107</v>
      </c>
      <c r="H30" s="184" t="s">
        <v>108</v>
      </c>
      <c r="I30" s="184" t="s">
        <v>109</v>
      </c>
      <c r="J30" s="184" t="s">
        <v>110</v>
      </c>
      <c r="K30" s="184" t="s">
        <v>111</v>
      </c>
      <c r="L30" s="184" t="s">
        <v>112</v>
      </c>
      <c r="M30" s="184" t="s">
        <v>113</v>
      </c>
      <c r="N30" s="184" t="s">
        <v>114</v>
      </c>
      <c r="O30" s="9" t="s">
        <v>115</v>
      </c>
      <c r="P30" s="9" t="s">
        <v>116</v>
      </c>
      <c r="Q30" s="9" t="s">
        <v>117</v>
      </c>
      <c r="R30" s="9" t="s">
        <v>118</v>
      </c>
      <c r="S30" s="9" t="s">
        <v>119</v>
      </c>
      <c r="T30" s="9" t="s">
        <v>25</v>
      </c>
      <c r="U30" s="138" t="s">
        <v>120</v>
      </c>
      <c r="V30" s="138" t="s">
        <v>121</v>
      </c>
      <c r="W30" s="139" t="s">
        <v>26</v>
      </c>
      <c r="X30" s="9" t="s">
        <v>139</v>
      </c>
      <c r="Y30" s="9" t="s">
        <v>122</v>
      </c>
      <c r="Z30" s="9" t="s">
        <v>123</v>
      </c>
      <c r="AA30" s="140" t="s">
        <v>124</v>
      </c>
      <c r="AB30" s="141" t="s">
        <v>125</v>
      </c>
    </row>
    <row r="31" spans="1:28" ht="16" thickBot="1" x14ac:dyDescent="0.3">
      <c r="A31" s="260"/>
      <c r="B31" s="260"/>
      <c r="C31" s="260"/>
      <c r="D31" s="143">
        <v>5</v>
      </c>
      <c r="E31" s="145"/>
      <c r="F31" s="145"/>
      <c r="G31" s="70"/>
      <c r="H31" s="13">
        <v>17.899999999999999</v>
      </c>
      <c r="I31" s="13">
        <v>1007</v>
      </c>
      <c r="J31" s="13">
        <v>0.32</v>
      </c>
      <c r="K31" s="185">
        <f>SUM(I31:J31)</f>
        <v>1007.32</v>
      </c>
      <c r="L31" s="148">
        <f>AA31*22.4</f>
        <v>28.895999999999997</v>
      </c>
      <c r="M31" s="147">
        <v>12.51770397558823</v>
      </c>
      <c r="N31" s="147"/>
      <c r="O31" s="60">
        <f>AVERAGE(M31:M47)</f>
        <v>10.878917942678045</v>
      </c>
      <c r="P31" s="149">
        <v>0.3</v>
      </c>
      <c r="Q31" s="150">
        <f>+(3.14*P31*P31/4)</f>
        <v>7.0649999999999991E-2</v>
      </c>
      <c r="R31" s="151">
        <f>O31*Q31</f>
        <v>0.76859555265020385</v>
      </c>
      <c r="S31" s="151">
        <f>+(I31+J31)/(273+H31)*0.269*R31</f>
        <v>0.71593547539950952</v>
      </c>
      <c r="T31" s="46">
        <v>0</v>
      </c>
      <c r="U31" s="153">
        <f>T31/(1.29*W31)</f>
        <v>0</v>
      </c>
      <c r="V31" s="154">
        <f>S31*1/(1+(U31*1.29/0.8038))</f>
        <v>0.71593547539950952</v>
      </c>
      <c r="W31" s="186">
        <v>1</v>
      </c>
      <c r="X31" s="143">
        <v>8.3000000000000004E-2</v>
      </c>
      <c r="Y31" s="154">
        <f>V31*X31</f>
        <v>5.9422644458159292E-2</v>
      </c>
      <c r="Z31" s="154">
        <f>O31*X31</f>
        <v>0.90295018924227777</v>
      </c>
      <c r="AA31" s="187">
        <v>1.29</v>
      </c>
      <c r="AB31" s="247"/>
    </row>
    <row r="32" spans="1:28" x14ac:dyDescent="0.25">
      <c r="A32" s="261"/>
      <c r="B32" s="261"/>
      <c r="C32" s="261"/>
      <c r="D32" s="143">
        <v>14</v>
      </c>
      <c r="E32" s="145"/>
      <c r="F32" s="145"/>
      <c r="G32" s="70"/>
      <c r="H32" s="13">
        <v>17.899999999999999</v>
      </c>
      <c r="I32" s="13">
        <v>1007</v>
      </c>
      <c r="J32" s="13">
        <v>0.32</v>
      </c>
      <c r="K32" s="185">
        <f t="shared" ref="K32:K39" si="23">SUM(I32:J32)</f>
        <v>1007.32</v>
      </c>
      <c r="L32" s="148">
        <f>AA31*22.4</f>
        <v>28.895999999999997</v>
      </c>
      <c r="M32" s="147">
        <v>11.814194837363964</v>
      </c>
      <c r="N32" s="147"/>
      <c r="O32" s="163"/>
      <c r="P32" s="164">
        <v>0.35</v>
      </c>
      <c r="Q32" s="165">
        <f>+(P33*P32)</f>
        <v>0.105</v>
      </c>
      <c r="R32" s="151">
        <f>O31*Q32</f>
        <v>1.1422863839811948</v>
      </c>
      <c r="S32" s="151">
        <f>+(I31+J31)/(273+H31)*0.269*R32</f>
        <v>1.0640229995321799</v>
      </c>
      <c r="T32" s="46">
        <v>0</v>
      </c>
      <c r="U32" s="153">
        <f>T32/(1.29*W32)</f>
        <v>0</v>
      </c>
      <c r="V32" s="154">
        <f>S32*(1/(1+(U32*1.29/0.8038)))</f>
        <v>1.0640229995321799</v>
      </c>
      <c r="W32" s="186">
        <v>1</v>
      </c>
      <c r="X32" s="143">
        <v>8.3000000000000004E-2</v>
      </c>
      <c r="Y32" s="154">
        <f>V32*X32</f>
        <v>8.8313908961170945E-2</v>
      </c>
      <c r="Z32" s="154">
        <f>O31*X32</f>
        <v>0.90295018924227777</v>
      </c>
      <c r="AB32" s="248"/>
    </row>
    <row r="33" spans="1:27" x14ac:dyDescent="0.25">
      <c r="A33" s="261"/>
      <c r="B33" s="261"/>
      <c r="C33" s="261"/>
      <c r="D33" s="166">
        <v>24</v>
      </c>
      <c r="E33" s="167"/>
      <c r="F33" s="167"/>
      <c r="G33" s="188"/>
      <c r="H33" s="189">
        <v>17.899999999999999</v>
      </c>
      <c r="I33" s="13">
        <v>1007</v>
      </c>
      <c r="J33" s="189">
        <v>0.32</v>
      </c>
      <c r="K33" s="190">
        <f t="shared" si="23"/>
        <v>1007.32</v>
      </c>
      <c r="L33" s="148">
        <f>AA31*22.4</f>
        <v>28.895999999999997</v>
      </c>
      <c r="M33" s="149">
        <v>12.464997619490303</v>
      </c>
      <c r="N33" s="149"/>
      <c r="O33" s="169"/>
      <c r="P33" s="170">
        <v>0.3</v>
      </c>
      <c r="Q33" s="171"/>
      <c r="R33" s="142"/>
      <c r="S33" s="142"/>
    </row>
    <row r="34" spans="1:27" x14ac:dyDescent="0.25">
      <c r="A34" s="261"/>
      <c r="B34" s="261"/>
      <c r="C34" s="261"/>
      <c r="D34" s="143">
        <v>33</v>
      </c>
      <c r="E34" s="145"/>
      <c r="F34" s="145"/>
      <c r="G34" s="70"/>
      <c r="H34" s="189">
        <v>17.899999999999999</v>
      </c>
      <c r="I34" s="13">
        <v>1007</v>
      </c>
      <c r="J34" s="13">
        <v>0.32</v>
      </c>
      <c r="K34" s="185">
        <f t="shared" si="23"/>
        <v>1007.32</v>
      </c>
      <c r="L34" s="148">
        <f>AA31*22.4</f>
        <v>28.895999999999997</v>
      </c>
      <c r="M34" s="149">
        <v>11.243119139705524</v>
      </c>
      <c r="N34" s="149"/>
      <c r="O34" s="172"/>
      <c r="P34" s="172"/>
      <c r="Q34" s="172"/>
      <c r="R34" s="172"/>
      <c r="S34" s="172"/>
      <c r="W34" s="173" t="s">
        <v>127</v>
      </c>
      <c r="AA34" s="173" t="s">
        <v>127</v>
      </c>
    </row>
    <row r="35" spans="1:27" x14ac:dyDescent="0.25">
      <c r="A35" s="261"/>
      <c r="B35" s="261"/>
      <c r="C35" s="261"/>
      <c r="D35" s="143">
        <v>42</v>
      </c>
      <c r="E35" s="145"/>
      <c r="F35" s="145"/>
      <c r="G35" s="70"/>
      <c r="H35" s="189">
        <v>17.899999999999999</v>
      </c>
      <c r="I35" s="13">
        <v>1007</v>
      </c>
      <c r="J35" s="13">
        <v>0.32</v>
      </c>
      <c r="K35" s="185">
        <f t="shared" si="23"/>
        <v>1007.32</v>
      </c>
      <c r="L35" s="148">
        <f>AA31*22.4</f>
        <v>28.895999999999997</v>
      </c>
      <c r="M35" s="149">
        <v>10.263516615891321</v>
      </c>
      <c r="N35" s="149"/>
    </row>
    <row r="36" spans="1:27" x14ac:dyDescent="0.25">
      <c r="A36" s="261"/>
      <c r="B36" s="261"/>
      <c r="C36" s="261"/>
      <c r="D36" s="143">
        <v>52</v>
      </c>
      <c r="E36" s="145"/>
      <c r="F36" s="145"/>
      <c r="G36" s="70"/>
      <c r="H36" s="189">
        <v>17.899999999999999</v>
      </c>
      <c r="I36" s="13">
        <v>1007</v>
      </c>
      <c r="J36" s="13">
        <v>0.32</v>
      </c>
      <c r="K36" s="185">
        <f t="shared" si="23"/>
        <v>1007.32</v>
      </c>
      <c r="L36" s="148">
        <f>AA31*22.4</f>
        <v>28.895999999999997</v>
      </c>
      <c r="M36" s="149">
        <v>10.764467040088189</v>
      </c>
      <c r="N36" s="149"/>
    </row>
    <row r="37" spans="1:27" x14ac:dyDescent="0.25">
      <c r="A37" s="261"/>
      <c r="B37" s="261"/>
      <c r="C37" s="261"/>
      <c r="D37" s="143">
        <v>61</v>
      </c>
      <c r="E37" s="145"/>
      <c r="F37" s="145"/>
      <c r="G37" s="70"/>
      <c r="H37" s="189">
        <v>17.899999999999999</v>
      </c>
      <c r="I37" s="13">
        <v>1007</v>
      </c>
      <c r="J37" s="13">
        <v>0.32</v>
      </c>
      <c r="K37" s="185">
        <f t="shared" si="23"/>
        <v>1007.32</v>
      </c>
      <c r="L37" s="148">
        <f>AA31*22.4</f>
        <v>28.895999999999997</v>
      </c>
      <c r="M37" s="149">
        <v>10.57939077440046</v>
      </c>
      <c r="N37" s="149"/>
    </row>
    <row r="38" spans="1:27" x14ac:dyDescent="0.25">
      <c r="A38" s="261"/>
      <c r="B38" s="261"/>
      <c r="C38" s="261"/>
      <c r="D38" s="143">
        <v>71</v>
      </c>
      <c r="E38" s="145"/>
      <c r="F38" s="145"/>
      <c r="G38" s="70"/>
      <c r="H38" s="189">
        <v>17.899999999999999</v>
      </c>
      <c r="I38" s="13">
        <v>1007</v>
      </c>
      <c r="J38" s="13">
        <v>0.32</v>
      </c>
      <c r="K38" s="185">
        <f t="shared" si="23"/>
        <v>1007.32</v>
      </c>
      <c r="L38" s="148">
        <f>AA31*22.4</f>
        <v>28.895999999999997</v>
      </c>
      <c r="M38" s="149">
        <v>10.641440519216749</v>
      </c>
      <c r="N38" s="149"/>
      <c r="O38" s="137"/>
    </row>
    <row r="39" spans="1:27" x14ac:dyDescent="0.25">
      <c r="A39" s="261"/>
      <c r="B39" s="261"/>
      <c r="C39" s="261"/>
      <c r="D39" s="143">
        <v>80</v>
      </c>
      <c r="E39" s="145"/>
      <c r="F39" s="145"/>
      <c r="G39" s="191"/>
      <c r="H39" s="13">
        <v>17.899999999999999</v>
      </c>
      <c r="I39" s="13">
        <v>1007</v>
      </c>
      <c r="J39" s="172">
        <v>0.32</v>
      </c>
      <c r="K39" s="185">
        <f t="shared" si="23"/>
        <v>1007.32</v>
      </c>
      <c r="L39" s="148">
        <f>AA31*22.4</f>
        <v>28.895999999999997</v>
      </c>
      <c r="M39" s="147">
        <v>10.516974944864664</v>
      </c>
      <c r="N39" s="147"/>
      <c r="R39" s="38"/>
      <c r="S39" s="38"/>
      <c r="T39" s="38"/>
      <c r="U39" s="38"/>
    </row>
    <row r="40" spans="1:27" x14ac:dyDescent="0.25">
      <c r="A40" s="261"/>
      <c r="B40" s="261"/>
      <c r="C40" s="261"/>
      <c r="D40" s="143">
        <v>89</v>
      </c>
      <c r="E40" s="143"/>
      <c r="F40" s="143"/>
      <c r="G40" s="143"/>
      <c r="H40" s="143">
        <v>17.899999999999999</v>
      </c>
      <c r="I40" s="143">
        <v>1007</v>
      </c>
      <c r="J40" s="143">
        <v>0.32</v>
      </c>
      <c r="K40" s="192">
        <f t="shared" ref="K40:K47" si="24">SUM(I40:J40)</f>
        <v>1007.32</v>
      </c>
      <c r="L40" s="148">
        <f>AA31*22.4</f>
        <v>28.895999999999997</v>
      </c>
      <c r="M40" s="147">
        <v>10.516974944864664</v>
      </c>
      <c r="N40" s="143"/>
    </row>
    <row r="41" spans="1:27" x14ac:dyDescent="0.25">
      <c r="A41" s="261"/>
      <c r="B41" s="261"/>
      <c r="C41" s="261"/>
      <c r="D41" s="143">
        <v>99</v>
      </c>
      <c r="E41" s="143"/>
      <c r="F41" s="143"/>
      <c r="G41" s="143"/>
      <c r="H41" s="143">
        <v>17.899999999999999</v>
      </c>
      <c r="I41" s="143">
        <v>1007</v>
      </c>
      <c r="J41" s="143">
        <v>0.32</v>
      </c>
      <c r="K41" s="192">
        <f t="shared" si="24"/>
        <v>1007.32</v>
      </c>
      <c r="L41" s="148">
        <f>AA31*22.4</f>
        <v>28.895999999999997</v>
      </c>
      <c r="M41" s="147">
        <v>10.516974944864664</v>
      </c>
      <c r="N41" s="143"/>
    </row>
    <row r="42" spans="1:27" x14ac:dyDescent="0.25">
      <c r="A42" s="261"/>
      <c r="B42" s="261"/>
      <c r="C42" s="261"/>
      <c r="D42" s="143">
        <v>108</v>
      </c>
      <c r="E42" s="143"/>
      <c r="F42" s="143"/>
      <c r="G42" s="143"/>
      <c r="H42" s="143">
        <v>17.899999999999999</v>
      </c>
      <c r="I42" s="143">
        <v>1007</v>
      </c>
      <c r="J42" s="143">
        <v>0.32</v>
      </c>
      <c r="K42" s="192">
        <f t="shared" si="24"/>
        <v>1007.32</v>
      </c>
      <c r="L42" s="148">
        <f>AA31*22.4</f>
        <v>28.895999999999997</v>
      </c>
      <c r="M42" s="149">
        <v>10.516974944864664</v>
      </c>
      <c r="N42" s="143"/>
    </row>
    <row r="43" spans="1:27" x14ac:dyDescent="0.25">
      <c r="A43" s="261"/>
      <c r="B43" s="261"/>
      <c r="C43" s="261"/>
      <c r="D43" s="143">
        <v>118</v>
      </c>
      <c r="E43" s="143"/>
      <c r="F43" s="143"/>
      <c r="G43" s="143"/>
      <c r="H43" s="143">
        <v>17.899999999999999</v>
      </c>
      <c r="I43" s="143">
        <v>1007</v>
      </c>
      <c r="J43" s="143">
        <v>0.32</v>
      </c>
      <c r="K43" s="192">
        <f t="shared" si="24"/>
        <v>1007.32</v>
      </c>
      <c r="L43" s="148">
        <f>AA31*22.4</f>
        <v>28.895999999999997</v>
      </c>
      <c r="M43" s="149">
        <v>10.516974944864664</v>
      </c>
      <c r="N43" s="143"/>
    </row>
    <row r="44" spans="1:27" x14ac:dyDescent="0.25">
      <c r="A44" s="261"/>
      <c r="B44" s="261"/>
      <c r="C44" s="261"/>
      <c r="D44" s="143">
        <v>127</v>
      </c>
      <c r="E44" s="143"/>
      <c r="F44" s="143"/>
      <c r="G44" s="143"/>
      <c r="H44" s="143">
        <v>17.899999999999999</v>
      </c>
      <c r="I44" s="143">
        <v>1007</v>
      </c>
      <c r="J44" s="143">
        <v>0.32</v>
      </c>
      <c r="K44" s="192">
        <f t="shared" si="24"/>
        <v>1007.32</v>
      </c>
      <c r="L44" s="148">
        <f>AA31*22.4</f>
        <v>28.895999999999997</v>
      </c>
      <c r="M44" s="149">
        <v>10.516974944864664</v>
      </c>
      <c r="N44" s="143"/>
    </row>
    <row r="45" spans="1:27" x14ac:dyDescent="0.25">
      <c r="A45" s="261"/>
      <c r="B45" s="261"/>
      <c r="C45" s="261"/>
      <c r="D45" s="143">
        <v>136</v>
      </c>
      <c r="E45" s="143"/>
      <c r="F45" s="143"/>
      <c r="G45" s="143"/>
      <c r="H45" s="143">
        <v>17.899999999999999</v>
      </c>
      <c r="I45" s="143">
        <v>1007</v>
      </c>
      <c r="J45" s="143">
        <v>0.32</v>
      </c>
      <c r="K45" s="192">
        <f t="shared" si="24"/>
        <v>1007.32</v>
      </c>
      <c r="L45" s="148">
        <f>AA31*22.4</f>
        <v>28.895999999999997</v>
      </c>
      <c r="M45" s="149">
        <v>10.516974944864664</v>
      </c>
      <c r="N45" s="143"/>
    </row>
    <row r="46" spans="1:27" x14ac:dyDescent="0.25">
      <c r="A46" s="261"/>
      <c r="B46" s="261"/>
      <c r="C46" s="261"/>
      <c r="D46" s="143">
        <v>146</v>
      </c>
      <c r="E46" s="143"/>
      <c r="F46" s="143"/>
      <c r="G46" s="143"/>
      <c r="H46" s="143">
        <v>17.899999999999999</v>
      </c>
      <c r="I46" s="143">
        <v>1007</v>
      </c>
      <c r="J46" s="143">
        <v>0.32</v>
      </c>
      <c r="K46" s="192">
        <f t="shared" si="24"/>
        <v>1007.32</v>
      </c>
      <c r="L46" s="148">
        <f>AA31*22.4</f>
        <v>28.895999999999997</v>
      </c>
      <c r="M46" s="149">
        <v>10.516974944864664</v>
      </c>
      <c r="N46" s="143"/>
    </row>
    <row r="47" spans="1:27" x14ac:dyDescent="0.25">
      <c r="A47" s="262"/>
      <c r="B47" s="262"/>
      <c r="C47" s="262"/>
      <c r="D47" s="143">
        <v>155</v>
      </c>
      <c r="E47" s="143"/>
      <c r="F47" s="143"/>
      <c r="G47" s="143"/>
      <c r="H47" s="143">
        <v>17.899999999999999</v>
      </c>
      <c r="I47" s="143">
        <v>1007</v>
      </c>
      <c r="J47" s="143">
        <v>0.32</v>
      </c>
      <c r="K47" s="192">
        <f t="shared" si="24"/>
        <v>1007.32</v>
      </c>
      <c r="L47" s="148">
        <f>AA31*22.4</f>
        <v>28.895999999999997</v>
      </c>
      <c r="M47" s="147">
        <v>10.516974944864664</v>
      </c>
      <c r="N47" s="143"/>
    </row>
  </sheetData>
  <sheetProtection algorithmName="SHA-512" hashValue="nd2o/x4wZwHV878rNFmopTqcOwbf4/DvxiAFJA5xdnElkqxwI1IBALOsMMSqpCgBPRdUPubNCOhPzEBu4qVf0w==" saltValue="9cbTZlfFXNjmdsqS25uySA==" spinCount="100000" sheet="1" formatCells="0" formatColumns="0" formatRows="0"/>
  <mergeCells count="11">
    <mergeCell ref="AB31:AB32"/>
    <mergeCell ref="D3:Z3"/>
    <mergeCell ref="A6:A22"/>
    <mergeCell ref="B6:B22"/>
    <mergeCell ref="C6:C22"/>
    <mergeCell ref="AB6:AB7"/>
    <mergeCell ref="O24:Q24"/>
    <mergeCell ref="D28:Y28"/>
    <mergeCell ref="A31:A47"/>
    <mergeCell ref="B31:B47"/>
    <mergeCell ref="C31:C47"/>
  </mergeCells>
  <pageMargins left="0.7" right="0.7" top="0.75" bottom="0.75" header="0.3" footer="0.3"/>
  <pageSetup paperSize="9" scale="29"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P22" sqref="P22"/>
    </sheetView>
  </sheetViews>
  <sheetFormatPr defaultColWidth="9.1796875" defaultRowHeight="13" x14ac:dyDescent="0.3"/>
  <cols>
    <col min="1" max="1" width="12.453125" style="39" customWidth="1"/>
    <col min="2" max="2" width="9.269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9.8164062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15" x14ac:dyDescent="0.3">
      <c r="A3" s="263" t="s">
        <v>104</v>
      </c>
      <c r="B3" s="263"/>
      <c r="C3" s="263"/>
      <c r="D3" s="263"/>
      <c r="E3" s="263"/>
      <c r="F3" s="263"/>
      <c r="G3" s="263"/>
      <c r="H3" s="263"/>
      <c r="I3" s="263"/>
      <c r="J3" s="263"/>
    </row>
    <row r="4" spans="1:12" ht="14" x14ac:dyDescent="0.3">
      <c r="A4" s="10"/>
      <c r="B4" s="10"/>
      <c r="C4" s="10"/>
      <c r="D4" s="10"/>
      <c r="E4" s="10"/>
      <c r="F4" s="10"/>
      <c r="G4" s="10"/>
      <c r="H4" s="10"/>
      <c r="I4" s="10"/>
    </row>
    <row r="5" spans="1:12" ht="84" x14ac:dyDescent="0.3">
      <c r="A5" s="9"/>
      <c r="B5" s="9" t="s">
        <v>33</v>
      </c>
      <c r="C5" s="9" t="s">
        <v>22</v>
      </c>
      <c r="D5" s="9" t="s">
        <v>23</v>
      </c>
      <c r="E5" s="9" t="s">
        <v>21</v>
      </c>
      <c r="F5" s="9" t="s">
        <v>34</v>
      </c>
      <c r="G5" s="9" t="s">
        <v>35</v>
      </c>
      <c r="H5" s="9" t="s">
        <v>26</v>
      </c>
      <c r="I5" s="9" t="s">
        <v>25</v>
      </c>
      <c r="J5" s="44" t="s">
        <v>65</v>
      </c>
      <c r="K5" s="44" t="s">
        <v>99</v>
      </c>
      <c r="L5" s="44" t="s">
        <v>6</v>
      </c>
    </row>
    <row r="6" spans="1:12" ht="18" customHeight="1" x14ac:dyDescent="0.3">
      <c r="A6" s="41"/>
      <c r="B6" s="9"/>
      <c r="C6" s="9"/>
      <c r="D6" s="9"/>
      <c r="E6" s="9"/>
      <c r="F6" s="9"/>
      <c r="G6" s="9"/>
      <c r="H6" s="9"/>
      <c r="I6" s="9"/>
      <c r="J6" s="51"/>
      <c r="K6" s="45"/>
      <c r="L6" s="45"/>
    </row>
    <row r="7" spans="1:12" ht="33" customHeight="1" x14ac:dyDescent="0.3">
      <c r="A7" s="41" t="s">
        <v>24</v>
      </c>
      <c r="B7" s="122">
        <v>10</v>
      </c>
      <c r="C7" s="123">
        <v>10</v>
      </c>
      <c r="D7" s="146">
        <f>Greitis!I6</f>
        <v>1000</v>
      </c>
      <c r="E7" s="124">
        <v>25.2</v>
      </c>
      <c r="F7" s="125">
        <v>14</v>
      </c>
      <c r="G7" s="60">
        <f>+(D7-E7)*B7*C7*0.27/(273+F7)</f>
        <v>91.705923344947749</v>
      </c>
      <c r="H7" s="61">
        <f>G7/1000</f>
        <v>9.1705923344947746E-2</v>
      </c>
      <c r="I7" s="126">
        <v>5.0000000000000001E-3</v>
      </c>
      <c r="J7" s="162">
        <f>Aerodinamika!G23</f>
        <v>1.2973599999999998</v>
      </c>
      <c r="K7" s="78">
        <f>(100*((I7/(H7*J7))/0.8038))/(((I7/(H7*J7))/0.8038)+(1/J7))</f>
        <v>6.3521730209331739</v>
      </c>
      <c r="L7" s="45"/>
    </row>
    <row r="8" spans="1:12" ht="15" x14ac:dyDescent="0.3">
      <c r="A8" s="13"/>
      <c r="B8" s="69"/>
      <c r="C8" s="70"/>
      <c r="D8" s="13"/>
      <c r="E8" s="13"/>
      <c r="F8" s="42"/>
      <c r="G8" s="71"/>
      <c r="H8" s="72"/>
      <c r="I8" s="46"/>
      <c r="J8" s="51"/>
      <c r="K8" s="45"/>
      <c r="L8" s="45"/>
    </row>
    <row r="9" spans="1:12" ht="15" x14ac:dyDescent="0.3">
      <c r="A9" s="13"/>
      <c r="B9" s="69"/>
      <c r="C9" s="70"/>
      <c r="D9" s="13"/>
      <c r="E9" s="13"/>
      <c r="F9" s="42"/>
      <c r="G9" s="71"/>
      <c r="H9" s="72"/>
      <c r="I9" s="46"/>
      <c r="J9" s="51"/>
      <c r="K9" s="45"/>
      <c r="L9" s="45"/>
    </row>
    <row r="10" spans="1:12" ht="18" customHeight="1" x14ac:dyDescent="0.3">
      <c r="A10" s="74"/>
      <c r="B10" s="69"/>
      <c r="C10" s="13"/>
      <c r="D10" s="13"/>
      <c r="E10" s="13"/>
      <c r="F10" s="42"/>
      <c r="G10" s="73"/>
      <c r="H10" s="75"/>
      <c r="I10" s="76"/>
      <c r="J10" s="51"/>
      <c r="K10" s="45"/>
      <c r="L10" s="45"/>
    </row>
    <row r="11" spans="1:12" ht="12.75" customHeight="1" x14ac:dyDescent="0.3">
      <c r="H11" s="264" t="s">
        <v>29</v>
      </c>
      <c r="I11" s="267" t="s">
        <v>30</v>
      </c>
    </row>
    <row r="12" spans="1:12" x14ac:dyDescent="0.3">
      <c r="H12" s="265"/>
      <c r="I12" s="268"/>
    </row>
    <row r="13" spans="1:12" x14ac:dyDescent="0.3">
      <c r="H13" s="265"/>
      <c r="I13" s="268"/>
    </row>
    <row r="14" spans="1:12" x14ac:dyDescent="0.3">
      <c r="H14" s="265"/>
      <c r="I14" s="268"/>
    </row>
    <row r="15" spans="1:12" x14ac:dyDescent="0.3">
      <c r="H15" s="265"/>
      <c r="I15" s="268"/>
    </row>
    <row r="16" spans="1:12" x14ac:dyDescent="0.3">
      <c r="H16" s="265"/>
      <c r="I16" s="268"/>
    </row>
    <row r="17" spans="8:9" x14ac:dyDescent="0.3">
      <c r="H17" s="265"/>
      <c r="I17" s="268"/>
    </row>
    <row r="18" spans="8:9" x14ac:dyDescent="0.3">
      <c r="H18" s="266"/>
      <c r="I18" s="268"/>
    </row>
    <row r="19" spans="8:9" x14ac:dyDescent="0.3">
      <c r="I19" s="268"/>
    </row>
    <row r="20" spans="8:9" x14ac:dyDescent="0.3">
      <c r="I20" s="269"/>
    </row>
    <row r="23" spans="8:9" ht="14" x14ac:dyDescent="0.3">
      <c r="I23" s="52"/>
    </row>
    <row r="24" spans="8:9" ht="14" x14ac:dyDescent="0.3">
      <c r="I24" s="52"/>
    </row>
    <row r="25" spans="8:9" ht="14" x14ac:dyDescent="0.3">
      <c r="I25" s="52"/>
    </row>
    <row r="26" spans="8:9" ht="14" x14ac:dyDescent="0.3">
      <c r="I26" s="52"/>
    </row>
  </sheetData>
  <sheetProtection algorithmName="SHA-512" hashValue="5KQVTLCqAIjMId1UjYzXT4327rPlr6+CrgeupOtfD3HacxTzf2lgJCF62UDki/GusKiATNt4Tgfr/mZxZbBzBw==" saltValue="eJMPF5og5ZbkvhwrX0RQOw=="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106"/>
  <sheetViews>
    <sheetView tabSelected="1" topLeftCell="F1" zoomScale="80" zoomScaleNormal="80" workbookViewId="0">
      <pane ySplit="5" topLeftCell="A6" activePane="bottomLeft" state="frozen"/>
      <selection pane="bottomLeft" activeCell="T6" sqref="T6:V8"/>
    </sheetView>
  </sheetViews>
  <sheetFormatPr defaultColWidth="9.1796875" defaultRowHeight="14" x14ac:dyDescent="0.25"/>
  <cols>
    <col min="1" max="2" width="13.26953125" style="79" customWidth="1"/>
    <col min="3" max="3" width="26.1796875" style="79" customWidth="1"/>
    <col min="4" max="4" width="11.1796875" style="79" customWidth="1"/>
    <col min="5" max="5" width="12.1796875" style="79" customWidth="1"/>
    <col min="6" max="6" width="14" style="79" customWidth="1"/>
    <col min="7" max="7" width="10.81640625" style="79" customWidth="1"/>
    <col min="8" max="8" width="9.81640625" style="79" customWidth="1"/>
    <col min="9" max="9" width="8.81640625" style="79" customWidth="1"/>
    <col min="10" max="10" width="10.54296875" style="79" customWidth="1"/>
    <col min="11" max="11" width="10.453125" style="79" customWidth="1"/>
    <col min="12" max="12" width="12.1796875" style="79" customWidth="1"/>
    <col min="13" max="13" width="9.81640625" style="79" customWidth="1"/>
    <col min="14" max="14" width="11.7265625" style="79" customWidth="1"/>
    <col min="15" max="15" width="12.7265625" style="79" customWidth="1"/>
    <col min="16" max="16" width="6.54296875" style="79" customWidth="1"/>
    <col min="17" max="17" width="7.7265625" style="79" customWidth="1"/>
    <col min="18" max="18" width="18" style="79" customWidth="1"/>
    <col min="19" max="19" width="15.54296875" style="79" customWidth="1"/>
    <col min="20" max="20" width="10.453125" style="79" customWidth="1"/>
    <col min="21" max="21" width="10.7265625" style="79" customWidth="1"/>
    <col min="22" max="22" width="14.1796875" style="79" customWidth="1"/>
    <col min="23" max="23" width="4.26953125" style="79" customWidth="1"/>
    <col min="24" max="24" width="12" style="79" customWidth="1"/>
    <col min="25" max="25" width="10.26953125" style="206" customWidth="1"/>
    <col min="26" max="16384" width="9.1796875" style="79"/>
  </cols>
  <sheetData>
    <row r="1" spans="1:25" ht="30" customHeight="1" x14ac:dyDescent="0.25">
      <c r="C1" s="274" t="s">
        <v>17</v>
      </c>
      <c r="D1" s="274"/>
      <c r="E1" s="15"/>
      <c r="S1" s="80"/>
    </row>
    <row r="2" spans="1:25" ht="19.5" customHeight="1" x14ac:dyDescent="0.25">
      <c r="A2" s="275" t="s">
        <v>95</v>
      </c>
      <c r="B2" s="275"/>
      <c r="C2" s="275"/>
      <c r="D2" s="275"/>
      <c r="E2" s="275"/>
      <c r="F2" s="275"/>
      <c r="G2" s="275"/>
      <c r="H2" s="275"/>
      <c r="I2" s="275"/>
      <c r="J2" s="275"/>
      <c r="K2" s="275"/>
      <c r="L2" s="275"/>
      <c r="M2" s="275"/>
      <c r="N2" s="275"/>
      <c r="O2" s="275"/>
      <c r="P2" s="275"/>
      <c r="Q2" s="275"/>
      <c r="R2" s="275"/>
      <c r="S2" s="275"/>
    </row>
    <row r="3" spans="1:25" ht="19.5" customHeight="1" x14ac:dyDescent="0.25">
      <c r="A3" s="81"/>
      <c r="B3" s="81"/>
      <c r="C3" s="82"/>
      <c r="D3" s="82"/>
      <c r="E3" s="82"/>
      <c r="F3" s="82"/>
      <c r="G3" s="82"/>
      <c r="H3" s="82"/>
      <c r="I3" s="82"/>
      <c r="J3" s="82"/>
      <c r="K3" s="82"/>
      <c r="L3" s="82"/>
      <c r="M3" s="82"/>
      <c r="N3" s="82"/>
      <c r="O3" s="82"/>
      <c r="P3" s="82"/>
      <c r="Q3" s="82"/>
      <c r="R3" s="82"/>
      <c r="S3" s="82"/>
    </row>
    <row r="4" spans="1:25" ht="19.5" customHeight="1" x14ac:dyDescent="0.25">
      <c r="T4" s="26"/>
      <c r="U4" s="26"/>
    </row>
    <row r="5" spans="1:25" ht="100.5" customHeight="1" x14ac:dyDescent="0.25">
      <c r="A5" s="11" t="s">
        <v>8</v>
      </c>
      <c r="B5" s="11" t="s">
        <v>45</v>
      </c>
      <c r="C5" s="11" t="s">
        <v>9</v>
      </c>
      <c r="D5" s="48" t="s">
        <v>46</v>
      </c>
      <c r="E5" s="48" t="s">
        <v>86</v>
      </c>
      <c r="F5" s="48" t="s">
        <v>47</v>
      </c>
      <c r="G5" s="48" t="s">
        <v>140</v>
      </c>
      <c r="H5" s="48" t="s">
        <v>48</v>
      </c>
      <c r="I5" s="48" t="s">
        <v>49</v>
      </c>
      <c r="J5" s="48" t="s">
        <v>50</v>
      </c>
      <c r="K5" s="48" t="s">
        <v>51</v>
      </c>
      <c r="L5" s="48" t="s">
        <v>52</v>
      </c>
      <c r="M5" s="48" t="s">
        <v>53</v>
      </c>
      <c r="N5" s="48" t="s">
        <v>54</v>
      </c>
      <c r="O5" s="48" t="s">
        <v>55</v>
      </c>
      <c r="P5" s="48" t="s">
        <v>56</v>
      </c>
      <c r="Q5" s="48" t="s">
        <v>57</v>
      </c>
      <c r="R5" s="48" t="s">
        <v>13</v>
      </c>
      <c r="S5" s="48" t="s">
        <v>6</v>
      </c>
      <c r="T5" s="127" t="s">
        <v>58</v>
      </c>
      <c r="U5" s="127" t="s">
        <v>59</v>
      </c>
      <c r="V5" s="12" t="s">
        <v>60</v>
      </c>
      <c r="X5" s="48" t="s">
        <v>141</v>
      </c>
      <c r="Y5" s="37" t="s">
        <v>15</v>
      </c>
    </row>
    <row r="6" spans="1:25" ht="15" x14ac:dyDescent="0.25">
      <c r="A6" s="210">
        <f>Greitis!A6</f>
        <v>46210</v>
      </c>
      <c r="B6" s="49">
        <v>1</v>
      </c>
      <c r="C6" s="276" t="str">
        <f>Greitis!C6</f>
        <v>UAB ,,Ekopartneris", L. Ivinskio g. 65, Kaunas. Katilinė. Taršos šaltinis  Nr. 001.</v>
      </c>
      <c r="D6" s="131">
        <v>1</v>
      </c>
      <c r="E6" s="132">
        <v>0.78500000000000003</v>
      </c>
      <c r="F6" s="211">
        <f>V9</f>
        <v>40</v>
      </c>
      <c r="G6" s="207">
        <f>Greitis!G6*129*(SQRT(X6*(273+F6)/(H6+I6)/Greitis!L6))</f>
        <v>4.1898181061790627</v>
      </c>
      <c r="H6" s="146">
        <f>Greitis!I6</f>
        <v>1000</v>
      </c>
      <c r="I6" s="162">
        <f>Greitis!J6</f>
        <v>-1</v>
      </c>
      <c r="J6" s="129">
        <v>100</v>
      </c>
      <c r="K6" s="129">
        <v>7</v>
      </c>
      <c r="L6" s="53">
        <f>M6*N6/1000</f>
        <v>0.03</v>
      </c>
      <c r="M6" s="134">
        <v>3</v>
      </c>
      <c r="N6" s="133">
        <v>10</v>
      </c>
      <c r="O6" s="129">
        <v>10</v>
      </c>
      <c r="P6" s="213">
        <f>T9</f>
        <v>10</v>
      </c>
      <c r="Q6" s="213">
        <f>U9</f>
        <v>4</v>
      </c>
      <c r="R6" s="43" t="s">
        <v>100</v>
      </c>
      <c r="S6" s="83" t="s">
        <v>103</v>
      </c>
      <c r="T6" s="128">
        <v>10.02</v>
      </c>
      <c r="U6" s="128">
        <v>4.0999999999999996</v>
      </c>
      <c r="V6" s="129">
        <v>40.200000000000003</v>
      </c>
      <c r="X6" s="205">
        <f>Greitis!E6</f>
        <v>0.14000000000000001</v>
      </c>
      <c r="Y6" s="214">
        <f>Aerodinamika!K6</f>
        <v>1.0363674089827735</v>
      </c>
    </row>
    <row r="7" spans="1:25" x14ac:dyDescent="0.25">
      <c r="A7" s="36"/>
      <c r="B7" s="33"/>
      <c r="C7" s="277"/>
      <c r="D7" s="17"/>
      <c r="E7" s="18"/>
      <c r="F7" s="211">
        <f t="shared" ref="F7:K7" si="0">(F6)</f>
        <v>40</v>
      </c>
      <c r="G7" s="207">
        <f>Greitis!G7*129*(SQRT(X7*(273+F7)/(H7+I7)/Greitis!L7))</f>
        <v>4.1898181061790627</v>
      </c>
      <c r="H7" s="212">
        <f t="shared" si="0"/>
        <v>1000</v>
      </c>
      <c r="I7" s="213">
        <f t="shared" si="0"/>
        <v>-1</v>
      </c>
      <c r="J7" s="129">
        <v>100</v>
      </c>
      <c r="K7" s="211">
        <f t="shared" si="0"/>
        <v>7</v>
      </c>
      <c r="L7" s="53">
        <f t="shared" ref="L7:L22" si="1">M7*N7/1000</f>
        <v>0.03</v>
      </c>
      <c r="M7" s="212">
        <f t="shared" ref="M7:M22" si="2">(M6)</f>
        <v>3</v>
      </c>
      <c r="N7" s="133">
        <v>10</v>
      </c>
      <c r="O7" s="129">
        <v>10</v>
      </c>
      <c r="P7" s="213">
        <f t="shared" ref="P7:Q7" si="3">(P6)</f>
        <v>10</v>
      </c>
      <c r="Q7" s="213">
        <f t="shared" si="3"/>
        <v>4</v>
      </c>
      <c r="R7" s="21"/>
      <c r="S7" s="84"/>
      <c r="T7" s="128">
        <v>9.98</v>
      </c>
      <c r="U7" s="128">
        <v>3.9</v>
      </c>
      <c r="V7" s="129">
        <v>39.799999999999997</v>
      </c>
      <c r="X7" s="205">
        <f>Greitis!E7</f>
        <v>0.14000000000000001</v>
      </c>
      <c r="Y7" s="214">
        <f>Aerodinamika!K7</f>
        <v>1.0363674089827735</v>
      </c>
    </row>
    <row r="8" spans="1:25" x14ac:dyDescent="0.25">
      <c r="A8" s="36"/>
      <c r="B8" s="33"/>
      <c r="C8" s="277"/>
      <c r="D8" s="17"/>
      <c r="E8" s="18"/>
      <c r="F8" s="211">
        <f t="shared" ref="F8" si="4">(F7)</f>
        <v>40</v>
      </c>
      <c r="G8" s="207">
        <f>Greitis!G8*129*(SQRT(X8*(273+F8)/(H8+I8)/Greitis!L8))</f>
        <v>4.1898181061790627</v>
      </c>
      <c r="H8" s="212">
        <f t="shared" ref="H8:K8" si="5">(H7)</f>
        <v>1000</v>
      </c>
      <c r="I8" s="213">
        <f t="shared" si="5"/>
        <v>-1</v>
      </c>
      <c r="J8" s="129">
        <v>100</v>
      </c>
      <c r="K8" s="211">
        <f t="shared" si="5"/>
        <v>7</v>
      </c>
      <c r="L8" s="53">
        <f t="shared" si="1"/>
        <v>0.03</v>
      </c>
      <c r="M8" s="212">
        <f t="shared" si="2"/>
        <v>3</v>
      </c>
      <c r="N8" s="133">
        <v>10</v>
      </c>
      <c r="O8" s="129">
        <v>10</v>
      </c>
      <c r="P8" s="213">
        <f t="shared" ref="P8:Q8" si="6">(P7)</f>
        <v>10</v>
      </c>
      <c r="Q8" s="213">
        <f t="shared" si="6"/>
        <v>4</v>
      </c>
      <c r="R8" s="21"/>
      <c r="S8" s="84"/>
      <c r="T8" s="128">
        <v>10</v>
      </c>
      <c r="U8" s="128">
        <v>4</v>
      </c>
      <c r="V8" s="129">
        <v>40</v>
      </c>
      <c r="X8" s="205">
        <f>Greitis!E8</f>
        <v>0.14000000000000001</v>
      </c>
      <c r="Y8" s="214">
        <f>Aerodinamika!K8</f>
        <v>1.0363674089827735</v>
      </c>
    </row>
    <row r="9" spans="1:25" x14ac:dyDescent="0.25">
      <c r="A9" s="36"/>
      <c r="B9" s="33"/>
      <c r="C9" s="277"/>
      <c r="D9" s="85"/>
      <c r="E9" s="85"/>
      <c r="F9" s="211">
        <f t="shared" ref="F9" si="7">(F8)</f>
        <v>40</v>
      </c>
      <c r="G9" s="207">
        <f>Greitis!G9*129*(SQRT(X9*(273+F9)/(H9+I9)/Greitis!L9))</f>
        <v>4.1898181061790627</v>
      </c>
      <c r="H9" s="212">
        <f t="shared" ref="H9:K9" si="8">(H8)</f>
        <v>1000</v>
      </c>
      <c r="I9" s="213">
        <f t="shared" si="8"/>
        <v>-1</v>
      </c>
      <c r="J9" s="129">
        <v>100</v>
      </c>
      <c r="K9" s="211">
        <f t="shared" si="8"/>
        <v>7</v>
      </c>
      <c r="L9" s="53">
        <f t="shared" si="1"/>
        <v>0.03</v>
      </c>
      <c r="M9" s="212">
        <f t="shared" si="2"/>
        <v>3</v>
      </c>
      <c r="N9" s="133">
        <v>10</v>
      </c>
      <c r="O9" s="129">
        <v>10</v>
      </c>
      <c r="P9" s="213">
        <f t="shared" ref="P9:Q9" si="9">(P8)</f>
        <v>10</v>
      </c>
      <c r="Q9" s="213">
        <f t="shared" si="9"/>
        <v>4</v>
      </c>
      <c r="R9" s="85"/>
      <c r="S9" s="85"/>
      <c r="T9" s="65">
        <f>AVERAGE(T6:T8)</f>
        <v>10</v>
      </c>
      <c r="U9" s="65">
        <f>AVERAGE(U6:U8)</f>
        <v>4</v>
      </c>
      <c r="V9" s="130">
        <f>AVERAGE(V6:V8)</f>
        <v>40</v>
      </c>
      <c r="X9" s="205">
        <f>Greitis!E9</f>
        <v>0.14000000000000001</v>
      </c>
      <c r="Y9" s="214">
        <f>Aerodinamika!K9</f>
        <v>1.0363674089827735</v>
      </c>
    </row>
    <row r="10" spans="1:25" x14ac:dyDescent="0.25">
      <c r="A10" s="85"/>
      <c r="B10" s="85"/>
      <c r="C10" s="277"/>
      <c r="D10" s="85"/>
      <c r="E10" s="85"/>
      <c r="F10" s="211">
        <f t="shared" ref="F10" si="10">(F9)</f>
        <v>40</v>
      </c>
      <c r="G10" s="207">
        <f>Greitis!G10*129*(SQRT(X10*(273+F10)/(H10+I10)/Greitis!L10))</f>
        <v>4.1898181061790627</v>
      </c>
      <c r="H10" s="212">
        <f t="shared" ref="H10:K10" si="11">(H9)</f>
        <v>1000</v>
      </c>
      <c r="I10" s="213">
        <f t="shared" si="11"/>
        <v>-1</v>
      </c>
      <c r="J10" s="129">
        <v>100</v>
      </c>
      <c r="K10" s="211">
        <f t="shared" si="11"/>
        <v>7</v>
      </c>
      <c r="L10" s="53">
        <f t="shared" si="1"/>
        <v>0.03</v>
      </c>
      <c r="M10" s="212">
        <f t="shared" si="2"/>
        <v>3</v>
      </c>
      <c r="N10" s="133">
        <v>10</v>
      </c>
      <c r="O10" s="129">
        <v>10</v>
      </c>
      <c r="P10" s="213">
        <f t="shared" ref="P10:Q10" si="12">(P9)</f>
        <v>10</v>
      </c>
      <c r="Q10" s="213">
        <f t="shared" si="12"/>
        <v>4</v>
      </c>
      <c r="R10" s="85"/>
      <c r="S10" s="85"/>
      <c r="T10" s="271" t="s">
        <v>31</v>
      </c>
      <c r="U10" s="271" t="s">
        <v>32</v>
      </c>
      <c r="V10" s="270" t="s">
        <v>36</v>
      </c>
      <c r="X10" s="205">
        <f>Greitis!E10</f>
        <v>0.14000000000000001</v>
      </c>
      <c r="Y10" s="214">
        <f>Aerodinamika!K10</f>
        <v>1.0363674089827735</v>
      </c>
    </row>
    <row r="11" spans="1:25" x14ac:dyDescent="0.25">
      <c r="A11" s="85"/>
      <c r="B11" s="85"/>
      <c r="C11" s="277"/>
      <c r="D11" s="85"/>
      <c r="E11" s="85"/>
      <c r="F11" s="211">
        <f t="shared" ref="F11" si="13">(F10)</f>
        <v>40</v>
      </c>
      <c r="G11" s="207">
        <f>Greitis!G11*129*(SQRT(X11*(273+F11)/(H11+I11)/Greitis!L11))</f>
        <v>4.1898181061790627</v>
      </c>
      <c r="H11" s="212">
        <f t="shared" ref="H11:K11" si="14">(H10)</f>
        <v>1000</v>
      </c>
      <c r="I11" s="213">
        <f t="shared" si="14"/>
        <v>-1</v>
      </c>
      <c r="J11" s="129">
        <v>100</v>
      </c>
      <c r="K11" s="211">
        <f t="shared" si="14"/>
        <v>7</v>
      </c>
      <c r="L11" s="53">
        <f t="shared" si="1"/>
        <v>0.03</v>
      </c>
      <c r="M11" s="212">
        <f t="shared" si="2"/>
        <v>3</v>
      </c>
      <c r="N11" s="133">
        <v>10</v>
      </c>
      <c r="O11" s="129">
        <v>10</v>
      </c>
      <c r="P11" s="213">
        <f t="shared" ref="P11:Q11" si="15">(P10)</f>
        <v>10</v>
      </c>
      <c r="Q11" s="213">
        <f t="shared" si="15"/>
        <v>4</v>
      </c>
      <c r="R11" s="85"/>
      <c r="S11" s="85"/>
      <c r="T11" s="272"/>
      <c r="U11" s="272"/>
      <c r="V11" s="270"/>
      <c r="X11" s="205">
        <f>Greitis!E11</f>
        <v>0.14000000000000001</v>
      </c>
      <c r="Y11" s="214">
        <f>Aerodinamika!K11</f>
        <v>1.0363674089827735</v>
      </c>
    </row>
    <row r="12" spans="1:25" x14ac:dyDescent="0.25">
      <c r="A12" s="85"/>
      <c r="B12" s="85"/>
      <c r="C12" s="277"/>
      <c r="D12" s="85"/>
      <c r="E12" s="85"/>
      <c r="F12" s="211">
        <f t="shared" ref="F12" si="16">(F11)</f>
        <v>40</v>
      </c>
      <c r="G12" s="207">
        <f>Greitis!G12*129*(SQRT(X12*(273+F12)/(H12+I12)/Greitis!L12))</f>
        <v>4.1898181061790627</v>
      </c>
      <c r="H12" s="212">
        <f t="shared" ref="H12:K12" si="17">(H11)</f>
        <v>1000</v>
      </c>
      <c r="I12" s="213">
        <f t="shared" si="17"/>
        <v>-1</v>
      </c>
      <c r="J12" s="129">
        <v>100</v>
      </c>
      <c r="K12" s="211">
        <f t="shared" si="17"/>
        <v>7</v>
      </c>
      <c r="L12" s="53">
        <f t="shared" si="1"/>
        <v>0.03</v>
      </c>
      <c r="M12" s="212">
        <f t="shared" si="2"/>
        <v>3</v>
      </c>
      <c r="N12" s="133">
        <v>10</v>
      </c>
      <c r="O12" s="129">
        <v>10</v>
      </c>
      <c r="P12" s="213">
        <f t="shared" ref="P12:Q12" si="18">(P11)</f>
        <v>10</v>
      </c>
      <c r="Q12" s="213">
        <f t="shared" si="18"/>
        <v>4</v>
      </c>
      <c r="R12" s="85"/>
      <c r="S12" s="85"/>
      <c r="T12" s="273"/>
      <c r="U12" s="273"/>
      <c r="V12" s="270"/>
      <c r="X12" s="205">
        <f>Greitis!E12</f>
        <v>0.14000000000000001</v>
      </c>
      <c r="Y12" s="214">
        <f>Aerodinamika!K12</f>
        <v>1.0363674089827735</v>
      </c>
    </row>
    <row r="13" spans="1:25" x14ac:dyDescent="0.25">
      <c r="A13" s="85"/>
      <c r="B13" s="85"/>
      <c r="C13" s="277"/>
      <c r="D13" s="85"/>
      <c r="E13" s="85"/>
      <c r="F13" s="211">
        <f t="shared" ref="F13" si="19">(F12)</f>
        <v>40</v>
      </c>
      <c r="G13" s="207">
        <f>Greitis!G13*129*(SQRT(X13*(273+F13)/(H13+I13)/Greitis!L13))</f>
        <v>4.1898181061790627</v>
      </c>
      <c r="H13" s="212">
        <f t="shared" ref="H13:K13" si="20">(H12)</f>
        <v>1000</v>
      </c>
      <c r="I13" s="213">
        <f t="shared" si="20"/>
        <v>-1</v>
      </c>
      <c r="J13" s="129">
        <v>100</v>
      </c>
      <c r="K13" s="211">
        <f t="shared" si="20"/>
        <v>7</v>
      </c>
      <c r="L13" s="53">
        <f t="shared" si="1"/>
        <v>0.03</v>
      </c>
      <c r="M13" s="212">
        <f t="shared" si="2"/>
        <v>3</v>
      </c>
      <c r="N13" s="133">
        <v>10</v>
      </c>
      <c r="O13" s="129">
        <v>10</v>
      </c>
      <c r="P13" s="213">
        <f t="shared" ref="P13:Q13" si="21">(P12)</f>
        <v>10</v>
      </c>
      <c r="Q13" s="213">
        <f t="shared" si="21"/>
        <v>4</v>
      </c>
      <c r="R13" s="85"/>
      <c r="S13" s="85"/>
      <c r="X13" s="205">
        <f>Greitis!E13</f>
        <v>0.14000000000000001</v>
      </c>
      <c r="Y13" s="214">
        <f>Aerodinamika!K13</f>
        <v>1.0363674089827735</v>
      </c>
    </row>
    <row r="14" spans="1:25" x14ac:dyDescent="0.25">
      <c r="A14" s="85"/>
      <c r="B14" s="85"/>
      <c r="C14" s="277"/>
      <c r="D14" s="85"/>
      <c r="E14" s="85"/>
      <c r="F14" s="211">
        <f t="shared" ref="F14" si="22">(F13)</f>
        <v>40</v>
      </c>
      <c r="G14" s="207">
        <f>Greitis!G14*129*(SQRT(X14*(273+F14)/(H14+I14)/Greitis!L14))</f>
        <v>4.1898181061790627</v>
      </c>
      <c r="H14" s="212">
        <f t="shared" ref="H14:K14" si="23">(H13)</f>
        <v>1000</v>
      </c>
      <c r="I14" s="213">
        <f t="shared" si="23"/>
        <v>-1</v>
      </c>
      <c r="J14" s="129">
        <v>100</v>
      </c>
      <c r="K14" s="211">
        <f t="shared" si="23"/>
        <v>7</v>
      </c>
      <c r="L14" s="53">
        <f t="shared" si="1"/>
        <v>0.03</v>
      </c>
      <c r="M14" s="212">
        <f t="shared" si="2"/>
        <v>3</v>
      </c>
      <c r="N14" s="133">
        <v>10</v>
      </c>
      <c r="O14" s="129">
        <v>10</v>
      </c>
      <c r="P14" s="213">
        <f t="shared" ref="P14:Q14" si="24">(P13)</f>
        <v>10</v>
      </c>
      <c r="Q14" s="213">
        <f t="shared" si="24"/>
        <v>4</v>
      </c>
      <c r="R14" s="85"/>
      <c r="S14" s="85"/>
      <c r="X14" s="205">
        <f>Greitis!E14</f>
        <v>0.14000000000000001</v>
      </c>
      <c r="Y14" s="214">
        <f>Aerodinamika!K14</f>
        <v>1.0363674089827735</v>
      </c>
    </row>
    <row r="15" spans="1:25" x14ac:dyDescent="0.25">
      <c r="A15" s="85"/>
      <c r="B15" s="85"/>
      <c r="C15" s="277"/>
      <c r="D15" s="85"/>
      <c r="E15" s="85"/>
      <c r="F15" s="211">
        <f t="shared" ref="F15" si="25">(F14)</f>
        <v>40</v>
      </c>
      <c r="G15" s="207">
        <f>Greitis!G15*129*(SQRT(X15*(273+F15)/(H15+I15)/Greitis!L15))</f>
        <v>4.1898181061790627</v>
      </c>
      <c r="H15" s="212">
        <f t="shared" ref="H15:K15" si="26">(H14)</f>
        <v>1000</v>
      </c>
      <c r="I15" s="213">
        <f t="shared" si="26"/>
        <v>-1</v>
      </c>
      <c r="J15" s="129">
        <v>100</v>
      </c>
      <c r="K15" s="211">
        <f t="shared" si="26"/>
        <v>7</v>
      </c>
      <c r="L15" s="53">
        <f t="shared" si="1"/>
        <v>0.03</v>
      </c>
      <c r="M15" s="212">
        <f t="shared" si="2"/>
        <v>3</v>
      </c>
      <c r="N15" s="133">
        <v>10</v>
      </c>
      <c r="O15" s="129">
        <v>10</v>
      </c>
      <c r="P15" s="213">
        <f t="shared" ref="P15:Q15" si="27">(P14)</f>
        <v>10</v>
      </c>
      <c r="Q15" s="213">
        <f t="shared" si="27"/>
        <v>4</v>
      </c>
      <c r="R15" s="85"/>
      <c r="S15" s="85"/>
      <c r="X15" s="205">
        <f>Greitis!E15</f>
        <v>0.14000000000000001</v>
      </c>
      <c r="Y15" s="214">
        <f>Aerodinamika!K15</f>
        <v>1.0363674089827735</v>
      </c>
    </row>
    <row r="16" spans="1:25" x14ac:dyDescent="0.25">
      <c r="A16" s="85"/>
      <c r="B16" s="85"/>
      <c r="C16" s="277"/>
      <c r="D16" s="85"/>
      <c r="E16" s="85"/>
      <c r="F16" s="211">
        <f t="shared" ref="F16" si="28">(F15)</f>
        <v>40</v>
      </c>
      <c r="G16" s="207">
        <f>Greitis!G16*129*(SQRT(X16*(273+F16)/(H16+I16)/Greitis!L16))</f>
        <v>4.1898181061790627</v>
      </c>
      <c r="H16" s="212">
        <f t="shared" ref="H16:K16" si="29">(H15)</f>
        <v>1000</v>
      </c>
      <c r="I16" s="213">
        <f t="shared" si="29"/>
        <v>-1</v>
      </c>
      <c r="J16" s="129">
        <v>100</v>
      </c>
      <c r="K16" s="211">
        <f t="shared" si="29"/>
        <v>7</v>
      </c>
      <c r="L16" s="53">
        <f t="shared" si="1"/>
        <v>0.03</v>
      </c>
      <c r="M16" s="212">
        <f t="shared" si="2"/>
        <v>3</v>
      </c>
      <c r="N16" s="133">
        <v>10</v>
      </c>
      <c r="O16" s="129">
        <v>10</v>
      </c>
      <c r="P16" s="213">
        <f t="shared" ref="P16:Q16" si="30">(P15)</f>
        <v>10</v>
      </c>
      <c r="Q16" s="213">
        <f t="shared" si="30"/>
        <v>4</v>
      </c>
      <c r="R16" s="85"/>
      <c r="S16" s="85"/>
      <c r="X16" s="205">
        <f>Greitis!E16</f>
        <v>0.14000000000000001</v>
      </c>
      <c r="Y16" s="214">
        <f>Aerodinamika!K16</f>
        <v>1.0363674089827735</v>
      </c>
    </row>
    <row r="17" spans="1:25" x14ac:dyDescent="0.25">
      <c r="A17" s="85"/>
      <c r="B17" s="85"/>
      <c r="C17" s="277"/>
      <c r="D17" s="85"/>
      <c r="E17" s="85"/>
      <c r="F17" s="211">
        <f t="shared" ref="F17:F22" si="31">(F16)</f>
        <v>40</v>
      </c>
      <c r="G17" s="207">
        <f>Greitis!G17*129*(SQRT(X17*(273+F17)/(H17+I17)/Greitis!L17))</f>
        <v>4.1898181061790627</v>
      </c>
      <c r="H17" s="212">
        <f t="shared" ref="H17:K17" si="32">(H16)</f>
        <v>1000</v>
      </c>
      <c r="I17" s="213">
        <f t="shared" si="32"/>
        <v>-1</v>
      </c>
      <c r="J17" s="129">
        <v>100</v>
      </c>
      <c r="K17" s="211">
        <f t="shared" si="32"/>
        <v>7</v>
      </c>
      <c r="L17" s="53">
        <f t="shared" si="1"/>
        <v>0.03</v>
      </c>
      <c r="M17" s="212">
        <f t="shared" si="2"/>
        <v>3</v>
      </c>
      <c r="N17" s="133">
        <v>10</v>
      </c>
      <c r="O17" s="129">
        <v>10</v>
      </c>
      <c r="P17" s="213">
        <f t="shared" ref="P17:Q17" si="33">(P16)</f>
        <v>10</v>
      </c>
      <c r="Q17" s="213">
        <f t="shared" si="33"/>
        <v>4</v>
      </c>
      <c r="R17" s="85"/>
      <c r="S17" s="85"/>
      <c r="X17" s="205">
        <f>Greitis!E17</f>
        <v>0.14000000000000001</v>
      </c>
      <c r="Y17" s="214">
        <f>Aerodinamika!K17</f>
        <v>1.0363674089827735</v>
      </c>
    </row>
    <row r="18" spans="1:25" x14ac:dyDescent="0.25">
      <c r="A18" s="85"/>
      <c r="B18" s="85"/>
      <c r="C18" s="277"/>
      <c r="D18" s="85"/>
      <c r="E18" s="85"/>
      <c r="F18" s="211">
        <f t="shared" si="31"/>
        <v>40</v>
      </c>
      <c r="G18" s="207">
        <f>Greitis!G18*129*(SQRT(X18*(273+F18)/(H18+I18)/Greitis!L18))</f>
        <v>4.1898181061790627</v>
      </c>
      <c r="H18" s="212">
        <f t="shared" ref="H18:I18" si="34">(H17)</f>
        <v>1000</v>
      </c>
      <c r="I18" s="213">
        <f t="shared" si="34"/>
        <v>-1</v>
      </c>
      <c r="J18" s="129">
        <v>100</v>
      </c>
      <c r="K18" s="211">
        <f t="shared" ref="K18" si="35">(K17)</f>
        <v>7</v>
      </c>
      <c r="L18" s="53">
        <f t="shared" si="1"/>
        <v>0.03</v>
      </c>
      <c r="M18" s="212">
        <f t="shared" si="2"/>
        <v>3</v>
      </c>
      <c r="N18" s="133">
        <v>10</v>
      </c>
      <c r="O18" s="129">
        <v>10</v>
      </c>
      <c r="P18" s="213">
        <f t="shared" ref="P18:Q22" si="36">(P17)</f>
        <v>10</v>
      </c>
      <c r="Q18" s="213">
        <f t="shared" si="36"/>
        <v>4</v>
      </c>
      <c r="R18" s="85"/>
      <c r="S18" s="85"/>
      <c r="X18" s="205">
        <f>Greitis!E18</f>
        <v>0.14000000000000001</v>
      </c>
      <c r="Y18" s="214">
        <f>Aerodinamika!K18</f>
        <v>1.0363674089827735</v>
      </c>
    </row>
    <row r="19" spans="1:25" x14ac:dyDescent="0.25">
      <c r="A19" s="85"/>
      <c r="B19" s="85"/>
      <c r="C19" s="277"/>
      <c r="D19" s="85"/>
      <c r="E19" s="85"/>
      <c r="F19" s="211">
        <f t="shared" si="31"/>
        <v>40</v>
      </c>
      <c r="G19" s="207">
        <f>Greitis!G19*129*(SQRT(X19*(273+F19)/(H19+I19)/Greitis!L19))</f>
        <v>4.1898181061790627</v>
      </c>
      <c r="H19" s="212">
        <f t="shared" ref="H19:I19" si="37">(H18)</f>
        <v>1000</v>
      </c>
      <c r="I19" s="213">
        <f t="shared" si="37"/>
        <v>-1</v>
      </c>
      <c r="J19" s="129">
        <v>100</v>
      </c>
      <c r="K19" s="211">
        <f t="shared" ref="K19" si="38">(K18)</f>
        <v>7</v>
      </c>
      <c r="L19" s="53">
        <f t="shared" si="1"/>
        <v>0.03</v>
      </c>
      <c r="M19" s="212">
        <f t="shared" si="2"/>
        <v>3</v>
      </c>
      <c r="N19" s="133">
        <v>10</v>
      </c>
      <c r="O19" s="129">
        <v>10</v>
      </c>
      <c r="P19" s="213">
        <f t="shared" si="36"/>
        <v>10</v>
      </c>
      <c r="Q19" s="213">
        <f t="shared" si="36"/>
        <v>4</v>
      </c>
      <c r="R19" s="85"/>
      <c r="S19" s="85"/>
      <c r="X19" s="205">
        <f>Greitis!E19</f>
        <v>0.14000000000000001</v>
      </c>
      <c r="Y19" s="214">
        <f>Aerodinamika!K19</f>
        <v>1.0363674089827735</v>
      </c>
    </row>
    <row r="20" spans="1:25" x14ac:dyDescent="0.25">
      <c r="A20" s="85"/>
      <c r="B20" s="85"/>
      <c r="C20" s="277"/>
      <c r="D20" s="85"/>
      <c r="E20" s="85"/>
      <c r="F20" s="211">
        <f t="shared" si="31"/>
        <v>40</v>
      </c>
      <c r="G20" s="207">
        <f>Greitis!G20*129*(SQRT(X20*(273+F20)/(H20+I20)/Greitis!L20))</f>
        <v>4.1898181061790627</v>
      </c>
      <c r="H20" s="212">
        <f t="shared" ref="H20:I20" si="39">(H19)</f>
        <v>1000</v>
      </c>
      <c r="I20" s="213">
        <f t="shared" si="39"/>
        <v>-1</v>
      </c>
      <c r="J20" s="129">
        <v>100</v>
      </c>
      <c r="K20" s="211">
        <f t="shared" ref="K20" si="40">(K19)</f>
        <v>7</v>
      </c>
      <c r="L20" s="53">
        <f t="shared" si="1"/>
        <v>0.03</v>
      </c>
      <c r="M20" s="212">
        <f t="shared" si="2"/>
        <v>3</v>
      </c>
      <c r="N20" s="133">
        <v>10</v>
      </c>
      <c r="O20" s="129">
        <v>10</v>
      </c>
      <c r="P20" s="213">
        <f t="shared" si="36"/>
        <v>10</v>
      </c>
      <c r="Q20" s="213">
        <f t="shared" si="36"/>
        <v>4</v>
      </c>
      <c r="R20" s="85"/>
      <c r="S20" s="85"/>
      <c r="X20" s="205">
        <f>Greitis!E20</f>
        <v>0.14000000000000001</v>
      </c>
      <c r="Y20" s="214">
        <f>Aerodinamika!K20</f>
        <v>1.0363674089827735</v>
      </c>
    </row>
    <row r="21" spans="1:25" x14ac:dyDescent="0.25">
      <c r="A21" s="85"/>
      <c r="B21" s="85"/>
      <c r="C21" s="277"/>
      <c r="D21" s="85"/>
      <c r="E21" s="85"/>
      <c r="F21" s="211">
        <f t="shared" si="31"/>
        <v>40</v>
      </c>
      <c r="G21" s="207">
        <f>Greitis!G21*129*(SQRT(X21*(273+F21)/(H21+I21)/Greitis!L21))</f>
        <v>4.1898181061790627</v>
      </c>
      <c r="H21" s="212">
        <f t="shared" ref="H21:I21" si="41">(H20)</f>
        <v>1000</v>
      </c>
      <c r="I21" s="213">
        <f t="shared" si="41"/>
        <v>-1</v>
      </c>
      <c r="J21" s="129">
        <v>100</v>
      </c>
      <c r="K21" s="211">
        <f t="shared" ref="K21" si="42">(K20)</f>
        <v>7</v>
      </c>
      <c r="L21" s="53">
        <f t="shared" si="1"/>
        <v>0.03</v>
      </c>
      <c r="M21" s="212">
        <f t="shared" si="2"/>
        <v>3</v>
      </c>
      <c r="N21" s="133">
        <v>10</v>
      </c>
      <c r="O21" s="129">
        <v>10</v>
      </c>
      <c r="P21" s="213">
        <f t="shared" si="36"/>
        <v>10</v>
      </c>
      <c r="Q21" s="213">
        <f t="shared" si="36"/>
        <v>4</v>
      </c>
      <c r="R21" s="85"/>
      <c r="S21" s="85"/>
      <c r="X21" s="205">
        <f>Greitis!E21</f>
        <v>0.14000000000000001</v>
      </c>
      <c r="Y21" s="214">
        <f>Aerodinamika!K21</f>
        <v>1.0363674089827735</v>
      </c>
    </row>
    <row r="22" spans="1:25" x14ac:dyDescent="0.25">
      <c r="A22" s="86"/>
      <c r="B22" s="86"/>
      <c r="C22" s="278"/>
      <c r="D22" s="86"/>
      <c r="E22" s="86"/>
      <c r="F22" s="211">
        <f t="shared" si="31"/>
        <v>40</v>
      </c>
      <c r="G22" s="207">
        <f>Greitis!G22*129*(SQRT(X22*(273+F22)/(H22+I22)/Greitis!L22))</f>
        <v>4.1898181061790627</v>
      </c>
      <c r="H22" s="212">
        <f t="shared" ref="H22:I22" si="43">(H21)</f>
        <v>1000</v>
      </c>
      <c r="I22" s="213">
        <f t="shared" si="43"/>
        <v>-1</v>
      </c>
      <c r="J22" s="129">
        <v>100</v>
      </c>
      <c r="K22" s="211">
        <f t="shared" ref="K22" si="44">(K21)</f>
        <v>7</v>
      </c>
      <c r="L22" s="53">
        <f t="shared" si="1"/>
        <v>0.03</v>
      </c>
      <c r="M22" s="212">
        <f t="shared" si="2"/>
        <v>3</v>
      </c>
      <c r="N22" s="133">
        <v>10</v>
      </c>
      <c r="O22" s="129">
        <v>10</v>
      </c>
      <c r="P22" s="213">
        <f t="shared" si="36"/>
        <v>10</v>
      </c>
      <c r="Q22" s="213">
        <f t="shared" si="36"/>
        <v>4</v>
      </c>
      <c r="R22" s="86"/>
      <c r="S22" s="86"/>
      <c r="X22" s="205">
        <f>Greitis!E22</f>
        <v>0.14000000000000001</v>
      </c>
      <c r="Y22" s="214">
        <f>Aerodinamika!K22</f>
        <v>1.0363674089827735</v>
      </c>
    </row>
    <row r="23" spans="1:25" ht="21.75" customHeight="1" x14ac:dyDescent="0.25">
      <c r="L23" s="78">
        <f>SUM(L6:L22)</f>
        <v>0.51000000000000023</v>
      </c>
      <c r="M23" s="120">
        <f>SUM(M6:M22)</f>
        <v>51</v>
      </c>
      <c r="N23" s="120">
        <f>AVERAGE(N6:N22)</f>
        <v>10</v>
      </c>
    </row>
    <row r="24" spans="1:25" ht="29.25" customHeight="1" x14ac:dyDescent="0.25">
      <c r="L24" s="87" t="s">
        <v>28</v>
      </c>
      <c r="M24" s="47" t="s">
        <v>94</v>
      </c>
      <c r="N24" s="47" t="s">
        <v>135</v>
      </c>
    </row>
    <row r="33" ht="15" customHeight="1" x14ac:dyDescent="0.25"/>
    <row r="103" spans="1:2" x14ac:dyDescent="0.25">
      <c r="A103" s="88"/>
      <c r="B103" s="88"/>
    </row>
    <row r="104" spans="1:2" x14ac:dyDescent="0.25">
      <c r="A104" s="88"/>
      <c r="B104" s="88"/>
    </row>
    <row r="105" spans="1:2" x14ac:dyDescent="0.25">
      <c r="A105" s="88"/>
      <c r="B105" s="88"/>
    </row>
    <row r="106" spans="1:2" x14ac:dyDescent="0.25">
      <c r="A106" s="88"/>
      <c r="B106" s="88"/>
    </row>
  </sheetData>
  <sheetProtection algorithmName="SHA-512" hashValue="CuBTSn2ej1f9AM9nTfm26vjnN8hkdwFikmQ2FiXHpyc5JT+bywAxvTcRgkLrqZ4sAexbnIS8Ur9AAv3FDA3hhA==" saltValue="fgps3x+OJmzMfjX0cPVOOQ==" spinCount="100000" sheet="1" formatCells="0" formatColumns="0" formatRows="0"/>
  <mergeCells count="6">
    <mergeCell ref="V10:V12"/>
    <mergeCell ref="T10:T12"/>
    <mergeCell ref="U10:U12"/>
    <mergeCell ref="C1:D1"/>
    <mergeCell ref="A2:S2"/>
    <mergeCell ref="C6:C2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0"/>
  <sheetViews>
    <sheetView zoomScale="80" zoomScaleNormal="80" workbookViewId="0">
      <pane ySplit="5" topLeftCell="A6" activePane="bottomLeft" state="frozen"/>
      <selection pane="bottomLeft" activeCell="C26" sqref="C26"/>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 style="14" customWidth="1"/>
    <col min="5" max="5" width="13.54296875" style="14" customWidth="1"/>
    <col min="6" max="6" width="15.81640625" style="14" customWidth="1"/>
    <col min="7" max="7" width="13.54296875" style="14" customWidth="1"/>
    <col min="8" max="8" width="10.453125" style="14" customWidth="1"/>
    <col min="9" max="9" width="12.1796875" style="14" customWidth="1" outlineLevel="1"/>
    <col min="10" max="10" width="10" style="14" customWidth="1" outlineLevel="1"/>
    <col min="11" max="12" width="10.26953125" style="14" customWidth="1"/>
    <col min="13" max="13" width="17" style="14" customWidth="1"/>
    <col min="14" max="14" width="16" style="14" customWidth="1"/>
    <col min="15" max="16384" width="9.1796875" style="14"/>
  </cols>
  <sheetData>
    <row r="1" spans="1:17" ht="30.75" customHeight="1" x14ac:dyDescent="0.3">
      <c r="C1" s="274" t="s">
        <v>18</v>
      </c>
      <c r="D1" s="274"/>
      <c r="Q1" s="16"/>
    </row>
    <row r="2" spans="1:17" ht="19.5" customHeight="1" x14ac:dyDescent="0.3">
      <c r="C2" s="279" t="s">
        <v>96</v>
      </c>
      <c r="D2" s="279"/>
      <c r="E2" s="279"/>
      <c r="F2" s="279"/>
      <c r="G2" s="279"/>
      <c r="H2" s="279"/>
      <c r="I2" s="279"/>
      <c r="J2" s="279"/>
      <c r="K2" s="279"/>
      <c r="L2" s="279"/>
      <c r="M2" s="279"/>
      <c r="Q2" s="16"/>
    </row>
    <row r="3" spans="1:17" ht="12" customHeight="1" x14ac:dyDescent="0.3">
      <c r="C3" s="22"/>
      <c r="H3" s="23"/>
      <c r="Q3" s="16"/>
    </row>
    <row r="4" spans="1:17" ht="8.25" customHeight="1" x14ac:dyDescent="0.3"/>
    <row r="5" spans="1:17" ht="126.75" customHeight="1" x14ac:dyDescent="0.3">
      <c r="A5" s="89" t="s">
        <v>8</v>
      </c>
      <c r="B5" s="89" t="s">
        <v>61</v>
      </c>
      <c r="C5" s="89" t="s">
        <v>9</v>
      </c>
      <c r="D5" s="12" t="s">
        <v>62</v>
      </c>
      <c r="E5" s="12" t="s">
        <v>63</v>
      </c>
      <c r="F5" s="12" t="s">
        <v>64</v>
      </c>
      <c r="G5" s="12" t="s">
        <v>65</v>
      </c>
      <c r="H5" s="12" t="s">
        <v>66</v>
      </c>
      <c r="I5" s="12" t="s">
        <v>67</v>
      </c>
      <c r="J5" s="12" t="s">
        <v>68</v>
      </c>
      <c r="K5" s="37" t="s">
        <v>15</v>
      </c>
      <c r="L5" s="37" t="s">
        <v>16</v>
      </c>
      <c r="M5" s="12" t="s">
        <v>12</v>
      </c>
      <c r="N5" s="50" t="s">
        <v>6</v>
      </c>
    </row>
    <row r="6" spans="1:17" ht="15" customHeight="1" x14ac:dyDescent="0.3">
      <c r="A6" s="215">
        <f>Paėmimas!A6</f>
        <v>46210</v>
      </c>
      <c r="B6" s="216">
        <f>Paėmimas!B6</f>
        <v>1</v>
      </c>
      <c r="C6" s="276" t="str">
        <f>Paėmimas!C6</f>
        <v>UAB ,,Ekopartneris", L. Ivinskio g. 65, Kaunas. Katilinė. Taršos šaltinis  Nr. 001.</v>
      </c>
      <c r="D6" s="217">
        <f>Paėmimas!L6</f>
        <v>0.03</v>
      </c>
      <c r="E6" s="63">
        <f>D6*(273/(273+Paėmimas!O6)*(Paėmimas!H6-Paėmimas!J6)/1013)</f>
        <v>2.5711684497294881E-2</v>
      </c>
      <c r="F6" s="64">
        <f>SUM(E6:E22)</f>
        <v>0.43709863645401298</v>
      </c>
      <c r="G6" s="62">
        <f>((Paėmimas!Q6/100)*1.965)+((Paėmimas!P6/100)*1.429)+((1-(Paėmimas!Q6/100)-(Paėmimas!P6/100))*1.251)</f>
        <v>1.2973599999999998</v>
      </c>
      <c r="H6" s="217">
        <f>H2O!K7</f>
        <v>6.3521730209331739</v>
      </c>
      <c r="I6" s="53">
        <f>(E6/(1-(H6/1000))*((273+Paėmimas!F6)/273)*(1013/(Paėmimas!H6+Paėmimas!I6)))</f>
        <v>3.0083176437365862E-2</v>
      </c>
      <c r="J6" s="53">
        <f>(I6/(Paėmimas!M6*60)/((3.142*((Paėmimas!K6/1000)*(Paėmimas!K6/1000))/4)))</f>
        <v>4.3421909348099064</v>
      </c>
      <c r="K6" s="65">
        <f>J6/Paėmimas!G6</f>
        <v>1.0363674089827735</v>
      </c>
      <c r="L6" s="66">
        <f>AVERAGE(K6:K22)</f>
        <v>1.0363674089827735</v>
      </c>
      <c r="M6" s="218" t="str">
        <f>Paėmimas!R6</f>
        <v>S.Č., 2026-05-02</v>
      </c>
      <c r="N6" s="219" t="str">
        <f>Paėmimas!S6</f>
        <v>1 linija, 1 filtras</v>
      </c>
    </row>
    <row r="7" spans="1:17" ht="15" customHeight="1" x14ac:dyDescent="0.3">
      <c r="A7" s="54"/>
      <c r="B7" s="21"/>
      <c r="C7" s="277"/>
      <c r="D7" s="217">
        <f>Paėmimas!L7</f>
        <v>0.03</v>
      </c>
      <c r="E7" s="63">
        <f>D7*(273/(273+Paėmimas!O7)*(Paėmimas!H7-Paėmimas!J7)/1013)</f>
        <v>2.5711684497294881E-2</v>
      </c>
      <c r="F7" s="55"/>
      <c r="G7" s="62">
        <f>((Paėmimas!Q7/100)*1.965)+((Paėmimas!P7/100)*1.429)+((1-(Paėmimas!Q7/100)-(Paėmimas!P7/100))*1.251)</f>
        <v>1.2973599999999998</v>
      </c>
      <c r="H7" s="217">
        <f>H2O!K7</f>
        <v>6.3521730209331739</v>
      </c>
      <c r="I7" s="53">
        <f>(E7/(1-(H7/1000))*((273+Paėmimas!F7)/273)*(1013/(Paėmimas!H7+Paėmimas!I7)))</f>
        <v>3.0083176437365862E-2</v>
      </c>
      <c r="J7" s="53">
        <f>(I7/(Paėmimas!M7*60)/((3.142*((Paėmimas!K7/1000)*(Paėmimas!K7/1000))/4)))</f>
        <v>4.3421909348099064</v>
      </c>
      <c r="K7" s="65">
        <f>J7/Paėmimas!G7</f>
        <v>1.0363674089827735</v>
      </c>
      <c r="L7" s="17"/>
      <c r="M7" s="55"/>
      <c r="N7" s="33"/>
    </row>
    <row r="8" spans="1:17" ht="15" customHeight="1" x14ac:dyDescent="0.3">
      <c r="A8" s="54"/>
      <c r="B8" s="21"/>
      <c r="C8" s="277"/>
      <c r="D8" s="217">
        <f>Paėmimas!L8</f>
        <v>0.03</v>
      </c>
      <c r="E8" s="63">
        <f>D8*(273/(273+Paėmimas!O8)*(Paėmimas!H8-Paėmimas!J8)/1013)</f>
        <v>2.5711684497294881E-2</v>
      </c>
      <c r="F8" s="55"/>
      <c r="G8" s="62">
        <f>((Paėmimas!Q8/100)*1.965)+((Paėmimas!P8/100)*1.429)+((1-(Paėmimas!Q8/100)-(Paėmimas!P8/100))*1.251)</f>
        <v>1.2973599999999998</v>
      </c>
      <c r="H8" s="217">
        <f>H2O!K7</f>
        <v>6.3521730209331739</v>
      </c>
      <c r="I8" s="53">
        <f>(E8/(1-(H8/1000))*((273+Paėmimas!F8)/273)*(1013/(Paėmimas!H8+Paėmimas!I8)))</f>
        <v>3.0083176437365862E-2</v>
      </c>
      <c r="J8" s="53">
        <f>(I8/(Paėmimas!M8*60)/((3.142*((Paėmimas!K8/1000)*(Paėmimas!K8/1000))/4)))</f>
        <v>4.3421909348099064</v>
      </c>
      <c r="K8" s="65">
        <f>J8/Paėmimas!G8</f>
        <v>1.0363674089827735</v>
      </c>
      <c r="L8" s="17"/>
      <c r="M8" s="55"/>
      <c r="N8" s="33"/>
    </row>
    <row r="9" spans="1:17" ht="15" customHeight="1" x14ac:dyDescent="0.3">
      <c r="A9" s="54"/>
      <c r="B9" s="21"/>
      <c r="C9" s="277"/>
      <c r="D9" s="217">
        <f>Paėmimas!L9</f>
        <v>0.03</v>
      </c>
      <c r="E9" s="63">
        <f>D9*(273/(273+Paėmimas!O9)*(Paėmimas!H9-Paėmimas!J9)/1013)</f>
        <v>2.5711684497294881E-2</v>
      </c>
      <c r="F9" s="55"/>
      <c r="G9" s="62">
        <f>((Paėmimas!Q9/100)*1.965)+((Paėmimas!P9/100)*1.429)+((1-(Paėmimas!Q9/100)-(Paėmimas!P9/100))*1.251)</f>
        <v>1.2973599999999998</v>
      </c>
      <c r="H9" s="217">
        <f>H2O!K7</f>
        <v>6.3521730209331739</v>
      </c>
      <c r="I9" s="53">
        <f>(E9/(1-(H9/1000))*((273+Paėmimas!F9)/273)*(1013/(Paėmimas!H9+Paėmimas!I9)))</f>
        <v>3.0083176437365862E-2</v>
      </c>
      <c r="J9" s="53">
        <f>(I9/(Paėmimas!M9*60)/((3.142*((Paėmimas!K9/1000)*(Paėmimas!K9/1000))/4)))</f>
        <v>4.3421909348099064</v>
      </c>
      <c r="K9" s="65">
        <f>J9/Paėmimas!G9</f>
        <v>1.0363674089827735</v>
      </c>
      <c r="L9" s="17"/>
      <c r="M9" s="55"/>
      <c r="N9" s="33"/>
    </row>
    <row r="10" spans="1:17" ht="15" customHeight="1" x14ac:dyDescent="0.3">
      <c r="A10" s="54"/>
      <c r="B10" s="21"/>
      <c r="C10" s="277"/>
      <c r="D10" s="217">
        <f>Paėmimas!L10</f>
        <v>0.03</v>
      </c>
      <c r="E10" s="63">
        <f>D10*(273/(273+Paėmimas!O10)*(Paėmimas!H10-Paėmimas!J10)/1013)</f>
        <v>2.5711684497294881E-2</v>
      </c>
      <c r="F10" s="55"/>
      <c r="G10" s="62">
        <f>((Paėmimas!Q10/100)*1.965)+((Paėmimas!P10/100)*1.429)+((1-(Paėmimas!Q10/100)-(Paėmimas!P10/100))*1.251)</f>
        <v>1.2973599999999998</v>
      </c>
      <c r="H10" s="217">
        <f>H2O!K7</f>
        <v>6.3521730209331739</v>
      </c>
      <c r="I10" s="53">
        <f>(E10/(1-(H10/1000))*((273+Paėmimas!F10)/273)*(1013/(Paėmimas!H10+Paėmimas!I10)))</f>
        <v>3.0083176437365862E-2</v>
      </c>
      <c r="J10" s="53">
        <f>(I10/(Paėmimas!M10*60)/((3.142*((Paėmimas!K10/1000)*(Paėmimas!K10/1000))/4)))</f>
        <v>4.3421909348099064</v>
      </c>
      <c r="K10" s="65">
        <f>J10/Paėmimas!G10</f>
        <v>1.0363674089827735</v>
      </c>
      <c r="L10" s="17"/>
      <c r="M10" s="55"/>
      <c r="N10" s="33"/>
    </row>
    <row r="11" spans="1:17" ht="15" customHeight="1" x14ac:dyDescent="0.3">
      <c r="A11" s="54"/>
      <c r="B11" s="21"/>
      <c r="C11" s="277"/>
      <c r="D11" s="217">
        <f>Paėmimas!L11</f>
        <v>0.03</v>
      </c>
      <c r="E11" s="63">
        <f>D11*(273/(273+Paėmimas!O11)*(Paėmimas!H11-Paėmimas!J11)/1013)</f>
        <v>2.5711684497294881E-2</v>
      </c>
      <c r="F11" s="55"/>
      <c r="G11" s="62">
        <f>((Paėmimas!Q11/100)*1.965)+((Paėmimas!P11/100)*1.429)+((1-(Paėmimas!Q11/100)-(Paėmimas!P11/100))*1.251)</f>
        <v>1.2973599999999998</v>
      </c>
      <c r="H11" s="217">
        <f>H2O!K7</f>
        <v>6.3521730209331739</v>
      </c>
      <c r="I11" s="53">
        <f>(E11/(1-(H11/1000))*((273+Paėmimas!F11)/273)*(1013/(Paėmimas!H11+Paėmimas!I11)))</f>
        <v>3.0083176437365862E-2</v>
      </c>
      <c r="J11" s="53">
        <f>(I11/(Paėmimas!M11*60)/((3.142*((Paėmimas!K11/1000)*(Paėmimas!K11/1000))/4)))</f>
        <v>4.3421909348099064</v>
      </c>
      <c r="K11" s="65">
        <f>J11/Paėmimas!G11</f>
        <v>1.0363674089827735</v>
      </c>
      <c r="L11" s="17"/>
      <c r="M11" s="55"/>
      <c r="N11" s="33"/>
    </row>
    <row r="12" spans="1:17" ht="15" customHeight="1" thickBot="1" x14ac:dyDescent="0.35">
      <c r="A12" s="54"/>
      <c r="B12" s="21"/>
      <c r="C12" s="277"/>
      <c r="D12" s="217">
        <f>Paėmimas!L12</f>
        <v>0.03</v>
      </c>
      <c r="E12" s="63">
        <f>D12*(273/(273+Paėmimas!O12)*(Paėmimas!H12-Paėmimas!J12)/1013)</f>
        <v>2.5711684497294881E-2</v>
      </c>
      <c r="F12" s="55"/>
      <c r="G12" s="62">
        <f>((Paėmimas!Q12/100)*1.965)+((Paėmimas!P12/100)*1.429)+((1-(Paėmimas!Q12/100)-(Paėmimas!P12/100))*1.251)</f>
        <v>1.2973599999999998</v>
      </c>
      <c r="H12" s="217">
        <f>H2O!K7</f>
        <v>6.3521730209331739</v>
      </c>
      <c r="I12" s="53">
        <f>(E12/(1-(H12/1000))*((273+Paėmimas!F12)/273)*(1013/(Paėmimas!H12+Paėmimas!I12)))</f>
        <v>3.0083176437365862E-2</v>
      </c>
      <c r="J12" s="53">
        <f>(I12/(Paėmimas!M12*60)/((3.142*((Paėmimas!K12/1000)*(Paėmimas!K12/1000))/4)))</f>
        <v>4.3421909348099064</v>
      </c>
      <c r="K12" s="65">
        <f>J12/Paėmimas!G12</f>
        <v>1.0363674089827735</v>
      </c>
      <c r="L12" s="17"/>
      <c r="M12" s="55"/>
      <c r="N12" s="33"/>
    </row>
    <row r="13" spans="1:17" ht="15" customHeight="1" x14ac:dyDescent="0.3">
      <c r="A13" s="54"/>
      <c r="B13" s="21"/>
      <c r="C13" s="277"/>
      <c r="D13" s="217">
        <f>Paėmimas!L13</f>
        <v>0.03</v>
      </c>
      <c r="E13" s="63">
        <f>D13*(273/(273+Paėmimas!O13)*(Paėmimas!H13-Paėmimas!J13)/1013)</f>
        <v>2.5711684497294881E-2</v>
      </c>
      <c r="F13" s="55"/>
      <c r="G13" s="62">
        <f>((Paėmimas!Q13/100)*1.965)+((Paėmimas!P13/100)*1.429)+((1-(Paėmimas!Q13/100)-(Paėmimas!P13/100))*1.251)</f>
        <v>1.2973599999999998</v>
      </c>
      <c r="H13" s="217">
        <f>H2O!K7</f>
        <v>6.3521730209331739</v>
      </c>
      <c r="I13" s="53">
        <f>(E13/(1-(H13/1000))*((273+Paėmimas!F13)/273)*(1013/(Paėmimas!H13+Paėmimas!I13)))</f>
        <v>3.0083176437365862E-2</v>
      </c>
      <c r="J13" s="53">
        <f>(I13/(Paėmimas!M13*60)/((3.142*((Paėmimas!K13/1000)*(Paėmimas!K13/1000))/4)))</f>
        <v>4.3421909348099064</v>
      </c>
      <c r="K13" s="65">
        <f>J13/Paėmimas!G13</f>
        <v>1.0363674089827735</v>
      </c>
      <c r="L13" s="17"/>
      <c r="M13" s="55"/>
      <c r="N13" s="33"/>
    </row>
    <row r="14" spans="1:17" ht="15" customHeight="1" x14ac:dyDescent="0.3">
      <c r="A14" s="54"/>
      <c r="B14" s="21"/>
      <c r="C14" s="277"/>
      <c r="D14" s="217">
        <f>Paėmimas!L14</f>
        <v>0.03</v>
      </c>
      <c r="E14" s="63">
        <f>D14*(273/(273+Paėmimas!O14)*(Paėmimas!H14-Paėmimas!J14)/1013)</f>
        <v>2.5711684497294881E-2</v>
      </c>
      <c r="F14" s="55"/>
      <c r="G14" s="62">
        <f>((Paėmimas!Q14/100)*1.965)+((Paėmimas!P14/100)*1.429)+((1-(Paėmimas!Q14/100)-(Paėmimas!P14/100))*1.251)</f>
        <v>1.2973599999999998</v>
      </c>
      <c r="H14" s="217">
        <f>H2O!K7</f>
        <v>6.3521730209331739</v>
      </c>
      <c r="I14" s="53">
        <f>(E14/(1-(H14/1000))*((273+Paėmimas!F14)/273)*(1013/(Paėmimas!H14+Paėmimas!I14)))</f>
        <v>3.0083176437365862E-2</v>
      </c>
      <c r="J14" s="53">
        <f>(I14/(Paėmimas!M14*60)/((3.142*((Paėmimas!K14/1000)*(Paėmimas!K14/1000))/4)))</f>
        <v>4.3421909348099064</v>
      </c>
      <c r="K14" s="65">
        <f>J14/Paėmimas!G14</f>
        <v>1.0363674089827735</v>
      </c>
      <c r="L14" s="17"/>
      <c r="M14" s="55"/>
      <c r="N14" s="33"/>
    </row>
    <row r="15" spans="1:17" ht="15" customHeight="1" x14ac:dyDescent="0.3">
      <c r="A15" s="54"/>
      <c r="B15" s="21"/>
      <c r="C15" s="277"/>
      <c r="D15" s="217">
        <f>Paėmimas!L15</f>
        <v>0.03</v>
      </c>
      <c r="E15" s="63">
        <f>D15*(273/(273+Paėmimas!O15)*(Paėmimas!H15-Paėmimas!J15)/1013)</f>
        <v>2.5711684497294881E-2</v>
      </c>
      <c r="F15" s="55"/>
      <c r="G15" s="62">
        <f>((Paėmimas!Q15/100)*1.965)+((Paėmimas!P15/100)*1.429)+((1-(Paėmimas!Q15/100)-(Paėmimas!P15/100))*1.251)</f>
        <v>1.2973599999999998</v>
      </c>
      <c r="H15" s="217">
        <f>H2O!K7</f>
        <v>6.3521730209331739</v>
      </c>
      <c r="I15" s="53">
        <f>(E15/(1-(H15/1000))*((273+Paėmimas!F15)/273)*(1013/(Paėmimas!H15+Paėmimas!I15)))</f>
        <v>3.0083176437365862E-2</v>
      </c>
      <c r="J15" s="53">
        <f>(I15/(Paėmimas!M15*60)/((3.142*((Paėmimas!K15/1000)*(Paėmimas!K15/1000))/4)))</f>
        <v>4.3421909348099064</v>
      </c>
      <c r="K15" s="65">
        <f>J15/Paėmimas!G15</f>
        <v>1.0363674089827735</v>
      </c>
      <c r="L15" s="17"/>
      <c r="M15" s="55"/>
      <c r="N15" s="33"/>
    </row>
    <row r="16" spans="1:17" ht="15" customHeight="1" x14ac:dyDescent="0.3">
      <c r="A16" s="54"/>
      <c r="B16" s="21"/>
      <c r="C16" s="277"/>
      <c r="D16" s="217">
        <f>Paėmimas!L16</f>
        <v>0.03</v>
      </c>
      <c r="E16" s="63">
        <f>D16*(273/(273+Paėmimas!O16)*(Paėmimas!H16-Paėmimas!J16)/1013)</f>
        <v>2.5711684497294881E-2</v>
      </c>
      <c r="F16" s="55"/>
      <c r="G16" s="62">
        <f>((Paėmimas!Q16/100)*1.965)+((Paėmimas!P16/100)*1.429)+((1-(Paėmimas!Q16/100)-(Paėmimas!P16/100))*1.251)</f>
        <v>1.2973599999999998</v>
      </c>
      <c r="H16" s="217">
        <f>H2O!K7</f>
        <v>6.3521730209331739</v>
      </c>
      <c r="I16" s="53">
        <f>(E16/(1-(H16/1000))*((273+Paėmimas!F16)/273)*(1013/(Paėmimas!H16+Paėmimas!I16)))</f>
        <v>3.0083176437365862E-2</v>
      </c>
      <c r="J16" s="53">
        <f>(I16/(Paėmimas!M16*60)/((3.142*((Paėmimas!K16/1000)*(Paėmimas!K16/1000))/4)))</f>
        <v>4.3421909348099064</v>
      </c>
      <c r="K16" s="65">
        <f>J16/Paėmimas!G16</f>
        <v>1.0363674089827735</v>
      </c>
      <c r="L16" s="17"/>
      <c r="M16" s="55"/>
      <c r="N16" s="33"/>
    </row>
    <row r="17" spans="1:14" ht="15" customHeight="1" x14ac:dyDescent="0.3">
      <c r="A17" s="54"/>
      <c r="B17" s="21"/>
      <c r="C17" s="277"/>
      <c r="D17" s="217">
        <f>Paėmimas!L17</f>
        <v>0.03</v>
      </c>
      <c r="E17" s="63">
        <f>D17*(273/(273+Paėmimas!O17)*(Paėmimas!H17-Paėmimas!J17)/1013)</f>
        <v>2.5711684497294881E-2</v>
      </c>
      <c r="F17" s="55"/>
      <c r="G17" s="62">
        <f>((Paėmimas!Q17/100)*1.965)+((Paėmimas!P17/100)*1.429)+((1-(Paėmimas!Q17/100)-(Paėmimas!P17/100))*1.251)</f>
        <v>1.2973599999999998</v>
      </c>
      <c r="H17" s="217">
        <f>H2O!K7</f>
        <v>6.3521730209331739</v>
      </c>
      <c r="I17" s="53">
        <f>(E17/(1-(H17/1000))*((273+Paėmimas!F17)/273)*(1013/(Paėmimas!H17+Paėmimas!I17)))</f>
        <v>3.0083176437365862E-2</v>
      </c>
      <c r="J17" s="53">
        <f>(I17/(Paėmimas!M17*60)/((3.142*((Paėmimas!K17/1000)*(Paėmimas!K17/1000))/4)))</f>
        <v>4.3421909348099064</v>
      </c>
      <c r="K17" s="65">
        <f>J17/Paėmimas!G17</f>
        <v>1.0363674089827735</v>
      </c>
      <c r="L17" s="17"/>
      <c r="M17" s="55"/>
      <c r="N17" s="33"/>
    </row>
    <row r="18" spans="1:14" ht="15" customHeight="1" x14ac:dyDescent="0.3">
      <c r="A18" s="54"/>
      <c r="B18" s="21"/>
      <c r="C18" s="277"/>
      <c r="D18" s="217">
        <f>Paėmimas!L18</f>
        <v>0.03</v>
      </c>
      <c r="E18" s="63">
        <f>D18*(273/(273+Paėmimas!O18)*(Paėmimas!H18-Paėmimas!J18)/1013)</f>
        <v>2.5711684497294881E-2</v>
      </c>
      <c r="F18" s="55"/>
      <c r="G18" s="62">
        <f>((Paėmimas!Q18/100)*1.965)+((Paėmimas!P18/100)*1.429)+((1-(Paėmimas!Q18/100)-(Paėmimas!P18/100))*1.251)</f>
        <v>1.2973599999999998</v>
      </c>
      <c r="H18" s="217">
        <f>H2O!K7</f>
        <v>6.3521730209331739</v>
      </c>
      <c r="I18" s="53">
        <f>(E18/(1-(H18/1000))*((273+Paėmimas!F18)/273)*(1013/(Paėmimas!H18+Paėmimas!I18)))</f>
        <v>3.0083176437365862E-2</v>
      </c>
      <c r="J18" s="53">
        <f>(I18/(Paėmimas!M18*60)/((3.142*((Paėmimas!K18/1000)*(Paėmimas!K18/1000))/4)))</f>
        <v>4.3421909348099064</v>
      </c>
      <c r="K18" s="65">
        <f>J18/Paėmimas!G18</f>
        <v>1.0363674089827735</v>
      </c>
      <c r="L18" s="17"/>
      <c r="M18" s="55"/>
      <c r="N18" s="33"/>
    </row>
    <row r="19" spans="1:14" ht="15" customHeight="1" x14ac:dyDescent="0.3">
      <c r="A19" s="54"/>
      <c r="B19" s="21"/>
      <c r="C19" s="277"/>
      <c r="D19" s="217">
        <f>Paėmimas!L19</f>
        <v>0.03</v>
      </c>
      <c r="E19" s="63">
        <f>D19*(273/(273+Paėmimas!O19)*(Paėmimas!H19-Paėmimas!J19)/1013)</f>
        <v>2.5711684497294881E-2</v>
      </c>
      <c r="F19" s="55"/>
      <c r="G19" s="62">
        <f>((Paėmimas!Q19/100)*1.965)+((Paėmimas!P19/100)*1.429)+((1-(Paėmimas!Q19/100)-(Paėmimas!P19/100))*1.251)</f>
        <v>1.2973599999999998</v>
      </c>
      <c r="H19" s="217">
        <f>H2O!K7</f>
        <v>6.3521730209331739</v>
      </c>
      <c r="I19" s="53">
        <f>(E19/(1-(H19/1000))*((273+Paėmimas!F19)/273)*(1013/(Paėmimas!H19+Paėmimas!I19)))</f>
        <v>3.0083176437365862E-2</v>
      </c>
      <c r="J19" s="53">
        <f>(I19/(Paėmimas!M19*60)/((3.142*((Paėmimas!K19/1000)*(Paėmimas!K19/1000))/4)))</f>
        <v>4.3421909348099064</v>
      </c>
      <c r="K19" s="65">
        <f>J19/Paėmimas!G19</f>
        <v>1.0363674089827735</v>
      </c>
      <c r="L19" s="17"/>
      <c r="M19" s="55"/>
      <c r="N19" s="33"/>
    </row>
    <row r="20" spans="1:14" ht="15" customHeight="1" x14ac:dyDescent="0.3">
      <c r="A20" s="54"/>
      <c r="B20" s="21"/>
      <c r="C20" s="277"/>
      <c r="D20" s="217">
        <f>Paėmimas!L20</f>
        <v>0.03</v>
      </c>
      <c r="E20" s="63">
        <f>D20*(273/(273+Paėmimas!O20)*(Paėmimas!H20-Paėmimas!J20)/1013)</f>
        <v>2.5711684497294881E-2</v>
      </c>
      <c r="F20" s="55"/>
      <c r="G20" s="62">
        <f>((Paėmimas!Q20/100)*1.965)+((Paėmimas!P20/100)*1.429)+((1-(Paėmimas!Q20/100)-(Paėmimas!P20/100))*1.251)</f>
        <v>1.2973599999999998</v>
      </c>
      <c r="H20" s="217">
        <f>H2O!K7</f>
        <v>6.3521730209331739</v>
      </c>
      <c r="I20" s="53">
        <f>(E20/(1-(H20/1000))*((273+Paėmimas!F20)/273)*(1013/(Paėmimas!H20+Paėmimas!I20)))</f>
        <v>3.0083176437365862E-2</v>
      </c>
      <c r="J20" s="53">
        <f>(I20/(Paėmimas!M20*60)/((3.142*((Paėmimas!K20/1000)*(Paėmimas!K20/1000))/4)))</f>
        <v>4.3421909348099064</v>
      </c>
      <c r="K20" s="65">
        <f>J20/Paėmimas!G20</f>
        <v>1.0363674089827735</v>
      </c>
      <c r="L20" s="17"/>
      <c r="M20" s="55"/>
      <c r="N20" s="33"/>
    </row>
    <row r="21" spans="1:14" ht="15" customHeight="1" x14ac:dyDescent="0.3">
      <c r="A21" s="54"/>
      <c r="B21" s="21"/>
      <c r="C21" s="277"/>
      <c r="D21" s="217">
        <f>Paėmimas!L21</f>
        <v>0.03</v>
      </c>
      <c r="E21" s="63">
        <f>D21*(273/(273+Paėmimas!O21)*(Paėmimas!H21-Paėmimas!J21)/1013)</f>
        <v>2.5711684497294881E-2</v>
      </c>
      <c r="F21" s="55"/>
      <c r="G21" s="62">
        <f>((Paėmimas!Q21/100)*1.965)+((Paėmimas!P21/100)*1.429)+((1-(Paėmimas!Q21/100)-(Paėmimas!P21/100))*1.251)</f>
        <v>1.2973599999999998</v>
      </c>
      <c r="H21" s="217">
        <f>H2O!K7</f>
        <v>6.3521730209331739</v>
      </c>
      <c r="I21" s="53">
        <f>(E21/(1-(H21/1000))*((273+Paėmimas!F21)/273)*(1013/(Paėmimas!H21+Paėmimas!I21)))</f>
        <v>3.0083176437365862E-2</v>
      </c>
      <c r="J21" s="53">
        <f>(I21/(Paėmimas!M21*60)/((3.142*((Paėmimas!K21/1000)*(Paėmimas!K21/1000))/4)))</f>
        <v>4.3421909348099064</v>
      </c>
      <c r="K21" s="65">
        <f>J21/Paėmimas!G21</f>
        <v>1.0363674089827735</v>
      </c>
      <c r="L21" s="17"/>
      <c r="M21" s="55"/>
      <c r="N21" s="33"/>
    </row>
    <row r="22" spans="1:14" ht="15" customHeight="1" x14ac:dyDescent="0.3">
      <c r="A22" s="56"/>
      <c r="B22" s="57"/>
      <c r="C22" s="278"/>
      <c r="D22" s="217">
        <f>Paėmimas!L22</f>
        <v>0.03</v>
      </c>
      <c r="E22" s="63">
        <f>D22*(273/(273+Paėmimas!O22)*(Paėmimas!H22-Paėmimas!J22)/1013)</f>
        <v>2.5711684497294881E-2</v>
      </c>
      <c r="F22" s="58"/>
      <c r="G22" s="62">
        <f>((Paėmimas!Q22/100)*1.965)+((Paėmimas!P22/100)*1.429)+((1-(Paėmimas!Q22/100)-(Paėmimas!P22/100))*1.251)</f>
        <v>1.2973599999999998</v>
      </c>
      <c r="H22" s="217">
        <f>H2O!K7</f>
        <v>6.3521730209331739</v>
      </c>
      <c r="I22" s="53">
        <f>(E22/(1-(H22/1000))*((273+Paėmimas!F22)/273)*(1013/(Paėmimas!H22+Paėmimas!I22)))</f>
        <v>3.0083176437365862E-2</v>
      </c>
      <c r="J22" s="53">
        <f>(I22/(Paėmimas!M22*60)/((3.142*((Paėmimas!K22/1000)*(Paėmimas!K22/1000))/4)))</f>
        <v>4.3421909348099064</v>
      </c>
      <c r="K22" s="65">
        <f>J22/Paėmimas!G22</f>
        <v>1.0363674089827735</v>
      </c>
      <c r="L22" s="59"/>
      <c r="M22" s="58"/>
      <c r="N22" s="20"/>
    </row>
    <row r="23" spans="1:14" x14ac:dyDescent="0.3">
      <c r="C23" s="67"/>
      <c r="D23" s="67"/>
      <c r="E23" s="67"/>
      <c r="F23" s="67"/>
      <c r="G23" s="65">
        <f>AVERAGE(G6:G22)</f>
        <v>1.2973599999999998</v>
      </c>
      <c r="H23" s="67"/>
      <c r="I23" s="78">
        <f>SUM(I6:I22)</f>
        <v>0.51141399943521959</v>
      </c>
      <c r="J23" s="67"/>
    </row>
    <row r="24" spans="1:14" ht="28" x14ac:dyDescent="0.3">
      <c r="C24" s="68"/>
      <c r="D24" s="68"/>
      <c r="E24" s="68"/>
      <c r="F24" s="68"/>
      <c r="G24" s="47" t="s">
        <v>27</v>
      </c>
      <c r="H24" s="68"/>
      <c r="I24" s="47" t="s">
        <v>136</v>
      </c>
      <c r="J24" s="68"/>
    </row>
    <row r="25" spans="1:14" x14ac:dyDescent="0.3">
      <c r="C25" s="68"/>
      <c r="D25" s="68"/>
      <c r="E25" s="68"/>
      <c r="F25" s="68"/>
      <c r="H25" s="68"/>
      <c r="I25" s="68"/>
      <c r="J25" s="68"/>
    </row>
    <row r="299" spans="3:4" x14ac:dyDescent="0.3">
      <c r="C299" s="24"/>
      <c r="D299" s="14" t="s">
        <v>10</v>
      </c>
    </row>
    <row r="300" spans="3:4" x14ac:dyDescent="0.3">
      <c r="C300" s="25"/>
      <c r="D300" s="14" t="s">
        <v>11</v>
      </c>
    </row>
  </sheetData>
  <sheetProtection algorithmName="SHA-512" hashValue="znlurWO2/S7L6Ofr3tZ1B+ubPlnpmXBSnLoh/qKsxBwsnOw0l47v6wJjGD6UwhXH3XbdaiwHSkWP8TS3xUPzJw==" saltValue="PNKv5R93QiSytHI4peHN6Q==" spinCount="100000" sheet="1" formatCells="0" formatColumns="0" formatRows="0"/>
  <mergeCells count="3">
    <mergeCell ref="C2:M2"/>
    <mergeCell ref="C1:D1"/>
    <mergeCell ref="C6:C22"/>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G19" sqref="G19"/>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2.1796875" style="14" customWidth="1"/>
    <col min="13" max="13" width="13.7265625" style="14" customWidth="1"/>
    <col min="14" max="14" width="17.7265625" style="14" customWidth="1"/>
    <col min="15" max="15" width="8" style="14" customWidth="1"/>
    <col min="16" max="16" width="13" style="14" customWidth="1"/>
    <col min="17" max="17" width="9.1796875" style="14"/>
    <col min="18" max="18" width="9.54296875" style="14" bestFit="1" customWidth="1"/>
    <col min="19" max="16384" width="9.1796875" style="14"/>
  </cols>
  <sheetData>
    <row r="1" spans="1:18" ht="27.75" customHeight="1" x14ac:dyDescent="0.3">
      <c r="C1" s="274" t="s">
        <v>19</v>
      </c>
      <c r="D1" s="274"/>
      <c r="R1" s="16"/>
    </row>
    <row r="2" spans="1:18" x14ac:dyDescent="0.3">
      <c r="A2" s="279" t="s">
        <v>97</v>
      </c>
      <c r="B2" s="279"/>
      <c r="C2" s="279"/>
      <c r="D2" s="279"/>
      <c r="E2" s="279"/>
      <c r="F2" s="279"/>
      <c r="G2" s="279"/>
      <c r="H2" s="279"/>
      <c r="I2" s="279"/>
      <c r="J2" s="279"/>
      <c r="K2" s="279"/>
      <c r="L2" s="279"/>
      <c r="M2" s="279"/>
      <c r="N2" s="279"/>
      <c r="O2" s="81"/>
    </row>
    <row r="3" spans="1:18" x14ac:dyDescent="0.3">
      <c r="F3" s="27"/>
      <c r="L3" s="16"/>
      <c r="M3" s="16"/>
    </row>
    <row r="4" spans="1:18" ht="12.75" customHeight="1" x14ac:dyDescent="0.3">
      <c r="L4" s="16"/>
      <c r="M4" s="16"/>
    </row>
    <row r="5" spans="1:18" ht="88.5" customHeight="1" x14ac:dyDescent="0.3">
      <c r="A5" s="89" t="s">
        <v>8</v>
      </c>
      <c r="B5" s="89" t="s">
        <v>45</v>
      </c>
      <c r="C5" s="12" t="s">
        <v>9</v>
      </c>
      <c r="D5" s="12" t="s">
        <v>7</v>
      </c>
      <c r="E5" s="112" t="s">
        <v>69</v>
      </c>
      <c r="F5" s="112" t="s">
        <v>70</v>
      </c>
      <c r="G5" s="112" t="s">
        <v>71</v>
      </c>
      <c r="H5" s="112" t="s">
        <v>72</v>
      </c>
      <c r="I5" s="112" t="s">
        <v>73</v>
      </c>
      <c r="J5" s="112" t="s">
        <v>74</v>
      </c>
      <c r="K5" s="77" t="s">
        <v>75</v>
      </c>
      <c r="L5" s="77" t="s">
        <v>76</v>
      </c>
      <c r="M5" s="113" t="s">
        <v>77</v>
      </c>
      <c r="N5" s="12" t="s">
        <v>12</v>
      </c>
      <c r="O5" s="12" t="s">
        <v>102</v>
      </c>
      <c r="P5" s="50" t="s">
        <v>6</v>
      </c>
    </row>
    <row r="6" spans="1:18" ht="22.5" customHeight="1" x14ac:dyDescent="0.3">
      <c r="A6" s="233">
        <f>Paėmimas!A6</f>
        <v>46210</v>
      </c>
      <c r="B6" s="234">
        <f>Svėrimas!A6</f>
        <v>1</v>
      </c>
      <c r="C6" s="280" t="str">
        <f>Paėmimas!C6</f>
        <v>UAB ,,Ekopartneris", L. Ivinskio g. 65, Kaunas. Katilinė. Taršos šaltinis  Nr. 001.</v>
      </c>
      <c r="D6" s="235">
        <f>Svėrimas!C6</f>
        <v>1</v>
      </c>
      <c r="E6" s="236">
        <f>Svėrimas!G6</f>
        <v>4.0517000000000003</v>
      </c>
      <c r="F6" s="237">
        <f>Svėrimas!L6</f>
        <v>4.0567000000000002</v>
      </c>
      <c r="G6" s="237">
        <f>Svėrimas!M9</f>
        <v>1.0000000000021103E-4</v>
      </c>
      <c r="H6" s="121">
        <f>Svėrimas!M11/O6</f>
        <v>9.9999999996214228E-5</v>
      </c>
      <c r="I6" s="238">
        <f>Svėrimas!M16</f>
        <v>0</v>
      </c>
      <c r="J6" s="239">
        <f>Aerodinamika!F6</f>
        <v>0.43709863645401298</v>
      </c>
      <c r="K6" s="90">
        <f>((F6-E6-G6+H6+I6)/J6)*1000</f>
        <v>11.439065654742544</v>
      </c>
      <c r="L6" s="208">
        <f>G6/Paėmimas!L23*1000</f>
        <v>0.19607843137296271</v>
      </c>
      <c r="M6" s="108">
        <f>((F6-E6)+H6)/G6</f>
        <v>50.999999999853451</v>
      </c>
      <c r="N6" s="240" t="str">
        <f>Svėrimas!N6</f>
        <v>S.Č., 2026-05-03</v>
      </c>
      <c r="O6" s="49">
        <v>1</v>
      </c>
      <c r="P6" s="241" t="str">
        <f>Paėmimas!S6</f>
        <v>1 linija, 1 filtras</v>
      </c>
    </row>
    <row r="7" spans="1:18" ht="19.5" customHeight="1" x14ac:dyDescent="0.3">
      <c r="A7" s="220"/>
      <c r="B7" s="221"/>
      <c r="C7" s="280"/>
      <c r="D7" s="224"/>
      <c r="E7" s="225"/>
      <c r="F7" s="226"/>
      <c r="G7" s="227"/>
      <c r="H7" s="227"/>
      <c r="I7" s="227"/>
      <c r="J7" s="228"/>
      <c r="K7" s="229"/>
      <c r="L7" s="230"/>
      <c r="M7" s="98"/>
      <c r="N7" s="231"/>
      <c r="O7" s="33"/>
      <c r="P7" s="19"/>
    </row>
    <row r="8" spans="1:18" ht="22.5" customHeight="1" x14ac:dyDescent="0.3">
      <c r="A8" s="222"/>
      <c r="B8" s="223"/>
      <c r="C8" s="281"/>
      <c r="D8" s="224"/>
      <c r="E8" s="225"/>
      <c r="F8" s="226"/>
      <c r="G8" s="226"/>
      <c r="H8" s="226"/>
      <c r="I8" s="226"/>
      <c r="J8" s="228"/>
      <c r="K8" s="229"/>
      <c r="L8" s="230"/>
      <c r="M8" s="99"/>
      <c r="N8" s="232"/>
      <c r="O8" s="20"/>
      <c r="P8" s="19"/>
    </row>
  </sheetData>
  <sheetProtection algorithmName="SHA-512" hashValue="14kcj2toGw8XrtILH/cT6h3IUll8M2++lPCiRhafw8Q0EO6XXCTLQF0YeWM7xv3saJnN1w9QQMwIJSNssJMrag==" saltValue="Je2eMD1uBcvglWYBl3H26w=="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V16"/>
  <sheetViews>
    <sheetView zoomScale="110" zoomScaleNormal="110" workbookViewId="0">
      <pane ySplit="5" topLeftCell="A6" activePane="bottomLeft" state="frozen"/>
      <selection pane="bottomLeft" activeCell="H20" sqref="H20"/>
    </sheetView>
  </sheetViews>
  <sheetFormatPr defaultColWidth="9.1796875" defaultRowHeight="14" x14ac:dyDescent="0.3"/>
  <cols>
    <col min="1" max="1" width="13.7265625" style="14" customWidth="1"/>
    <col min="2" max="2" width="25.1796875" style="14" customWidth="1"/>
    <col min="3" max="3" width="7.453125" style="14" customWidth="1"/>
    <col min="4" max="4" width="12.81640625" style="14" customWidth="1"/>
    <col min="5" max="5" width="11.1796875" style="14" customWidth="1"/>
    <col min="6" max="6" width="10.81640625" style="14" customWidth="1"/>
    <col min="7" max="7" width="10.453125" style="14" customWidth="1"/>
    <col min="8" max="8" width="18" style="14" customWidth="1"/>
    <col min="9" max="9" width="11.26953125" style="14" customWidth="1"/>
    <col min="10" max="10" width="10.81640625" style="14" customWidth="1"/>
    <col min="11" max="11" width="11" style="14" customWidth="1"/>
    <col min="12" max="12" width="11.1796875" style="14" customWidth="1"/>
    <col min="13" max="13" width="20.7265625" style="14" customWidth="1"/>
    <col min="14" max="14" width="16.81640625" style="14" customWidth="1"/>
    <col min="15" max="15" width="32.453125" style="14" customWidth="1"/>
    <col min="16" max="16384" width="9.1796875" style="14"/>
  </cols>
  <sheetData>
    <row r="1" spans="1:22" ht="26.25" customHeight="1" x14ac:dyDescent="0.3">
      <c r="C1" s="274" t="s">
        <v>20</v>
      </c>
      <c r="D1" s="274"/>
      <c r="E1" s="274"/>
      <c r="F1" s="274"/>
    </row>
    <row r="2" spans="1:22" ht="19.5" customHeight="1" x14ac:dyDescent="0.3">
      <c r="A2" s="279" t="s">
        <v>98</v>
      </c>
      <c r="B2" s="279"/>
      <c r="C2" s="279"/>
      <c r="D2" s="279"/>
      <c r="E2" s="279"/>
      <c r="F2" s="279"/>
      <c r="G2" s="279"/>
      <c r="H2" s="279"/>
      <c r="I2" s="279"/>
      <c r="J2" s="279"/>
      <c r="K2" s="279"/>
      <c r="L2" s="279"/>
      <c r="M2" s="279"/>
      <c r="N2" s="279"/>
      <c r="O2" s="279"/>
      <c r="V2" s="16"/>
    </row>
    <row r="4" spans="1:22" ht="60" customHeight="1" x14ac:dyDescent="0.3">
      <c r="A4" s="286" t="s">
        <v>78</v>
      </c>
      <c r="B4" s="286" t="s">
        <v>9</v>
      </c>
      <c r="C4" s="294" t="s">
        <v>79</v>
      </c>
      <c r="D4" s="294" t="s">
        <v>80</v>
      </c>
      <c r="E4" s="294" t="s">
        <v>81</v>
      </c>
      <c r="F4" s="294"/>
      <c r="G4" s="294"/>
      <c r="H4" s="294" t="s">
        <v>14</v>
      </c>
      <c r="I4" s="290" t="s">
        <v>82</v>
      </c>
      <c r="J4" s="285" t="s">
        <v>83</v>
      </c>
      <c r="K4" s="285"/>
      <c r="L4" s="285"/>
      <c r="M4" s="292" t="s">
        <v>84</v>
      </c>
      <c r="N4" s="285" t="s">
        <v>14</v>
      </c>
      <c r="O4" s="288" t="s">
        <v>6</v>
      </c>
    </row>
    <row r="5" spans="1:22" ht="16.5" customHeight="1" x14ac:dyDescent="0.3">
      <c r="A5" s="287"/>
      <c r="B5" s="287"/>
      <c r="C5" s="295"/>
      <c r="D5" s="294"/>
      <c r="E5" s="114">
        <v>1</v>
      </c>
      <c r="F5" s="114">
        <v>2</v>
      </c>
      <c r="G5" s="114">
        <v>3</v>
      </c>
      <c r="H5" s="294"/>
      <c r="I5" s="291"/>
      <c r="J5" s="12">
        <v>1</v>
      </c>
      <c r="K5" s="12">
        <v>2</v>
      </c>
      <c r="L5" s="12">
        <v>3</v>
      </c>
      <c r="M5" s="293"/>
      <c r="N5" s="285"/>
      <c r="O5" s="289"/>
    </row>
    <row r="6" spans="1:22" ht="15" customHeight="1" x14ac:dyDescent="0.3">
      <c r="A6" s="242">
        <f>Paėmimas!B6</f>
        <v>1</v>
      </c>
      <c r="B6" s="282" t="str">
        <f>Paėmimas!C6</f>
        <v>UAB ,,Ekopartneris", L. Ivinskio g. 65, Kaunas. Katilinė. Taršos šaltinis  Nr. 001.</v>
      </c>
      <c r="C6" s="135">
        <v>1</v>
      </c>
      <c r="D6" s="244">
        <f>Paėmimas!A6</f>
        <v>46210</v>
      </c>
      <c r="E6" s="195">
        <v>4.0517000000000003</v>
      </c>
      <c r="F6" s="195">
        <v>4.0517000000000003</v>
      </c>
      <c r="G6" s="195">
        <v>4.0517000000000003</v>
      </c>
      <c r="H6" s="245" t="str">
        <f>Paėmimas!R6</f>
        <v>S.Č., 2026-05-02</v>
      </c>
      <c r="I6" s="28">
        <v>46145</v>
      </c>
      <c r="J6" s="195">
        <v>4.0567000000000002</v>
      </c>
      <c r="K6" s="195">
        <v>4.0567000000000002</v>
      </c>
      <c r="L6" s="195">
        <v>4.0567000000000002</v>
      </c>
      <c r="M6" s="194">
        <f>L6-G6</f>
        <v>4.9999999999998934E-3</v>
      </c>
      <c r="N6" s="30" t="s">
        <v>101</v>
      </c>
      <c r="O6" s="246" t="str">
        <f>Paėmimas!S6</f>
        <v>1 linija, 1 filtras</v>
      </c>
    </row>
    <row r="7" spans="1:22" x14ac:dyDescent="0.3">
      <c r="A7" s="243"/>
      <c r="B7" s="283"/>
      <c r="C7" s="31"/>
      <c r="D7" s="28"/>
      <c r="E7" s="196"/>
      <c r="F7" s="196"/>
      <c r="G7" s="196"/>
      <c r="H7" s="29"/>
      <c r="I7" s="28"/>
      <c r="J7" s="196"/>
      <c r="K7" s="196"/>
      <c r="L7" s="196"/>
      <c r="M7" s="201">
        <f>L7-G7</f>
        <v>0</v>
      </c>
      <c r="N7" s="30"/>
      <c r="O7" s="32"/>
    </row>
    <row r="8" spans="1:22" x14ac:dyDescent="0.3">
      <c r="A8" s="96"/>
      <c r="B8" s="283"/>
      <c r="C8" s="31"/>
      <c r="D8" s="28"/>
      <c r="E8" s="196"/>
      <c r="F8" s="196"/>
      <c r="G8" s="196"/>
      <c r="H8" s="29"/>
      <c r="I8" s="28"/>
      <c r="J8" s="196"/>
      <c r="K8" s="196"/>
      <c r="L8" s="196"/>
      <c r="M8" s="201">
        <f>L8-G8</f>
        <v>0</v>
      </c>
      <c r="N8" s="92"/>
      <c r="O8" s="32"/>
    </row>
    <row r="9" spans="1:22" ht="17" x14ac:dyDescent="0.45">
      <c r="A9" s="96"/>
      <c r="B9" s="283"/>
      <c r="C9" s="31">
        <v>2</v>
      </c>
      <c r="D9" s="28"/>
      <c r="E9" s="196">
        <v>3.7018</v>
      </c>
      <c r="F9" s="196">
        <v>3.7018</v>
      </c>
      <c r="G9" s="196">
        <v>3.7018</v>
      </c>
      <c r="H9" s="92"/>
      <c r="I9" s="91"/>
      <c r="J9" s="196">
        <v>3.7019000000000002</v>
      </c>
      <c r="K9" s="196">
        <v>3.7019000000000002</v>
      </c>
      <c r="L9" s="196">
        <v>3.7019000000000002</v>
      </c>
      <c r="M9" s="201">
        <f>L9-G9</f>
        <v>1.0000000000021103E-4</v>
      </c>
      <c r="N9" s="92"/>
      <c r="O9" s="34" t="s">
        <v>87</v>
      </c>
      <c r="P9" s="35"/>
    </row>
    <row r="10" spans="1:22" x14ac:dyDescent="0.3">
      <c r="A10" s="96"/>
      <c r="B10" s="283"/>
      <c r="C10" s="31"/>
      <c r="D10" s="91"/>
      <c r="E10" s="196"/>
      <c r="F10" s="196"/>
      <c r="G10" s="197"/>
      <c r="H10" s="92"/>
      <c r="I10" s="91"/>
      <c r="J10" s="202"/>
      <c r="K10" s="196"/>
      <c r="L10" s="197"/>
      <c r="M10" s="201"/>
      <c r="N10" s="92"/>
      <c r="O10" s="115"/>
    </row>
    <row r="11" spans="1:22" ht="17" x14ac:dyDescent="0.45">
      <c r="A11" s="96"/>
      <c r="B11" s="283"/>
      <c r="C11" s="31">
        <v>41</v>
      </c>
      <c r="D11" s="91"/>
      <c r="E11" s="196">
        <v>56.4998</v>
      </c>
      <c r="F11" s="196">
        <v>56.4998</v>
      </c>
      <c r="G11" s="197">
        <v>56.4998</v>
      </c>
      <c r="H11" s="92"/>
      <c r="I11" s="91"/>
      <c r="J11" s="202">
        <v>56.499899999999997</v>
      </c>
      <c r="K11" s="196">
        <v>56.499899999999997</v>
      </c>
      <c r="L11" s="197">
        <v>56.499899999999997</v>
      </c>
      <c r="M11" s="201">
        <f>L11-G11</f>
        <v>9.9999999996214228E-5</v>
      </c>
      <c r="N11" s="92"/>
      <c r="O11" s="95" t="s">
        <v>88</v>
      </c>
    </row>
    <row r="12" spans="1:22" ht="33" customHeight="1" x14ac:dyDescent="0.45">
      <c r="A12" s="96"/>
      <c r="B12" s="283"/>
      <c r="C12" s="109" t="s">
        <v>41</v>
      </c>
      <c r="D12" s="91"/>
      <c r="E12" s="198">
        <v>49.838799999999999</v>
      </c>
      <c r="F12" s="198">
        <v>49.838799999999999</v>
      </c>
      <c r="G12" s="199">
        <v>49.838799999999999</v>
      </c>
      <c r="H12" s="92"/>
      <c r="I12" s="91"/>
      <c r="J12" s="203">
        <v>49.838799999999999</v>
      </c>
      <c r="K12" s="198">
        <v>49.838799999999999</v>
      </c>
      <c r="L12" s="199">
        <v>49.838799999999999</v>
      </c>
      <c r="M12" s="201">
        <f t="shared" ref="M12:M15" si="0">L12-G12</f>
        <v>0</v>
      </c>
      <c r="N12" s="92"/>
      <c r="O12" s="116" t="s">
        <v>89</v>
      </c>
    </row>
    <row r="13" spans="1:22" ht="17" x14ac:dyDescent="0.45">
      <c r="A13" s="96"/>
      <c r="B13" s="283"/>
      <c r="C13" s="110" t="s">
        <v>42</v>
      </c>
      <c r="D13" s="91"/>
      <c r="E13" s="196">
        <v>54.789299999999997</v>
      </c>
      <c r="F13" s="196">
        <v>54.789299999999997</v>
      </c>
      <c r="G13" s="196">
        <v>54.789299999999997</v>
      </c>
      <c r="H13" s="92"/>
      <c r="I13" s="91"/>
      <c r="J13" s="196">
        <v>54.789400000000001</v>
      </c>
      <c r="K13" s="196">
        <v>54.789400000000001</v>
      </c>
      <c r="L13" s="196">
        <v>54.789400000000001</v>
      </c>
      <c r="M13" s="201">
        <f t="shared" si="0"/>
        <v>1.0000000000331966E-4</v>
      </c>
      <c r="N13" s="92"/>
      <c r="O13" s="117" t="s">
        <v>90</v>
      </c>
    </row>
    <row r="14" spans="1:22" ht="17" x14ac:dyDescent="0.45">
      <c r="A14" s="96"/>
      <c r="B14" s="283"/>
      <c r="C14" s="110" t="s">
        <v>43</v>
      </c>
      <c r="D14" s="91"/>
      <c r="E14" s="196">
        <v>57.3979</v>
      </c>
      <c r="F14" s="196">
        <v>57.3979</v>
      </c>
      <c r="G14" s="196">
        <v>57.3979</v>
      </c>
      <c r="H14" s="92"/>
      <c r="I14" s="91"/>
      <c r="J14" s="196">
        <v>57.397799999999997</v>
      </c>
      <c r="K14" s="196">
        <v>57.397799999999997</v>
      </c>
      <c r="L14" s="196">
        <v>57.397799999999997</v>
      </c>
      <c r="M14" s="201">
        <f t="shared" si="0"/>
        <v>-1.0000000000331966E-4</v>
      </c>
      <c r="N14" s="92"/>
      <c r="O14" s="118" t="s">
        <v>91</v>
      </c>
    </row>
    <row r="15" spans="1:22" ht="17" x14ac:dyDescent="0.45">
      <c r="A15" s="96"/>
      <c r="B15" s="283"/>
      <c r="C15" s="111" t="s">
        <v>44</v>
      </c>
      <c r="D15" s="91"/>
      <c r="E15" s="195">
        <v>53.927900000000001</v>
      </c>
      <c r="F15" s="195">
        <v>53.927900000000001</v>
      </c>
      <c r="G15" s="200">
        <v>53.927900000000001</v>
      </c>
      <c r="H15" s="92"/>
      <c r="I15" s="91"/>
      <c r="J15" s="204">
        <v>53.927900000000001</v>
      </c>
      <c r="K15" s="195">
        <v>53.927900000000001</v>
      </c>
      <c r="L15" s="200">
        <v>53.927900000000001</v>
      </c>
      <c r="M15" s="201">
        <f t="shared" si="0"/>
        <v>0</v>
      </c>
      <c r="N15" s="92"/>
      <c r="O15" s="118" t="s">
        <v>92</v>
      </c>
    </row>
    <row r="16" spans="1:22" ht="31.5" customHeight="1" x14ac:dyDescent="0.45">
      <c r="A16" s="97"/>
      <c r="B16" s="284"/>
      <c r="C16" s="31"/>
      <c r="D16" s="93"/>
      <c r="E16" s="19"/>
      <c r="F16" s="19"/>
      <c r="G16" s="31"/>
      <c r="H16" s="94"/>
      <c r="I16" s="93"/>
      <c r="J16" s="202"/>
      <c r="K16" s="196"/>
      <c r="L16" s="197"/>
      <c r="M16" s="201">
        <f>AVERAGE(M13:M15)+M12</f>
        <v>0</v>
      </c>
      <c r="N16" s="94"/>
      <c r="O16" s="119" t="s">
        <v>93</v>
      </c>
    </row>
  </sheetData>
  <sheetProtection algorithmName="SHA-512" hashValue="E6OFOELekALtVqXHFsWyKWyHFhihadC1ysirCovWb2LwcpwW4V0yaBjnKBjDLZzWfO6bxSPcQ3TQRcE4rlQNjA==" saltValue="Zw/KfGe6fd8kaDrpjhPRr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1:F1"/>
    <mergeCell ref="A2:O2"/>
    <mergeCell ref="N4:N5"/>
    <mergeCell ref="A4:A5"/>
    <mergeCell ref="B4:B5"/>
    <mergeCell ref="O4:O5"/>
    <mergeCell ref="I4:I5"/>
    <mergeCell ref="M4:M5"/>
    <mergeCell ref="J4:L4"/>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345F-501D-4FB5-9142-C3CE0522A332}">
  <dimension ref="A3:D10"/>
  <sheetViews>
    <sheetView workbookViewId="0">
      <selection activeCell="A12" sqref="A12"/>
    </sheetView>
  </sheetViews>
  <sheetFormatPr defaultColWidth="9.1796875" defaultRowHeight="15.5" x14ac:dyDescent="0.25"/>
  <cols>
    <col min="1" max="1" width="14.7265625" style="100" customWidth="1"/>
    <col min="2" max="2" width="15.26953125" style="100" customWidth="1"/>
    <col min="3" max="3" width="13.453125" style="100" customWidth="1"/>
    <col min="4" max="4" width="21.26953125" style="100" customWidth="1"/>
    <col min="5" max="16384" width="9.1796875" style="100"/>
  </cols>
  <sheetData>
    <row r="3" spans="1:4" ht="30" customHeight="1" x14ac:dyDescent="0.25">
      <c r="A3" s="296" t="s">
        <v>37</v>
      </c>
      <c r="B3" s="296"/>
      <c r="C3" s="296"/>
      <c r="D3" s="296"/>
    </row>
    <row r="5" spans="1:4" ht="67.5" customHeight="1" x14ac:dyDescent="0.25">
      <c r="A5" s="101" t="s">
        <v>85</v>
      </c>
      <c r="B5" s="102" t="s">
        <v>38</v>
      </c>
      <c r="C5" s="102" t="s">
        <v>39</v>
      </c>
      <c r="D5" s="102" t="s">
        <v>40</v>
      </c>
    </row>
    <row r="6" spans="1:4" x14ac:dyDescent="0.25">
      <c r="A6" s="103">
        <f>(B6*C6*D6)/1000000</f>
        <v>1.944</v>
      </c>
      <c r="B6" s="104">
        <v>30</v>
      </c>
      <c r="C6" s="105">
        <v>5400</v>
      </c>
      <c r="D6" s="106">
        <v>12</v>
      </c>
    </row>
    <row r="10" spans="1:4" x14ac:dyDescent="0.25">
      <c r="C10" s="107"/>
    </row>
  </sheetData>
  <sheetProtection algorithmName="SHA-512" hashValue="Sl3YWQzIuLNDhnvKVeOF57Zijv7kABEehZ0yc0bJX23wne2FQF38GNvMoQ3By7bPBhO+yxnMNLRTWl+5s5HvVg==" saltValue="P/O8vTW2hm96HwYfd7/kXg=="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051C3312-BA73-4284-BC62-F5F884DAFC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2026-03-16T07:08:13Z</cp:lastPrinted>
  <dcterms:created xsi:type="dcterms:W3CDTF">2010-09-30T07:40:58Z</dcterms:created>
  <dcterms:modified xsi:type="dcterms:W3CDTF">2026-03-16T12:50:54Z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