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Pradiniai" sheetId="1" state="visible" r:id="rId1"/>
    <sheet name="Greitis" sheetId="2" state="visible" r:id="rId2"/>
    <sheet name="H2O" sheetId="3" state="visible" r:id="rId3"/>
    <sheet name="Paėmim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2" fontId="0" fillId="0" borderId="2" applyAlignment="1" pivotButton="0" quotePrefix="0" xfId="0">
      <alignment horizontal="center" vertical="center" wrapText="1"/>
    </xf>
    <xf numFmtId="1" fontId="0" fillId="0" borderId="2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1" fontId="0" fillId="0" borderId="2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2" fontId="0" fillId="0" borderId="6" applyAlignment="1" pivotButton="0" quotePrefix="0" xfId="0">
      <alignment horizontal="center" vertical="center" wrapText="1"/>
    </xf>
    <xf numFmtId="1" fontId="0" fillId="0" borderId="6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4" fontId="0" fillId="0" borderId="6" applyAlignment="1" pivotButton="0" quotePrefix="0" xfId="0">
      <alignment horizontal="center" vertical="center" wrapText="1"/>
    </xf>
    <xf numFmtId="165" fontId="0" fillId="0" borderId="6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D6"/>
  <sheetViews>
    <sheetView workbookViewId="0">
      <selection activeCell="D7" sqref="D7"/>
    </sheetView>
  </sheetViews>
  <sheetFormatPr baseColWidth="8" defaultRowHeight="14.5"/>
  <cols>
    <col width="25" customWidth="1" style="11" min="1" max="1"/>
    <col width="40" customWidth="1" style="11" min="2" max="2"/>
    <col width="60" customWidth="1" style="11" min="3" max="3"/>
    <col width="20" customWidth="1" style="11" min="4" max="4"/>
  </cols>
  <sheetData>
    <row r="5" ht="40" customHeight="1" s="11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  <c r="D5" s="1" t="inlineStr">
        <is>
          <t>Darbuotojo inicialai</t>
        </is>
      </c>
    </row>
    <row r="6" ht="50" customHeight="1" s="11">
      <c r="A6" s="3" t="n">
        <v>46063</v>
      </c>
      <c r="B6" s="2" t="n">
        <v>5</v>
      </c>
      <c r="C6" s="2" t="inlineStr">
        <is>
          <t>UAB "Ekopartneris", L. Ivinskio  g. 65, Kaunas. Katilinė. Taršos šaltinis Nr. 001</t>
        </is>
      </c>
      <c r="D6" s="2" t="inlineStr">
        <is>
          <t>S. 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D12"/>
  <sheetViews>
    <sheetView workbookViewId="0">
      <selection activeCell="D13" sqref="D13"/>
    </sheetView>
  </sheetViews>
  <sheetFormatPr baseColWidth="8" defaultRowHeight="14.5"/>
  <cols>
    <col width="15" customWidth="1" style="11" min="1" max="2"/>
    <col width="15" customWidth="1" style="11" min="2" max="2"/>
    <col width="18" customWidth="1" style="11" min="3" max="4"/>
    <col width="18" customWidth="1" style="11" min="4" max="4"/>
  </cols>
  <sheetData>
    <row r="5" ht="58" customHeight="1" s="11">
      <c r="A5" s="16" t="inlineStr">
        <is>
          <t>Išmatuotas diferencinis slėgis taškuose 1 linija, Pdi, hPa</t>
        </is>
      </c>
      <c r="B5" s="16" t="inlineStr">
        <is>
          <t>Išmatuotas diferencinis slėgis taškuose 2 linija, Pdi, hPa</t>
        </is>
      </c>
      <c r="C5" s="16" t="inlineStr">
        <is>
          <t>Atmosferinis slėgis P, hPa</t>
        </is>
      </c>
      <c r="D5" s="16" t="inlineStr">
        <is>
          <t>Statinis slėgis ortakyje ± ΔP, hPa</t>
        </is>
      </c>
    </row>
    <row r="6">
      <c r="A6" s="17" t="n">
        <v>0.73</v>
      </c>
      <c r="B6" s="17" t="n">
        <v>0.61</v>
      </c>
      <c r="C6" s="18" t="n">
        <v>1012</v>
      </c>
      <c r="D6" s="17" t="n">
        <v>0.35</v>
      </c>
    </row>
    <row r="7">
      <c r="A7" s="17" t="n">
        <v>0.87</v>
      </c>
      <c r="B7" s="17" t="n">
        <v>0.76</v>
      </c>
      <c r="C7" s="19" t="n"/>
      <c r="D7" s="19" t="n"/>
    </row>
    <row r="8">
      <c r="A8" s="17" t="n">
        <v>0.9399999999999999</v>
      </c>
      <c r="B8" s="17" t="n">
        <v>0.78</v>
      </c>
      <c r="C8" s="19" t="n"/>
      <c r="D8" s="19" t="n"/>
    </row>
    <row r="9">
      <c r="A9" s="17" t="n">
        <v>0.92</v>
      </c>
      <c r="B9" s="17" t="n">
        <v>0.87</v>
      </c>
      <c r="C9" s="19" t="n"/>
      <c r="D9" s="19" t="n"/>
    </row>
    <row r="10">
      <c r="A10" s="17" t="n">
        <v>0.86</v>
      </c>
      <c r="B10" s="17" t="n">
        <v>0.82</v>
      </c>
      <c r="C10" s="19" t="n"/>
      <c r="D10" s="19" t="n"/>
    </row>
    <row r="11">
      <c r="A11" s="17" t="n">
        <v>0.77</v>
      </c>
      <c r="B11" s="17" t="n">
        <v>0.8100000000000001</v>
      </c>
      <c r="C11" s="19" t="n"/>
      <c r="D11" s="19" t="n"/>
    </row>
    <row r="12">
      <c r="A12" s="17" t="n">
        <v>0.7</v>
      </c>
      <c r="B12" s="17" t="n">
        <v>0.75</v>
      </c>
      <c r="C12" s="20" t="n"/>
      <c r="D12" s="20" t="n"/>
    </row>
  </sheetData>
  <mergeCells count="2">
    <mergeCell ref="D6:D12"/>
    <mergeCell ref="C6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F6"/>
  <sheetViews>
    <sheetView workbookViewId="0">
      <selection activeCell="F7" sqref="F7"/>
    </sheetView>
  </sheetViews>
  <sheetFormatPr baseColWidth="8" defaultRowHeight="14.5"/>
  <cols>
    <col width="22" customWidth="1" style="11" min="2" max="6"/>
    <col width="22" customWidth="1" style="11" min="3" max="3"/>
    <col width="22" customWidth="1" style="11" min="4" max="4"/>
    <col width="22" customWidth="1" style="11" min="5" max="5"/>
    <col width="22" customWidth="1" style="11" min="6" max="6"/>
  </cols>
  <sheetData>
    <row r="5" ht="29" customHeight="1" s="11">
      <c r="B5" s="16" t="inlineStr">
        <is>
          <t>Ėminių ėmimo laikas t, min.</t>
        </is>
      </c>
      <c r="C5" s="16" t="inlineStr">
        <is>
          <t>Paėmimo greitis, l/min</t>
        </is>
      </c>
      <c r="D5" s="16" t="inlineStr">
        <is>
          <t>Išretėjimas, -hPa</t>
        </is>
      </c>
      <c r="E5" s="16" t="inlineStr">
        <is>
          <t>Temperatūra prie aspiratoriaus, Vtr oC</t>
        </is>
      </c>
      <c r="F5" s="16" t="inlineStr">
        <is>
          <t>Vandens kondensato masė m H2O, kg</t>
        </is>
      </c>
    </row>
    <row r="6">
      <c r="B6" s="18" t="n">
        <v>10</v>
      </c>
      <c r="C6" s="18" t="n">
        <v>10</v>
      </c>
      <c r="D6" s="21" t="n">
        <v>27.2</v>
      </c>
      <c r="E6" s="21" t="n">
        <v>12.7</v>
      </c>
      <c r="F6" s="22" t="n">
        <v>0.015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1" topLeftCell="A3" workbookViewId="0">
      <selection activeCell="D17" sqref="D17"/>
    </sheetView>
  </sheetViews>
  <sheetFormatPr baseColWidth="8" defaultRowHeight="14.5"/>
  <cols>
    <col width="18" customWidth="1" style="11" min="1" max="12"/>
    <col width="18" customWidth="1" style="11" min="2" max="2"/>
    <col width="18" customWidth="1" style="11" min="3" max="3"/>
    <col width="18" customWidth="1" style="11" min="4" max="4"/>
    <col width="18" customWidth="1" style="11" min="5" max="5"/>
    <col width="18" customWidth="1" style="11" min="6" max="6"/>
    <col width="18" customWidth="1" style="11" min="7" max="7"/>
    <col width="18" customWidth="1" style="11" min="8" max="8"/>
    <col width="18" customWidth="1" style="11" min="9" max="9"/>
    <col width="18" customWidth="1" style="11" min="10" max="10"/>
    <col width="18" customWidth="1" style="11" min="11" max="11"/>
    <col width="18" customWidth="1" style="11" min="12" max="12"/>
  </cols>
  <sheetData>
    <row r="1"/>
    <row r="2" ht="29" customHeight="1" s="11">
      <c r="A2" s="16" t="inlineStr">
        <is>
          <t>Išmatuota O2 koncentracija (%)</t>
        </is>
      </c>
      <c r="B2" s="16" t="inlineStr">
        <is>
          <t>Išmatuota CO2 koncentracija (%)</t>
        </is>
      </c>
      <c r="C2" s="16" t="inlineStr">
        <is>
          <t>Temperatūra ortakyje tor (°C)</t>
        </is>
      </c>
    </row>
    <row r="3">
      <c r="A3" s="17" t="n">
        <v>7.92</v>
      </c>
      <c r="B3" s="17" t="n">
        <v>7.41</v>
      </c>
      <c r="C3" s="21" t="n">
        <v>63.1</v>
      </c>
    </row>
    <row r="4">
      <c r="A4" s="17" t="n">
        <v>7.94</v>
      </c>
      <c r="B4" s="17" t="n">
        <v>7.4</v>
      </c>
      <c r="C4" s="21" t="n">
        <v>62.7</v>
      </c>
    </row>
    <row r="5">
      <c r="A5" s="17" t="n">
        <v>7.96</v>
      </c>
      <c r="B5" s="17" t="n">
        <v>7.39</v>
      </c>
      <c r="C5" s="21" t="n">
        <v>63.3</v>
      </c>
    </row>
    <row r="7">
      <c r="A7" s="23" t="inlineStr">
        <is>
          <t>1 filtras</t>
        </is>
      </c>
    </row>
    <row r="8">
      <c r="A8" s="24" t="inlineStr">
        <is>
          <t>1 linija</t>
        </is>
      </c>
      <c r="G8" s="24" t="inlineStr">
        <is>
          <t>2 linija</t>
        </is>
      </c>
    </row>
    <row r="9" ht="43.5" customHeight="1" s="11">
      <c r="A9" s="16" t="inlineStr">
        <is>
          <t>Slėgis prieš rotametrą ΔPr (±hPa)</t>
        </is>
      </c>
      <c r="B9" s="16" t="inlineStr">
        <is>
          <t>Antgalio diametras da (mm)</t>
        </is>
      </c>
      <c r="C9" s="16" t="inlineStr">
        <is>
          <t>Siurbimo laikas t (min)</t>
        </is>
      </c>
      <c r="D9" s="16" t="inlineStr">
        <is>
          <t>Siurbimo greitis Vo (l/min)</t>
        </is>
      </c>
      <c r="E9" s="16" t="inlineStr">
        <is>
          <t>Siurbiamų dujų temperatūra prieš rotametrą tr (°C)</t>
        </is>
      </c>
      <c r="G9" s="16" t="inlineStr">
        <is>
          <t>Slėgis prieš rotametrą ΔPr (±hPa)</t>
        </is>
      </c>
      <c r="H9" s="16" t="inlineStr">
        <is>
          <t>Antgalio diametras da (mm)</t>
        </is>
      </c>
      <c r="I9" s="16" t="inlineStr">
        <is>
          <t>Siurbimo laikas t (min)</t>
        </is>
      </c>
      <c r="J9" s="16" t="inlineStr">
        <is>
          <t>Siurbimo greitis Vo (l/min)</t>
        </is>
      </c>
      <c r="K9" s="16" t="inlineStr">
        <is>
          <t>Siurbiamų dujų temperatūra prieš rotametrą tr (°C)</t>
        </is>
      </c>
    </row>
    <row r="10">
      <c r="A10" s="21" t="n">
        <v>58.6</v>
      </c>
      <c r="B10" s="21" t="n">
        <v>5</v>
      </c>
      <c r="C10" s="18" t="n">
        <v>3</v>
      </c>
      <c r="D10" s="18" t="n">
        <v>15</v>
      </c>
      <c r="E10" s="21" t="n">
        <v>13.4</v>
      </c>
      <c r="G10" s="21" t="n">
        <v>62.6</v>
      </c>
      <c r="H10" s="21">
        <f>B10</f>
        <v/>
      </c>
      <c r="I10" s="18">
        <f>C10</f>
        <v/>
      </c>
      <c r="J10" s="18" t="n">
        <v>10</v>
      </c>
      <c r="K10" s="21" t="n">
        <v>13.7</v>
      </c>
    </row>
    <row r="11">
      <c r="A11" s="21" t="n">
        <v>72.40000000000001</v>
      </c>
      <c r="B11" s="21" t="n">
        <v>5</v>
      </c>
      <c r="C11" s="18" t="n">
        <v>3</v>
      </c>
      <c r="D11" s="18" t="n">
        <v>15</v>
      </c>
      <c r="E11" s="21" t="n">
        <v>12.9</v>
      </c>
      <c r="G11" s="21" t="n">
        <v>67.59999999999999</v>
      </c>
      <c r="H11" s="21">
        <f>B11</f>
        <v/>
      </c>
      <c r="I11" s="18">
        <f>C11</f>
        <v/>
      </c>
      <c r="J11" s="18" t="n">
        <v>11</v>
      </c>
      <c r="K11" s="21" t="n">
        <v>13.8</v>
      </c>
    </row>
    <row r="12">
      <c r="A12" s="21" t="n">
        <v>72.7</v>
      </c>
      <c r="B12" s="21" t="n">
        <v>5</v>
      </c>
      <c r="C12" s="18" t="n">
        <v>3</v>
      </c>
      <c r="D12" s="18" t="n">
        <v>15</v>
      </c>
      <c r="E12" s="21" t="n">
        <v>12.8</v>
      </c>
      <c r="G12" s="21" t="n">
        <v>67.90000000000001</v>
      </c>
      <c r="H12" s="21">
        <f>B12</f>
        <v/>
      </c>
      <c r="I12" s="18">
        <f>C12</f>
        <v/>
      </c>
      <c r="J12" s="18" t="n">
        <v>11</v>
      </c>
      <c r="K12" s="21" t="n">
        <v>13.8</v>
      </c>
    </row>
    <row r="13">
      <c r="A13" s="21" t="n">
        <v>73.90000000000001</v>
      </c>
      <c r="B13" s="21" t="n">
        <v>5</v>
      </c>
      <c r="C13" s="18" t="n">
        <v>3</v>
      </c>
      <c r="D13" s="18" t="n">
        <v>15</v>
      </c>
      <c r="E13" s="21" t="n">
        <v>12.9</v>
      </c>
      <c r="G13" s="21" t="n">
        <v>76.2</v>
      </c>
      <c r="H13" s="21">
        <f>B13</f>
        <v/>
      </c>
      <c r="I13" s="18">
        <f>C13</f>
        <v/>
      </c>
      <c r="J13" s="18" t="n">
        <v>12</v>
      </c>
      <c r="K13" s="21" t="n">
        <v>13.7</v>
      </c>
    </row>
    <row r="14">
      <c r="A14" s="21" t="n">
        <v>75.09999999999999</v>
      </c>
      <c r="B14" s="21" t="n">
        <v>5</v>
      </c>
      <c r="C14" s="18" t="n">
        <v>3</v>
      </c>
      <c r="D14" s="18" t="n">
        <v>15</v>
      </c>
      <c r="E14" s="21" t="n">
        <v>13.1</v>
      </c>
      <c r="G14" s="21" t="n">
        <v>69.8</v>
      </c>
      <c r="H14" s="21">
        <f>B14</f>
        <v/>
      </c>
      <c r="I14" s="18">
        <f>C14</f>
        <v/>
      </c>
      <c r="J14" s="18" t="n">
        <v>11</v>
      </c>
      <c r="K14" s="21" t="n">
        <v>13.7</v>
      </c>
    </row>
    <row r="15">
      <c r="A15" s="21" t="n">
        <v>67.5</v>
      </c>
      <c r="B15" s="21" t="n">
        <v>5</v>
      </c>
      <c r="C15" s="18" t="n">
        <v>3</v>
      </c>
      <c r="D15" s="18" t="n">
        <v>15</v>
      </c>
      <c r="E15" s="21" t="n">
        <v>13.2</v>
      </c>
      <c r="G15" s="21" t="n">
        <v>70.40000000000001</v>
      </c>
      <c r="H15" s="21">
        <f>B15</f>
        <v/>
      </c>
      <c r="I15" s="18">
        <f>C15</f>
        <v/>
      </c>
      <c r="J15" s="18" t="n">
        <v>11</v>
      </c>
      <c r="K15" s="21" t="n">
        <v>13.6</v>
      </c>
    </row>
    <row r="16">
      <c r="A16" s="21" t="n">
        <v>62.4</v>
      </c>
      <c r="B16" s="21" t="n">
        <v>5</v>
      </c>
      <c r="C16" s="18" t="n">
        <v>3</v>
      </c>
      <c r="D16" s="18" t="n">
        <v>15</v>
      </c>
      <c r="E16" s="21" t="n">
        <v>13.4</v>
      </c>
      <c r="G16" s="21" t="n">
        <v>70.7</v>
      </c>
      <c r="H16" s="21">
        <f>B16</f>
        <v/>
      </c>
      <c r="I16" s="18">
        <f>C16</f>
        <v/>
      </c>
      <c r="J16" s="18" t="n">
        <v>11</v>
      </c>
      <c r="K16" s="21" t="n">
        <v>13.7</v>
      </c>
    </row>
  </sheetData>
  <mergeCells count="2">
    <mergeCell ref="G8:K8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2026-03-27T11:29:10Z</dcterms:created>
  <dcterms:modified xsi:type="dcterms:W3CDTF">2026-03-31T10:53:37Z</dcterms:modified>
  <cp:lastModifiedBy>Tomas Vilkickas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0x010100BAB57CF81AE55C4698AAD22D302297F0</vt:lpwstr>
  </property>
  <property name="MediaServiceImageTags" fmtid="{D5CDD505-2E9C-101B-9397-08002B2CF9AE}" pid="3">
    <vt:lpwstr/>
  </property>
</Properties>
</file>