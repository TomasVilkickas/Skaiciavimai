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radiniai" sheetId="1" state="visible" r:id="rId1"/>
    <sheet name="Greitis" sheetId="2" state="visible" r:id="rId2"/>
    <sheet name="Paėmim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Times New Roman"/>
      <charset val="186"/>
      <family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1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4" fontId="0" fillId="0" borderId="1" applyAlignment="1" pivotButton="0" quotePrefix="0" xfId="0">
      <alignment horizontal="center" vertical="center" wrapText="1"/>
    </xf>
    <xf numFmtId="2" fontId="2" fillId="0" borderId="1" applyAlignment="1" applyProtection="1" pivotButton="0" quotePrefix="0" xfId="0">
      <alignment horizontal="center" vertical="center" wrapText="1"/>
      <protection locked="0" hidden="0"/>
    </xf>
    <xf numFmtId="164" fontId="2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1" fontId="0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2" fontId="2" fillId="0" borderId="5" applyAlignment="1" applyProtection="1" pivotButton="0" quotePrefix="0" xfId="0">
      <alignment horizontal="center" vertical="center" wrapText="1"/>
      <protection locked="0" hidden="0"/>
    </xf>
    <xf numFmtId="164" fontId="2" fillId="0" borderId="5" applyAlignment="1" applyProtection="1" pivotButton="0" quotePrefix="0" xfId="0">
      <alignment horizontal="center" vertical="center" wrapText="1"/>
      <protection locked="0" hidden="0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</cellXfs>
  <cellStyles count="1">
    <cellStyle name="Įprastas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C6"/>
  <sheetViews>
    <sheetView tabSelected="1" workbookViewId="0">
      <selection activeCell="A1" sqref="A1"/>
    </sheetView>
  </sheetViews>
  <sheetFormatPr baseColWidth="8" defaultRowHeight="14.5"/>
  <cols>
    <col width="25" customWidth="1" style="12" min="1" max="1"/>
    <col width="40" customWidth="1" style="12" min="2" max="2"/>
    <col width="60" customWidth="1" style="12" min="3" max="3"/>
  </cols>
  <sheetData>
    <row r="5" ht="40" customHeight="1" s="12">
      <c r="A5" s="1" t="inlineStr">
        <is>
          <t>Matavimo data</t>
        </is>
      </c>
      <c r="B5" s="1" t="inlineStr">
        <is>
          <t>Ėminių registracijos Nr. T-107-2026-E-</t>
        </is>
      </c>
      <c r="C5" s="1" t="inlineStr">
        <is>
          <t>Objekto pavadinimas, adresas, taršos šaltinio Nr.</t>
        </is>
      </c>
    </row>
    <row r="6" ht="50" customHeight="1" s="12">
      <c r="A6" s="13" t="n">
        <v>46063</v>
      </c>
      <c r="B6" s="2" t="n">
        <v>5</v>
      </c>
      <c r="C6" s="2" t="inlineStr">
        <is>
          <t>Ekopartneris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FE12"/>
  <sheetViews>
    <sheetView workbookViewId="0">
      <selection activeCell="B12" sqref="B12"/>
    </sheetView>
  </sheetViews>
  <sheetFormatPr baseColWidth="8" defaultRowHeight="14.5"/>
  <cols>
    <col width="15" customWidth="1" style="12" min="1" max="5"/>
    <col width="15" customWidth="1" style="12" min="2" max="2"/>
    <col width="15" customWidth="1" style="12" min="3" max="3"/>
    <col width="15" customWidth="1" style="12" min="4" max="4"/>
    <col width="15" customWidth="1" style="12" min="5" max="5"/>
    <col width="18" customWidth="1" style="12" min="6" max="7"/>
    <col width="18" customWidth="1" style="12" min="7" max="7"/>
    <col width="15" customWidth="1" style="12" min="8" max="8"/>
    <col width="15" customWidth="1" style="12" min="9" max="9"/>
    <col width="15" customWidth="1" style="12" min="10" max="10"/>
    <col width="15" customWidth="1" style="12" min="11" max="11"/>
    <col width="15" customWidth="1" style="12" min="12" max="12"/>
    <col width="15" customWidth="1" style="12" min="13" max="13"/>
    <col width="15" customWidth="1" style="12" min="14" max="14"/>
    <col width="15" customWidth="1" style="12" min="15" max="15"/>
    <col width="15" customWidth="1" style="12" min="16" max="16"/>
    <col width="15" customWidth="1" style="12" min="17" max="17"/>
    <col width="15" customWidth="1" style="12" min="18" max="18"/>
    <col width="15" customWidth="1" style="12" min="19" max="19"/>
    <col width="15" customWidth="1" style="12" min="20" max="20"/>
    <col width="15" customWidth="1" style="12" min="21" max="21"/>
    <col width="15" customWidth="1" style="12" min="22" max="22"/>
    <col width="15" customWidth="1" style="12" min="23" max="23"/>
    <col width="15" customWidth="1" style="12" min="24" max="24"/>
    <col width="15" customWidth="1" style="12" min="25" max="25"/>
    <col width="15" customWidth="1" style="12" min="26" max="26"/>
    <col width="15" customWidth="1" style="12" min="27" max="27"/>
    <col width="15" customWidth="1" style="12" min="28" max="28"/>
    <col width="15" customWidth="1" style="12" min="29" max="29"/>
    <col width="15" customWidth="1" style="12" min="30" max="30"/>
    <col width="15" customWidth="1" style="12" min="31" max="31"/>
    <col width="15" customWidth="1" style="12" min="32" max="32"/>
    <col width="15" customWidth="1" style="12" min="33" max="33"/>
    <col width="15" customWidth="1" style="12" min="34" max="34"/>
    <col width="15" customWidth="1" style="12" min="35" max="35"/>
    <col width="15" customWidth="1" style="12" min="36" max="36"/>
    <col width="15" customWidth="1" style="12" min="37" max="37"/>
    <col width="15" customWidth="1" style="12" min="38" max="38"/>
    <col width="15" customWidth="1" style="12" min="39" max="39"/>
    <col width="15" customWidth="1" style="12" min="40" max="40"/>
    <col width="15" customWidth="1" style="12" min="41" max="41"/>
    <col width="15" customWidth="1" style="12" min="42" max="42"/>
    <col width="15" customWidth="1" style="12" min="43" max="43"/>
    <col width="15" customWidth="1" style="12" min="44" max="44"/>
    <col width="15" customWidth="1" style="12" min="45" max="45"/>
    <col width="15" customWidth="1" style="12" min="46" max="46"/>
    <col width="15" customWidth="1" style="12" min="47" max="47"/>
    <col width="15" customWidth="1" style="12" min="48" max="48"/>
    <col width="15" customWidth="1" style="12" min="49" max="49"/>
    <col width="15" customWidth="1" style="12" min="50" max="50"/>
    <col width="15" customWidth="1" style="12" min="51" max="51"/>
    <col width="15" customWidth="1" style="12" min="52" max="52"/>
    <col width="15" customWidth="1" style="12" min="53" max="53"/>
    <col width="15" customWidth="1" style="12" min="54" max="54"/>
    <col width="15" customWidth="1" style="12" min="55" max="55"/>
    <col width="15" customWidth="1" style="12" min="56" max="56"/>
    <col width="15" customWidth="1" style="12" min="57" max="57"/>
    <col width="15" customWidth="1" style="12" min="58" max="58"/>
    <col width="15" customWidth="1" style="12" min="59" max="59"/>
    <col width="15" customWidth="1" style="12" min="60" max="60"/>
    <col width="15" customWidth="1" style="12" min="61" max="61"/>
    <col width="15" customWidth="1" style="12" min="62" max="62"/>
    <col width="15" customWidth="1" style="12" min="63" max="63"/>
    <col width="15" customWidth="1" style="12" min="64" max="64"/>
    <col width="15" customWidth="1" style="12" min="65" max="65"/>
    <col width="15" customWidth="1" style="12" min="66" max="66"/>
    <col width="15" customWidth="1" style="12" min="67" max="67"/>
    <col width="15" customWidth="1" style="12" min="68" max="68"/>
    <col width="15" customWidth="1" style="12" min="69" max="69"/>
    <col width="15" customWidth="1" style="12" min="70" max="70"/>
    <col width="15" customWidth="1" style="12" min="71" max="71"/>
    <col width="15" customWidth="1" style="12" min="72" max="72"/>
    <col width="15" customWidth="1" style="12" min="73" max="73"/>
    <col width="15" customWidth="1" style="12" min="74" max="74"/>
    <col width="15" customWidth="1" style="12" min="75" max="75"/>
    <col width="15" customWidth="1" style="12" min="76" max="76"/>
    <col width="15" customWidth="1" style="12" min="77" max="77"/>
    <col width="15" customWidth="1" style="12" min="78" max="78"/>
    <col width="15" customWidth="1" style="12" min="79" max="79"/>
    <col width="15" customWidth="1" style="12" min="80" max="80"/>
    <col width="15" customWidth="1" style="12" min="81" max="81"/>
    <col width="15" customWidth="1" style="12" min="82" max="82"/>
    <col width="15" customWidth="1" style="12" min="83" max="83"/>
    <col width="15" customWidth="1" style="12" min="84" max="84"/>
    <col width="15" customWidth="1" style="12" min="85" max="85"/>
    <col width="15" customWidth="1" style="12" min="86" max="86"/>
    <col width="15" customWidth="1" style="12" min="87" max="87"/>
    <col width="15" customWidth="1" style="12" min="88" max="88"/>
    <col width="15" customWidth="1" style="12" min="89" max="89"/>
    <col width="15" customWidth="1" style="12" min="90" max="90"/>
    <col width="15" customWidth="1" style="12" min="91" max="91"/>
    <col width="15" customWidth="1" style="12" min="92" max="92"/>
    <col width="15" customWidth="1" style="12" min="93" max="93"/>
    <col width="15" customWidth="1" style="12" min="94" max="94"/>
    <col width="15" customWidth="1" style="12" min="95" max="95"/>
    <col width="15" customWidth="1" style="12" min="96" max="96"/>
    <col width="15" customWidth="1" style="12" min="97" max="97"/>
    <col width="15" customWidth="1" style="12" min="98" max="98"/>
    <col width="15" customWidth="1" style="12" min="99" max="99"/>
    <col width="15" customWidth="1" style="12" min="100" max="100"/>
    <col width="15" customWidth="1" style="12" min="101" max="101"/>
    <col width="15" customWidth="1" style="12" min="102" max="102"/>
    <col width="15" customWidth="1" style="12" min="103" max="103"/>
    <col width="15" customWidth="1" style="12" min="104" max="104"/>
    <col width="15" customWidth="1" style="12" min="105" max="105"/>
    <col width="15" customWidth="1" style="12" min="106" max="106"/>
    <col width="15" customWidth="1" style="12" min="107" max="107"/>
    <col width="15" customWidth="1" style="12" min="108" max="108"/>
    <col width="15" customWidth="1" style="12" min="109" max="109"/>
    <col width="15" customWidth="1" style="12" min="110" max="110"/>
    <col width="15" customWidth="1" style="12" min="111" max="111"/>
    <col width="15" customWidth="1" style="12" min="112" max="112"/>
    <col width="15" customWidth="1" style="12" min="113" max="113"/>
    <col width="15" customWidth="1" style="12" min="114" max="114"/>
    <col width="15" customWidth="1" style="12" min="115" max="115"/>
    <col width="15" customWidth="1" style="12" min="116" max="116"/>
    <col width="15" customWidth="1" style="12" min="117" max="117"/>
    <col width="15" customWidth="1" style="12" min="118" max="118"/>
    <col width="15" customWidth="1" style="12" min="119" max="119"/>
    <col width="15" customWidth="1" style="12" min="120" max="120"/>
    <col width="15" customWidth="1" style="12" min="121" max="121"/>
    <col width="15" customWidth="1" style="12" min="122" max="122"/>
    <col width="15" customWidth="1" style="12" min="123" max="123"/>
    <col width="15" customWidth="1" style="12" min="124" max="124"/>
    <col width="15" customWidth="1" style="12" min="125" max="125"/>
    <col width="15" customWidth="1" style="12" min="126" max="126"/>
    <col width="15" customWidth="1" style="12" min="127" max="127"/>
    <col width="15" customWidth="1" style="12" min="128" max="128"/>
    <col width="15" customWidth="1" style="12" min="129" max="129"/>
    <col width="15" customWidth="1" style="12" min="130" max="130"/>
    <col width="15" customWidth="1" style="12" min="131" max="131"/>
    <col width="15" customWidth="1" style="12" min="132" max="132"/>
    <col width="15" customWidth="1" style="12" min="133" max="133"/>
    <col width="15" customWidth="1" style="12" min="134" max="134"/>
    <col width="15" customWidth="1" style="12" min="135" max="135"/>
    <col width="15" customWidth="1" style="12" min="136" max="136"/>
    <col width="15" customWidth="1" style="12" min="137" max="137"/>
    <col width="15" customWidth="1" style="12" min="138" max="138"/>
    <col width="15" customWidth="1" style="12" min="139" max="139"/>
    <col width="15" customWidth="1" style="12" min="140" max="140"/>
    <col width="15" customWidth="1" style="12" min="141" max="141"/>
    <col width="15" customWidth="1" style="12" min="142" max="142"/>
    <col width="15" customWidth="1" style="12" min="143" max="143"/>
    <col width="15" customWidth="1" style="12" min="144" max="144"/>
    <col width="15" customWidth="1" style="12" min="145" max="145"/>
    <col width="15" customWidth="1" style="12" min="146" max="146"/>
    <col width="15" customWidth="1" style="12" min="147" max="147"/>
    <col width="15" customWidth="1" style="12" min="148" max="148"/>
    <col width="15" customWidth="1" style="12" min="149" max="149"/>
    <col width="15" customWidth="1" style="12" min="150" max="150"/>
    <col width="15" customWidth="1" style="12" min="151" max="151"/>
    <col width="15" customWidth="1" style="12" min="152" max="152"/>
    <col width="15" customWidth="1" style="12" min="153" max="153"/>
    <col width="15" customWidth="1" style="12" min="154" max="154"/>
    <col width="15" customWidth="1" style="12" min="155" max="155"/>
    <col width="15" customWidth="1" style="12" min="156" max="156"/>
    <col width="15" customWidth="1" style="12" min="157" max="157"/>
    <col width="15" customWidth="1" style="12" min="158" max="158"/>
    <col width="15" customWidth="1" style="12" min="159" max="159"/>
    <col width="18" customWidth="1" style="12" min="160" max="160"/>
    <col width="18" customWidth="1" style="12" min="161" max="161"/>
  </cols>
  <sheetData>
    <row r="5" ht="58" customHeight="1" s="12">
      <c r="A5" s="16" t="inlineStr">
        <is>
          <t>Išmatuotas diferencinis slėgis taškuose 1 linija, Pdi, hPa</t>
        </is>
      </c>
      <c r="B5" s="16" t="inlineStr">
        <is>
          <t>Išmatuotas diferencinis slėgis taškuose 2 linija, Pdi, hPa</t>
        </is>
      </c>
      <c r="C5" s="16" t="inlineStr">
        <is>
          <t>Išmatuotas diferencinis slėgis taškuose 3 linija, Pdi, hPa</t>
        </is>
      </c>
      <c r="D5" s="16" t="inlineStr">
        <is>
          <t>Išmatuotas diferencinis slėgis taškuose 4 linija, Pdi, hPa</t>
        </is>
      </c>
      <c r="E5" s="16" t="inlineStr">
        <is>
          <t>Išmatuotas diferencinis slėgis taškuose 5 linija, Pdi, hPa</t>
        </is>
      </c>
      <c r="F5" s="16" t="inlineStr">
        <is>
          <t>Atmosferinis slėgis P, hPa</t>
        </is>
      </c>
      <c r="G5" s="16" t="inlineStr">
        <is>
          <t>Statinis slėgis ortakyje ± ΔP, hPa</t>
        </is>
      </c>
      <c r="H5" s="16" t="inlineStr">
        <is>
          <t>Išmatuotas diferencinis slėgis taškuose 8 linija, Pdi, hPa</t>
        </is>
      </c>
      <c r="I5" s="16" t="inlineStr">
        <is>
          <t>Išmatuotas diferencinis slėgis taškuose 9 linija, Pdi, hPa</t>
        </is>
      </c>
      <c r="J5" s="16" t="inlineStr">
        <is>
          <t>Išmatuotas diferencinis slėgis taškuose 10 linija, Pdi, hPa</t>
        </is>
      </c>
      <c r="K5" s="16" t="inlineStr">
        <is>
          <t>Išmatuotas diferencinis slėgis taškuose 11 linija, Pdi, hPa</t>
        </is>
      </c>
      <c r="L5" s="16" t="inlineStr">
        <is>
          <t>Išmatuotas diferencinis slėgis taškuose 12 linija, Pdi, hPa</t>
        </is>
      </c>
      <c r="M5" s="16" t="inlineStr">
        <is>
          <t>Išmatuotas diferencinis slėgis taškuose 13 linija, Pdi, hPa</t>
        </is>
      </c>
      <c r="N5" s="16" t="inlineStr">
        <is>
          <t>Išmatuotas diferencinis slėgis taškuose 14 linija, Pdi, hPa</t>
        </is>
      </c>
      <c r="O5" s="16" t="inlineStr">
        <is>
          <t>Išmatuotas diferencinis slėgis taškuose 15 linija, Pdi, hPa</t>
        </is>
      </c>
      <c r="P5" s="16" t="inlineStr">
        <is>
          <t>Išmatuotas diferencinis slėgis taškuose 16 linija, Pdi, hPa</t>
        </is>
      </c>
      <c r="Q5" s="16" t="inlineStr">
        <is>
          <t>Išmatuotas diferencinis slėgis taškuose 17 linija, Pdi, hPa</t>
        </is>
      </c>
      <c r="R5" s="16" t="inlineStr">
        <is>
          <t>Išmatuotas diferencinis slėgis taškuose 18 linija, Pdi, hPa</t>
        </is>
      </c>
      <c r="S5" s="16" t="inlineStr">
        <is>
          <t>Išmatuotas diferencinis slėgis taškuose 19 linija, Pdi, hPa</t>
        </is>
      </c>
      <c r="T5" s="16" t="inlineStr">
        <is>
          <t>Išmatuotas diferencinis slėgis taškuose 20 linija, Pdi, hPa</t>
        </is>
      </c>
      <c r="U5" s="16" t="inlineStr">
        <is>
          <t>Išmatuotas diferencinis slėgis taškuose 21 linija, Pdi, hPa</t>
        </is>
      </c>
      <c r="V5" s="16" t="inlineStr">
        <is>
          <t>Išmatuotas diferencinis slėgis taškuose 22 linija, Pdi, hPa</t>
        </is>
      </c>
      <c r="W5" s="16" t="inlineStr">
        <is>
          <t>Išmatuotas diferencinis slėgis taškuose 23 linija, Pdi, hPa</t>
        </is>
      </c>
      <c r="X5" s="16" t="inlineStr">
        <is>
          <t>Išmatuotas diferencinis slėgis taškuose 24 linija, Pdi, hPa</t>
        </is>
      </c>
      <c r="Y5" s="16" t="inlineStr">
        <is>
          <t>Išmatuotas diferencinis slėgis taškuose 25 linija, Pdi, hPa</t>
        </is>
      </c>
      <c r="Z5" s="16" t="inlineStr">
        <is>
          <t>Išmatuotas diferencinis slėgis taškuose 26 linija, Pdi, hPa</t>
        </is>
      </c>
      <c r="AA5" s="16" t="inlineStr">
        <is>
          <t>Išmatuotas diferencinis slėgis taškuose 27 linija, Pdi, hPa</t>
        </is>
      </c>
      <c r="AB5" s="16" t="inlineStr">
        <is>
          <t>Išmatuotas diferencinis slėgis taškuose 28 linija, Pdi, hPa</t>
        </is>
      </c>
      <c r="AC5" s="16" t="inlineStr">
        <is>
          <t>Išmatuotas diferencinis slėgis taškuose 29 linija, Pdi, hPa</t>
        </is>
      </c>
      <c r="AD5" s="16" t="inlineStr">
        <is>
          <t>Išmatuotas diferencinis slėgis taškuose 30 linija, Pdi, hPa</t>
        </is>
      </c>
      <c r="AE5" s="16" t="inlineStr">
        <is>
          <t>Išmatuotas diferencinis slėgis taškuose 31 linija, Pdi, hPa</t>
        </is>
      </c>
      <c r="AF5" s="16" t="inlineStr">
        <is>
          <t>Išmatuotas diferencinis slėgis taškuose 32 linija, Pdi, hPa</t>
        </is>
      </c>
      <c r="AG5" s="16" t="inlineStr">
        <is>
          <t>Išmatuotas diferencinis slėgis taškuose 33 linija, Pdi, hPa</t>
        </is>
      </c>
      <c r="AH5" s="16" t="inlineStr">
        <is>
          <t>Išmatuotas diferencinis slėgis taškuose 34 linija, Pdi, hPa</t>
        </is>
      </c>
      <c r="AI5" s="16" t="inlineStr">
        <is>
          <t>Išmatuotas diferencinis slėgis taškuose 35 linija, Pdi, hPa</t>
        </is>
      </c>
      <c r="AJ5" s="16" t="inlineStr">
        <is>
          <t>Išmatuotas diferencinis slėgis taškuose 36 linija, Pdi, hPa</t>
        </is>
      </c>
      <c r="AK5" s="16" t="inlineStr">
        <is>
          <t>Išmatuotas diferencinis slėgis taškuose 37 linija, Pdi, hPa</t>
        </is>
      </c>
      <c r="AL5" s="16" t="inlineStr">
        <is>
          <t>Išmatuotas diferencinis slėgis taškuose 38 linija, Pdi, hPa</t>
        </is>
      </c>
      <c r="AM5" s="16" t="inlineStr">
        <is>
          <t>Išmatuotas diferencinis slėgis taškuose 39 linija, Pdi, hPa</t>
        </is>
      </c>
      <c r="AN5" s="16" t="inlineStr">
        <is>
          <t>Išmatuotas diferencinis slėgis taškuose 40 linija, Pdi, hPa</t>
        </is>
      </c>
      <c r="AO5" s="16" t="inlineStr">
        <is>
          <t>Išmatuotas diferencinis slėgis taškuose 41 linija, Pdi, hPa</t>
        </is>
      </c>
      <c r="AP5" s="16" t="inlineStr">
        <is>
          <t>Išmatuotas diferencinis slėgis taškuose 42 linija, Pdi, hPa</t>
        </is>
      </c>
      <c r="AQ5" s="16" t="inlineStr">
        <is>
          <t>Išmatuotas diferencinis slėgis taškuose 43 linija, Pdi, hPa</t>
        </is>
      </c>
      <c r="AR5" s="16" t="inlineStr">
        <is>
          <t>Išmatuotas diferencinis slėgis taškuose 44 linija, Pdi, hPa</t>
        </is>
      </c>
      <c r="AS5" s="16" t="inlineStr">
        <is>
          <t>Išmatuotas diferencinis slėgis taškuose 45 linija, Pdi, hPa</t>
        </is>
      </c>
      <c r="AT5" s="16" t="inlineStr">
        <is>
          <t>Išmatuotas diferencinis slėgis taškuose 46 linija, Pdi, hPa</t>
        </is>
      </c>
      <c r="AU5" s="16" t="inlineStr">
        <is>
          <t>Išmatuotas diferencinis slėgis taškuose 47 linija, Pdi, hPa</t>
        </is>
      </c>
      <c r="AV5" s="16" t="inlineStr">
        <is>
          <t>Išmatuotas diferencinis slėgis taškuose 48 linija, Pdi, hPa</t>
        </is>
      </c>
      <c r="AW5" s="16" t="inlineStr">
        <is>
          <t>Išmatuotas diferencinis slėgis taškuose 49 linija, Pdi, hPa</t>
        </is>
      </c>
      <c r="AX5" s="16" t="inlineStr">
        <is>
          <t>Išmatuotas diferencinis slėgis taškuose 50 linija, Pdi, hPa</t>
        </is>
      </c>
      <c r="AY5" s="16" t="inlineStr">
        <is>
          <t>Išmatuotas diferencinis slėgis taškuose 51 linija, Pdi, hPa</t>
        </is>
      </c>
      <c r="AZ5" s="16" t="inlineStr">
        <is>
          <t>Išmatuotas diferencinis slėgis taškuose 52 linija, Pdi, hPa</t>
        </is>
      </c>
      <c r="BA5" s="16" t="inlineStr">
        <is>
          <t>Išmatuotas diferencinis slėgis taškuose 53 linija, Pdi, hPa</t>
        </is>
      </c>
      <c r="BB5" s="16" t="inlineStr">
        <is>
          <t>Išmatuotas diferencinis slėgis taškuose 54 linija, Pdi, hPa</t>
        </is>
      </c>
      <c r="BC5" s="16" t="inlineStr">
        <is>
          <t>Išmatuotas diferencinis slėgis taškuose 55 linija, Pdi, hPa</t>
        </is>
      </c>
      <c r="BD5" s="16" t="inlineStr">
        <is>
          <t>Išmatuotas diferencinis slėgis taškuose 56 linija, Pdi, hPa</t>
        </is>
      </c>
      <c r="BE5" s="16" t="inlineStr">
        <is>
          <t>Išmatuotas diferencinis slėgis taškuose 57 linija, Pdi, hPa</t>
        </is>
      </c>
      <c r="BF5" s="16" t="inlineStr">
        <is>
          <t>Išmatuotas diferencinis slėgis taškuose 58 linija, Pdi, hPa</t>
        </is>
      </c>
      <c r="BG5" s="16" t="inlineStr">
        <is>
          <t>Išmatuotas diferencinis slėgis taškuose 59 linija, Pdi, hPa</t>
        </is>
      </c>
      <c r="BH5" s="16" t="inlineStr">
        <is>
          <t>Išmatuotas diferencinis slėgis taškuose 60 linija, Pdi, hPa</t>
        </is>
      </c>
      <c r="BI5" s="16" t="inlineStr">
        <is>
          <t>Išmatuotas diferencinis slėgis taškuose 61 linija, Pdi, hPa</t>
        </is>
      </c>
      <c r="BJ5" s="16" t="inlineStr">
        <is>
          <t>Išmatuotas diferencinis slėgis taškuose 62 linija, Pdi, hPa</t>
        </is>
      </c>
      <c r="BK5" s="16" t="inlineStr">
        <is>
          <t>Išmatuotas diferencinis slėgis taškuose 63 linija, Pdi, hPa</t>
        </is>
      </c>
      <c r="BL5" s="16" t="inlineStr">
        <is>
          <t>Išmatuotas diferencinis slėgis taškuose 64 linija, Pdi, hPa</t>
        </is>
      </c>
      <c r="BM5" s="16" t="inlineStr">
        <is>
          <t>Išmatuotas diferencinis slėgis taškuose 65 linija, Pdi, hPa</t>
        </is>
      </c>
      <c r="BN5" s="16" t="inlineStr">
        <is>
          <t>Išmatuotas diferencinis slėgis taškuose 66 linija, Pdi, hPa</t>
        </is>
      </c>
      <c r="BO5" s="16" t="inlineStr">
        <is>
          <t>Išmatuotas diferencinis slėgis taškuose 67 linija, Pdi, hPa</t>
        </is>
      </c>
      <c r="BP5" s="16" t="inlineStr">
        <is>
          <t>Išmatuotas diferencinis slėgis taškuose 68 linija, Pdi, hPa</t>
        </is>
      </c>
      <c r="BQ5" s="16" t="inlineStr">
        <is>
          <t>Išmatuotas diferencinis slėgis taškuose 69 linija, Pdi, hPa</t>
        </is>
      </c>
      <c r="BR5" s="16" t="inlineStr">
        <is>
          <t>Išmatuotas diferencinis slėgis taškuose 70 linija, Pdi, hPa</t>
        </is>
      </c>
      <c r="BS5" s="16" t="inlineStr">
        <is>
          <t>Išmatuotas diferencinis slėgis taškuose 71 linija, Pdi, hPa</t>
        </is>
      </c>
      <c r="BT5" s="16" t="inlineStr">
        <is>
          <t>Išmatuotas diferencinis slėgis taškuose 72 linija, Pdi, hPa</t>
        </is>
      </c>
      <c r="BU5" s="16" t="inlineStr">
        <is>
          <t>Išmatuotas diferencinis slėgis taškuose 73 linija, Pdi, hPa</t>
        </is>
      </c>
      <c r="BV5" s="16" t="inlineStr">
        <is>
          <t>Išmatuotas diferencinis slėgis taškuose 74 linija, Pdi, hPa</t>
        </is>
      </c>
      <c r="BW5" s="16" t="inlineStr">
        <is>
          <t>Išmatuotas diferencinis slėgis taškuose 75 linija, Pdi, hPa</t>
        </is>
      </c>
      <c r="BX5" s="16" t="inlineStr">
        <is>
          <t>Išmatuotas diferencinis slėgis taškuose 76 linija, Pdi, hPa</t>
        </is>
      </c>
      <c r="BY5" s="16" t="inlineStr">
        <is>
          <t>Išmatuotas diferencinis slėgis taškuose 77 linija, Pdi, hPa</t>
        </is>
      </c>
      <c r="BZ5" s="16" t="inlineStr">
        <is>
          <t>Išmatuotas diferencinis slėgis taškuose 78 linija, Pdi, hPa</t>
        </is>
      </c>
      <c r="CA5" s="16" t="inlineStr">
        <is>
          <t>Išmatuotas diferencinis slėgis taškuose 79 linija, Pdi, hPa</t>
        </is>
      </c>
      <c r="CB5" s="16" t="inlineStr">
        <is>
          <t>Išmatuotas diferencinis slėgis taškuose 80 linija, Pdi, hPa</t>
        </is>
      </c>
      <c r="CC5" s="16" t="inlineStr">
        <is>
          <t>Išmatuotas diferencinis slėgis taškuose 81 linija, Pdi, hPa</t>
        </is>
      </c>
      <c r="CD5" s="16" t="inlineStr">
        <is>
          <t>Išmatuotas diferencinis slėgis taškuose 82 linija, Pdi, hPa</t>
        </is>
      </c>
      <c r="CE5" s="16" t="inlineStr">
        <is>
          <t>Išmatuotas diferencinis slėgis taškuose 83 linija, Pdi, hPa</t>
        </is>
      </c>
      <c r="CF5" s="16" t="inlineStr">
        <is>
          <t>Išmatuotas diferencinis slėgis taškuose 84 linija, Pdi, hPa</t>
        </is>
      </c>
      <c r="CG5" s="16" t="inlineStr">
        <is>
          <t>Išmatuotas diferencinis slėgis taškuose 85 linija, Pdi, hPa</t>
        </is>
      </c>
      <c r="CH5" s="16" t="inlineStr">
        <is>
          <t>Išmatuotas diferencinis slėgis taškuose 86 linija, Pdi, hPa</t>
        </is>
      </c>
      <c r="CI5" s="16" t="inlineStr">
        <is>
          <t>Išmatuotas diferencinis slėgis taškuose 87 linija, Pdi, hPa</t>
        </is>
      </c>
      <c r="CJ5" s="16" t="inlineStr">
        <is>
          <t>Išmatuotas diferencinis slėgis taškuose 88 linija, Pdi, hPa</t>
        </is>
      </c>
      <c r="CK5" s="16" t="inlineStr">
        <is>
          <t>Išmatuotas diferencinis slėgis taškuose 89 linija, Pdi, hPa</t>
        </is>
      </c>
      <c r="CL5" s="16" t="inlineStr">
        <is>
          <t>Išmatuotas diferencinis slėgis taškuose 90 linija, Pdi, hPa</t>
        </is>
      </c>
      <c r="CM5" s="16" t="inlineStr">
        <is>
          <t>Išmatuotas diferencinis slėgis taškuose 91 linija, Pdi, hPa</t>
        </is>
      </c>
      <c r="CN5" s="16" t="inlineStr">
        <is>
          <t>Išmatuotas diferencinis slėgis taškuose 92 linija, Pdi, hPa</t>
        </is>
      </c>
      <c r="CO5" s="16" t="inlineStr">
        <is>
          <t>Išmatuotas diferencinis slėgis taškuose 93 linija, Pdi, hPa</t>
        </is>
      </c>
      <c r="CP5" s="16" t="inlineStr">
        <is>
          <t>Išmatuotas diferencinis slėgis taškuose 94 linija, Pdi, hPa</t>
        </is>
      </c>
      <c r="CQ5" s="16" t="inlineStr">
        <is>
          <t>Išmatuotas diferencinis slėgis taškuose 95 linija, Pdi, hPa</t>
        </is>
      </c>
      <c r="CR5" s="16" t="inlineStr">
        <is>
          <t>Išmatuotas diferencinis slėgis taškuose 96 linija, Pdi, hPa</t>
        </is>
      </c>
      <c r="CS5" s="16" t="inlineStr">
        <is>
          <t>Išmatuotas diferencinis slėgis taškuose 97 linija, Pdi, hPa</t>
        </is>
      </c>
      <c r="CT5" s="16" t="inlineStr">
        <is>
          <t>Išmatuotas diferencinis slėgis taškuose 98 linija, Pdi, hPa</t>
        </is>
      </c>
      <c r="CU5" s="16" t="inlineStr">
        <is>
          <t>Išmatuotas diferencinis slėgis taškuose 99 linija, Pdi, hPa</t>
        </is>
      </c>
      <c r="CV5" s="16" t="inlineStr">
        <is>
          <t>Išmatuotas diferencinis slėgis taškuose 100 linija, Pdi, hPa</t>
        </is>
      </c>
      <c r="CW5" s="16" t="inlineStr">
        <is>
          <t>Išmatuotas diferencinis slėgis taškuose 101 linija, Pdi, hPa</t>
        </is>
      </c>
      <c r="CX5" s="16" t="inlineStr">
        <is>
          <t>Išmatuotas diferencinis slėgis taškuose 102 linija, Pdi, hPa</t>
        </is>
      </c>
      <c r="CY5" s="16" t="inlineStr">
        <is>
          <t>Išmatuotas diferencinis slėgis taškuose 103 linija, Pdi, hPa</t>
        </is>
      </c>
      <c r="CZ5" s="16" t="inlineStr">
        <is>
          <t>Išmatuotas diferencinis slėgis taškuose 104 linija, Pdi, hPa</t>
        </is>
      </c>
      <c r="DA5" s="16" t="inlineStr">
        <is>
          <t>Išmatuotas diferencinis slėgis taškuose 105 linija, Pdi, hPa</t>
        </is>
      </c>
      <c r="DB5" s="16" t="inlineStr">
        <is>
          <t>Išmatuotas diferencinis slėgis taškuose 106 linija, Pdi, hPa</t>
        </is>
      </c>
      <c r="DC5" s="16" t="inlineStr">
        <is>
          <t>Išmatuotas diferencinis slėgis taškuose 107 linija, Pdi, hPa</t>
        </is>
      </c>
      <c r="DD5" s="16" t="inlineStr">
        <is>
          <t>Išmatuotas diferencinis slėgis taškuose 108 linija, Pdi, hPa</t>
        </is>
      </c>
      <c r="DE5" s="16" t="inlineStr">
        <is>
          <t>Išmatuotas diferencinis slėgis taškuose 109 linija, Pdi, hPa</t>
        </is>
      </c>
      <c r="DF5" s="16" t="inlineStr">
        <is>
          <t>Išmatuotas diferencinis slėgis taškuose 110 linija, Pdi, hPa</t>
        </is>
      </c>
      <c r="DG5" s="16" t="inlineStr">
        <is>
          <t>Išmatuotas diferencinis slėgis taškuose 111 linija, Pdi, hPa</t>
        </is>
      </c>
      <c r="DH5" s="16" t="inlineStr">
        <is>
          <t>Išmatuotas diferencinis slėgis taškuose 112 linija, Pdi, hPa</t>
        </is>
      </c>
      <c r="DI5" s="16" t="inlineStr">
        <is>
          <t>Išmatuotas diferencinis slėgis taškuose 113 linija, Pdi, hPa</t>
        </is>
      </c>
      <c r="DJ5" s="16" t="inlineStr">
        <is>
          <t>Išmatuotas diferencinis slėgis taškuose 114 linija, Pdi, hPa</t>
        </is>
      </c>
      <c r="DK5" s="16" t="inlineStr">
        <is>
          <t>Išmatuotas diferencinis slėgis taškuose 115 linija, Pdi, hPa</t>
        </is>
      </c>
      <c r="DL5" s="16" t="inlineStr">
        <is>
          <t>Išmatuotas diferencinis slėgis taškuose 116 linija, Pdi, hPa</t>
        </is>
      </c>
      <c r="DM5" s="16" t="inlineStr">
        <is>
          <t>Išmatuotas diferencinis slėgis taškuose 117 linija, Pdi, hPa</t>
        </is>
      </c>
      <c r="DN5" s="16" t="inlineStr">
        <is>
          <t>Išmatuotas diferencinis slėgis taškuose 118 linija, Pdi, hPa</t>
        </is>
      </c>
      <c r="DO5" s="16" t="inlineStr">
        <is>
          <t>Išmatuotas diferencinis slėgis taškuose 119 linija, Pdi, hPa</t>
        </is>
      </c>
      <c r="DP5" s="16" t="inlineStr">
        <is>
          <t>Išmatuotas diferencinis slėgis taškuose 120 linija, Pdi, hPa</t>
        </is>
      </c>
      <c r="DQ5" s="16" t="inlineStr">
        <is>
          <t>Išmatuotas diferencinis slėgis taškuose 121 linija, Pdi, hPa</t>
        </is>
      </c>
      <c r="DR5" s="16" t="inlineStr">
        <is>
          <t>Išmatuotas diferencinis slėgis taškuose 122 linija, Pdi, hPa</t>
        </is>
      </c>
      <c r="DS5" s="16" t="inlineStr">
        <is>
          <t>Išmatuotas diferencinis slėgis taškuose 123 linija, Pdi, hPa</t>
        </is>
      </c>
      <c r="DT5" s="16" t="inlineStr">
        <is>
          <t>Išmatuotas diferencinis slėgis taškuose 124 linija, Pdi, hPa</t>
        </is>
      </c>
      <c r="DU5" s="16" t="inlineStr">
        <is>
          <t>Išmatuotas diferencinis slėgis taškuose 125 linija, Pdi, hPa</t>
        </is>
      </c>
      <c r="DV5" s="16" t="inlineStr">
        <is>
          <t>Išmatuotas diferencinis slėgis taškuose 126 linija, Pdi, hPa</t>
        </is>
      </c>
      <c r="DW5" s="16" t="inlineStr">
        <is>
          <t>Išmatuotas diferencinis slėgis taškuose 127 linija, Pdi, hPa</t>
        </is>
      </c>
      <c r="DX5" s="16" t="inlineStr">
        <is>
          <t>Išmatuotas diferencinis slėgis taškuose 128 linija, Pdi, hPa</t>
        </is>
      </c>
      <c r="DY5" s="16" t="inlineStr">
        <is>
          <t>Išmatuotas diferencinis slėgis taškuose 129 linija, Pdi, hPa</t>
        </is>
      </c>
      <c r="DZ5" s="16" t="inlineStr">
        <is>
          <t>Išmatuotas diferencinis slėgis taškuose 130 linija, Pdi, hPa</t>
        </is>
      </c>
      <c r="EA5" s="16" t="inlineStr">
        <is>
          <t>Išmatuotas diferencinis slėgis taškuose 131 linija, Pdi, hPa</t>
        </is>
      </c>
      <c r="EB5" s="16" t="inlineStr">
        <is>
          <t>Išmatuotas diferencinis slėgis taškuose 132 linija, Pdi, hPa</t>
        </is>
      </c>
      <c r="EC5" s="16" t="inlineStr">
        <is>
          <t>Išmatuotas diferencinis slėgis taškuose 133 linija, Pdi, hPa</t>
        </is>
      </c>
      <c r="ED5" s="16" t="inlineStr">
        <is>
          <t>Išmatuotas diferencinis slėgis taškuose 134 linija, Pdi, hPa</t>
        </is>
      </c>
      <c r="EE5" s="16" t="inlineStr">
        <is>
          <t>Išmatuotas diferencinis slėgis taškuose 135 linija, Pdi, hPa</t>
        </is>
      </c>
      <c r="EF5" s="16" t="inlineStr">
        <is>
          <t>Išmatuotas diferencinis slėgis taškuose 136 linija, Pdi, hPa</t>
        </is>
      </c>
      <c r="EG5" s="16" t="inlineStr">
        <is>
          <t>Išmatuotas diferencinis slėgis taškuose 137 linija, Pdi, hPa</t>
        </is>
      </c>
      <c r="EH5" s="16" t="inlineStr">
        <is>
          <t>Išmatuotas diferencinis slėgis taškuose 138 linija, Pdi, hPa</t>
        </is>
      </c>
      <c r="EI5" s="16" t="inlineStr">
        <is>
          <t>Išmatuotas diferencinis slėgis taškuose 139 linija, Pdi, hPa</t>
        </is>
      </c>
      <c r="EJ5" s="16" t="inlineStr">
        <is>
          <t>Išmatuotas diferencinis slėgis taškuose 140 linija, Pdi, hPa</t>
        </is>
      </c>
      <c r="EK5" s="16" t="inlineStr">
        <is>
          <t>Išmatuotas diferencinis slėgis taškuose 141 linija, Pdi, hPa</t>
        </is>
      </c>
      <c r="EL5" s="16" t="inlineStr">
        <is>
          <t>Išmatuotas diferencinis slėgis taškuose 142 linija, Pdi, hPa</t>
        </is>
      </c>
      <c r="EM5" s="16" t="inlineStr">
        <is>
          <t>Išmatuotas diferencinis slėgis taškuose 143 linija, Pdi, hPa</t>
        </is>
      </c>
      <c r="EN5" s="16" t="inlineStr">
        <is>
          <t>Išmatuotas diferencinis slėgis taškuose 144 linija, Pdi, hPa</t>
        </is>
      </c>
      <c r="EO5" s="16" t="inlineStr">
        <is>
          <t>Išmatuotas diferencinis slėgis taškuose 145 linija, Pdi, hPa</t>
        </is>
      </c>
      <c r="EP5" s="16" t="inlineStr">
        <is>
          <t>Išmatuotas diferencinis slėgis taškuose 146 linija, Pdi, hPa</t>
        </is>
      </c>
      <c r="EQ5" s="16" t="inlineStr">
        <is>
          <t>Išmatuotas diferencinis slėgis taškuose 147 linija, Pdi, hPa</t>
        </is>
      </c>
      <c r="ER5" s="16" t="inlineStr">
        <is>
          <t>Išmatuotas diferencinis slėgis taškuose 148 linija, Pdi, hPa</t>
        </is>
      </c>
      <c r="ES5" s="16" t="inlineStr">
        <is>
          <t>Išmatuotas diferencinis slėgis taškuose 149 linija, Pdi, hPa</t>
        </is>
      </c>
      <c r="ET5" s="16" t="inlineStr">
        <is>
          <t>Išmatuotas diferencinis slėgis taškuose 150 linija, Pdi, hPa</t>
        </is>
      </c>
      <c r="EU5" s="16" t="inlineStr">
        <is>
          <t>Išmatuotas diferencinis slėgis taškuose 151 linija, Pdi, hPa</t>
        </is>
      </c>
      <c r="EV5" s="16" t="inlineStr">
        <is>
          <t>Išmatuotas diferencinis slėgis taškuose 152 linija, Pdi, hPa</t>
        </is>
      </c>
      <c r="EW5" s="16" t="inlineStr">
        <is>
          <t>Išmatuotas diferencinis slėgis taškuose 153 linija, Pdi, hPa</t>
        </is>
      </c>
      <c r="EX5" s="16" t="inlineStr">
        <is>
          <t>Išmatuotas diferencinis slėgis taškuose 154 linija, Pdi, hPa</t>
        </is>
      </c>
      <c r="EY5" s="16" t="inlineStr">
        <is>
          <t>Išmatuotas diferencinis slėgis taškuose 155 linija, Pdi, hPa</t>
        </is>
      </c>
      <c r="EZ5" s="16" t="inlineStr">
        <is>
          <t>Išmatuotas diferencinis slėgis taškuose 156 linija, Pdi, hPa</t>
        </is>
      </c>
      <c r="FA5" s="16" t="inlineStr">
        <is>
          <t>Išmatuotas diferencinis slėgis taškuose 157 linija, Pdi, hPa</t>
        </is>
      </c>
      <c r="FB5" s="16" t="inlineStr">
        <is>
          <t>Išmatuotas diferencinis slėgis taškuose 158 linija, Pdi, hPa</t>
        </is>
      </c>
      <c r="FC5" s="16" t="inlineStr">
        <is>
          <t>Išmatuotas diferencinis slėgis taškuose 159 linija, Pdi, hPa</t>
        </is>
      </c>
      <c r="FD5" s="16" t="inlineStr">
        <is>
          <t>Atmosferinis slėgis P, hPa</t>
        </is>
      </c>
      <c r="FE5" s="16" t="inlineStr">
        <is>
          <t>Statinis slėgis ortakyje ± ΔP, hPa</t>
        </is>
      </c>
    </row>
    <row r="6">
      <c r="A6" s="17" t="n">
        <v>1</v>
      </c>
      <c r="B6" s="17" t="n">
        <v>2</v>
      </c>
      <c r="C6" s="17" t="n">
        <v>3</v>
      </c>
      <c r="D6" s="17" t="n">
        <v>4</v>
      </c>
      <c r="E6" s="17" t="n">
        <v>5</v>
      </c>
      <c r="F6" s="18" t="n">
        <v>1012</v>
      </c>
      <c r="G6" s="17" t="n">
        <v>-0.25</v>
      </c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  <c r="EP6" s="17" t="n"/>
      <c r="EQ6" s="17" t="n"/>
      <c r="ER6" s="17" t="n"/>
      <c r="ES6" s="17" t="n"/>
      <c r="ET6" s="17" t="n"/>
      <c r="EU6" s="17" t="n"/>
      <c r="EV6" s="17" t="n"/>
      <c r="EW6" s="17" t="n"/>
      <c r="EX6" s="17" t="n"/>
      <c r="EY6" s="17" t="n"/>
      <c r="EZ6" s="17" t="n"/>
      <c r="FA6" s="17" t="n"/>
      <c r="FB6" s="17" t="n"/>
      <c r="FC6" s="17" t="n"/>
      <c r="FD6" s="18" t="n"/>
      <c r="FE6" s="17" t="n"/>
    </row>
    <row r="7">
      <c r="A7" s="17" t="n">
        <v>1</v>
      </c>
      <c r="B7" s="17" t="n">
        <v>2</v>
      </c>
      <c r="C7" s="17" t="n">
        <v>3</v>
      </c>
      <c r="D7" s="17" t="n">
        <v>4</v>
      </c>
      <c r="E7" s="17" t="n">
        <v>5</v>
      </c>
      <c r="F7" s="19" t="n"/>
      <c r="G7" s="19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9" t="n"/>
      <c r="FE7" s="19" t="n"/>
    </row>
    <row r="8">
      <c r="A8" s="17" t="n">
        <v>1</v>
      </c>
      <c r="B8" s="17" t="n">
        <v>2</v>
      </c>
      <c r="C8" s="17" t="n">
        <v>3</v>
      </c>
      <c r="D8" s="17" t="n">
        <v>4</v>
      </c>
      <c r="E8" s="17" t="n">
        <v>5</v>
      </c>
      <c r="F8" s="19" t="n"/>
      <c r="G8" s="19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7" t="n"/>
      <c r="EY8" s="17" t="n"/>
      <c r="EZ8" s="17" t="n"/>
      <c r="FA8" s="17" t="n"/>
      <c r="FB8" s="17" t="n"/>
      <c r="FC8" s="17" t="n"/>
      <c r="FD8" s="19" t="n"/>
      <c r="FE8" s="19" t="n"/>
    </row>
    <row r="9">
      <c r="A9" s="17" t="n">
        <v>1</v>
      </c>
      <c r="B9" s="17" t="n">
        <v>2</v>
      </c>
      <c r="C9" s="17" t="n">
        <v>3</v>
      </c>
      <c r="D9" s="17" t="n">
        <v>4</v>
      </c>
      <c r="E9" s="17" t="n">
        <v>5</v>
      </c>
      <c r="F9" s="20" t="n"/>
      <c r="G9" s="20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9" t="n"/>
      <c r="FE9" s="19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7" t="n"/>
      <c r="EY10" s="17" t="n"/>
      <c r="EZ10" s="17" t="n"/>
      <c r="FA10" s="17" t="n"/>
      <c r="FB10" s="17" t="n"/>
      <c r="FC10" s="17" t="n"/>
      <c r="FD10" s="19" t="n"/>
      <c r="FE10" s="19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9" t="n"/>
      <c r="FE11" s="19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7" t="n"/>
      <c r="EY12" s="17" t="n"/>
      <c r="EZ12" s="17" t="n"/>
      <c r="FA12" s="17" t="n"/>
      <c r="FB12" s="17" t="n"/>
      <c r="FC12" s="17" t="n"/>
      <c r="FD12" s="20" t="n"/>
      <c r="FE12" s="20" t="n"/>
    </row>
  </sheetData>
  <mergeCells count="4">
    <mergeCell ref="FD6:FD12"/>
    <mergeCell ref="F6:F9"/>
    <mergeCell ref="FE6:FE12"/>
    <mergeCell ref="G6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4.5"/>
  <cols>
    <col width="18" customWidth="1" style="12" min="1" max="30"/>
    <col width="18" customWidth="1" style="12" min="2" max="2"/>
    <col width="18" customWidth="1" style="12" min="3" max="3"/>
    <col width="18" customWidth="1" style="12" min="4" max="4"/>
    <col width="18" customWidth="1" style="12" min="5" max="5"/>
    <col width="18" customWidth="1" style="12" min="6" max="6"/>
    <col width="18" customWidth="1" style="12" min="7" max="7"/>
    <col width="18" customWidth="1" style="12" min="8" max="8"/>
    <col width="18" customWidth="1" style="12" min="9" max="9"/>
    <col width="18" customWidth="1" style="12" min="10" max="10"/>
    <col width="18" customWidth="1" style="12" min="11" max="11"/>
    <col width="18" customWidth="1" style="12" min="12" max="12"/>
    <col width="18" customWidth="1" style="12" min="13" max="13"/>
    <col width="18" customWidth="1" style="12" min="14" max="14"/>
    <col width="18" customWidth="1" style="12" min="15" max="15"/>
    <col width="18" customWidth="1" style="12" min="16" max="16"/>
    <col width="18" customWidth="1" style="12" min="17" max="17"/>
    <col width="18" customWidth="1" style="12" min="18" max="18"/>
    <col width="18" customWidth="1" style="12" min="19" max="19"/>
    <col width="18" customWidth="1" style="12" min="20" max="20"/>
    <col width="18" customWidth="1" style="12" min="21" max="21"/>
    <col width="18" customWidth="1" style="12" min="22" max="22"/>
    <col width="18" customWidth="1" style="12" min="23" max="23"/>
    <col width="18" customWidth="1" style="12" min="24" max="24"/>
    <col width="18" customWidth="1" style="12" min="25" max="25"/>
    <col width="18" customWidth="1" style="12" min="26" max="26"/>
    <col width="18" customWidth="1" style="12" min="27" max="27"/>
    <col width="18" customWidth="1" style="12" min="28" max="28"/>
    <col width="18" customWidth="1" style="12" min="29" max="29"/>
    <col width="18" customWidth="1" style="12" min="30" max="30"/>
  </cols>
  <sheetData>
    <row r="1"/>
    <row r="2" ht="29" customHeight="1" s="12">
      <c r="A2" s="16" t="inlineStr">
        <is>
          <t>Išmatuota O2 koncentracija (%)</t>
        </is>
      </c>
      <c r="B2" s="16" t="inlineStr">
        <is>
          <t>Išmatuota CO2 koncentracija (%)</t>
        </is>
      </c>
      <c r="C2" s="16" t="inlineStr">
        <is>
          <t>Temperatūra ortakyje tor (°C)</t>
        </is>
      </c>
    </row>
    <row r="3">
      <c r="A3" s="21" t="n">
        <v>10.02</v>
      </c>
      <c r="B3" s="21" t="n">
        <v>4.1</v>
      </c>
      <c r="C3" s="22" t="n">
        <v>40.2</v>
      </c>
    </row>
    <row r="4">
      <c r="A4" s="21" t="n">
        <v>9.98</v>
      </c>
      <c r="B4" s="21" t="n">
        <v>3.9</v>
      </c>
      <c r="C4" s="22" t="n">
        <v>39.8</v>
      </c>
    </row>
    <row r="5">
      <c r="A5" s="21" t="n">
        <v>10</v>
      </c>
      <c r="B5" s="21" t="n">
        <v>4</v>
      </c>
      <c r="C5" s="22" t="n">
        <v>40</v>
      </c>
    </row>
    <row r="7">
      <c r="A7" s="23" t="inlineStr">
        <is>
          <t>1 filtras</t>
        </is>
      </c>
    </row>
    <row r="8">
      <c r="A8" s="24" t="inlineStr">
        <is>
          <t>1 linija</t>
        </is>
      </c>
      <c r="G8" s="24" t="inlineStr">
        <is>
          <t>2 linija</t>
        </is>
      </c>
      <c r="M8" s="24" t="inlineStr">
        <is>
          <t>3 linija</t>
        </is>
      </c>
      <c r="S8" s="24" t="inlineStr">
        <is>
          <t>4 linija</t>
        </is>
      </c>
      <c r="Y8" s="24" t="inlineStr">
        <is>
          <t>5 linija</t>
        </is>
      </c>
    </row>
    <row r="9" ht="43.5" customHeight="1" s="12">
      <c r="A9" s="25" t="inlineStr">
        <is>
          <t>Slėgis prieš rotametrą ΔPr (±hPa)</t>
        </is>
      </c>
      <c r="B9" s="25" t="inlineStr">
        <is>
          <t>Antgalio diametras da (mm)</t>
        </is>
      </c>
      <c r="C9" s="25" t="inlineStr">
        <is>
          <t>Siurbimo laikas t (min)</t>
        </is>
      </c>
      <c r="D9" s="25" t="inlineStr">
        <is>
          <t>Siurbimo greitis Vo (l/min)</t>
        </is>
      </c>
      <c r="E9" s="25" t="inlineStr">
        <is>
          <t>Siurbiamų dujų temperatūra prieš rotametrą tr (°C)</t>
        </is>
      </c>
      <c r="G9" s="25" t="inlineStr">
        <is>
          <t>Slėgis prieš rotametrą ΔPr (±hPa)</t>
        </is>
      </c>
      <c r="H9" s="25" t="inlineStr">
        <is>
          <t>Antgalio diametras da (mm)</t>
        </is>
      </c>
      <c r="I9" s="25" t="inlineStr">
        <is>
          <t>Siurbimo laikas t (min)</t>
        </is>
      </c>
      <c r="J9" s="25" t="inlineStr">
        <is>
          <t>Siurbimo greitis Vo (l/min)</t>
        </is>
      </c>
      <c r="K9" s="25" t="inlineStr">
        <is>
          <t>Siurbiamų dujų temperatūra prieš rotametrą tr (°C)</t>
        </is>
      </c>
      <c r="M9" s="25" t="inlineStr">
        <is>
          <t>Slėgis prieš rotametrą ΔPr (±hPa)</t>
        </is>
      </c>
      <c r="N9" s="25" t="inlineStr">
        <is>
          <t>Antgalio diametras da (mm)</t>
        </is>
      </c>
      <c r="O9" s="25" t="inlineStr">
        <is>
          <t>Siurbimo laikas t (min)</t>
        </is>
      </c>
      <c r="P9" s="25" t="inlineStr">
        <is>
          <t>Siurbimo greitis Vo (l/min)</t>
        </is>
      </c>
      <c r="Q9" s="25" t="inlineStr">
        <is>
          <t>Siurbiamų dujų temperatūra prieš rotametrą tr (°C)</t>
        </is>
      </c>
      <c r="S9" s="25" t="inlineStr">
        <is>
          <t>Slėgis prieš rotametrą ΔPr (±hPa)</t>
        </is>
      </c>
      <c r="T9" s="25" t="inlineStr">
        <is>
          <t>Antgalio diametras da (mm)</t>
        </is>
      </c>
      <c r="U9" s="25" t="inlineStr">
        <is>
          <t>Siurbimo laikas t (min)</t>
        </is>
      </c>
      <c r="V9" s="25" t="inlineStr">
        <is>
          <t>Siurbimo greitis Vo (l/min)</t>
        </is>
      </c>
      <c r="W9" s="25" t="inlineStr">
        <is>
          <t>Siurbiamų dujų temperatūra prieš rotametrą tr (°C)</t>
        </is>
      </c>
      <c r="Y9" s="25" t="inlineStr">
        <is>
          <t>Slėgis prieš rotametrą ΔPr (±hPa)</t>
        </is>
      </c>
      <c r="Z9" s="25" t="inlineStr">
        <is>
          <t>Antgalio diametras da (mm)</t>
        </is>
      </c>
      <c r="AA9" s="25" t="inlineStr">
        <is>
          <t>Siurbimo laikas t (min)</t>
        </is>
      </c>
      <c r="AB9" s="25" t="inlineStr">
        <is>
          <t>Siurbimo greitis Vo (l/min)</t>
        </is>
      </c>
      <c r="AC9" s="25" t="inlineStr">
        <is>
          <t>Siurbiamų dujų temperatūra prieš rotametrą tr (°C)</t>
        </is>
      </c>
    </row>
    <row r="10">
      <c r="A10" s="26" t="n">
        <v>111</v>
      </c>
      <c r="B10" s="26" t="n">
        <v>1</v>
      </c>
      <c r="C10" s="18" t="n">
        <v>3</v>
      </c>
      <c r="D10" s="18" t="n">
        <v>112</v>
      </c>
      <c r="E10" s="26" t="n">
        <v>113</v>
      </c>
      <c r="G10" s="26" t="n">
        <v>121</v>
      </c>
      <c r="H10" s="26">
        <f>B10</f>
        <v/>
      </c>
      <c r="I10" s="18">
        <f>C10</f>
        <v/>
      </c>
      <c r="J10" s="18" t="n">
        <v>122</v>
      </c>
      <c r="K10" s="26" t="n">
        <v>123</v>
      </c>
      <c r="M10" s="26" t="n">
        <v>131</v>
      </c>
      <c r="N10" s="26">
        <f>B10</f>
        <v/>
      </c>
      <c r="O10" s="18">
        <f>C10</f>
        <v/>
      </c>
      <c r="P10" s="18" t="n">
        <v>132</v>
      </c>
      <c r="Q10" s="26" t="n">
        <v>133</v>
      </c>
      <c r="S10" s="26" t="n">
        <v>141</v>
      </c>
      <c r="T10" s="26">
        <f>B10</f>
        <v/>
      </c>
      <c r="U10" s="18">
        <f>C10</f>
        <v/>
      </c>
      <c r="V10" s="18" t="n">
        <v>142</v>
      </c>
      <c r="W10" s="26" t="n">
        <v>143</v>
      </c>
      <c r="Y10" s="26" t="n">
        <v>151</v>
      </c>
      <c r="Z10" s="26">
        <f>B10</f>
        <v/>
      </c>
      <c r="AA10" s="18">
        <f>C10</f>
        <v/>
      </c>
      <c r="AB10" s="18" t="n">
        <v>152</v>
      </c>
      <c r="AC10" s="26" t="n">
        <v>153</v>
      </c>
    </row>
    <row r="11">
      <c r="A11" s="26" t="n">
        <v>111</v>
      </c>
      <c r="B11" s="26" t="n">
        <v>1</v>
      </c>
      <c r="C11" s="18" t="n">
        <v>3</v>
      </c>
      <c r="D11" s="18" t="n">
        <v>112</v>
      </c>
      <c r="E11" s="26" t="n">
        <v>113</v>
      </c>
      <c r="G11" s="26" t="n">
        <v>121</v>
      </c>
      <c r="H11" s="26">
        <f>B11</f>
        <v/>
      </c>
      <c r="I11" s="18">
        <f>C11</f>
        <v/>
      </c>
      <c r="J11" s="18" t="n">
        <v>122</v>
      </c>
      <c r="K11" s="26" t="n">
        <v>123</v>
      </c>
      <c r="M11" s="26" t="n">
        <v>131</v>
      </c>
      <c r="N11" s="26">
        <f>B11</f>
        <v/>
      </c>
      <c r="O11" s="18">
        <f>C11</f>
        <v/>
      </c>
      <c r="P11" s="18" t="n">
        <v>132</v>
      </c>
      <c r="Q11" s="26" t="n">
        <v>133</v>
      </c>
      <c r="S11" s="26" t="n">
        <v>141</v>
      </c>
      <c r="T11" s="26">
        <f>B11</f>
        <v/>
      </c>
      <c r="U11" s="18">
        <f>C11</f>
        <v/>
      </c>
      <c r="V11" s="18" t="n">
        <v>142</v>
      </c>
      <c r="W11" s="26" t="n">
        <v>143</v>
      </c>
      <c r="Y11" s="26" t="n">
        <v>151</v>
      </c>
      <c r="Z11" s="26">
        <f>B11</f>
        <v/>
      </c>
      <c r="AA11" s="18">
        <f>C11</f>
        <v/>
      </c>
      <c r="AB11" s="18" t="n">
        <v>152</v>
      </c>
      <c r="AC11" s="26" t="n">
        <v>153</v>
      </c>
    </row>
    <row r="12">
      <c r="A12" s="26" t="n">
        <v>111</v>
      </c>
      <c r="B12" s="26" t="n">
        <v>1</v>
      </c>
      <c r="C12" s="18" t="n">
        <v>3</v>
      </c>
      <c r="D12" s="18" t="n">
        <v>112</v>
      </c>
      <c r="E12" s="26" t="n">
        <v>113</v>
      </c>
      <c r="G12" s="26" t="n">
        <v>121</v>
      </c>
      <c r="H12" s="26">
        <f>B12</f>
        <v/>
      </c>
      <c r="I12" s="18">
        <f>C12</f>
        <v/>
      </c>
      <c r="J12" s="18" t="n">
        <v>122</v>
      </c>
      <c r="K12" s="26" t="n">
        <v>123</v>
      </c>
      <c r="M12" s="26" t="n">
        <v>131</v>
      </c>
      <c r="N12" s="26">
        <f>B12</f>
        <v/>
      </c>
      <c r="O12" s="18">
        <f>C12</f>
        <v/>
      </c>
      <c r="P12" s="18" t="n">
        <v>132</v>
      </c>
      <c r="Q12" s="26" t="n">
        <v>133</v>
      </c>
      <c r="S12" s="26" t="n">
        <v>141</v>
      </c>
      <c r="T12" s="26">
        <f>B12</f>
        <v/>
      </c>
      <c r="U12" s="18">
        <f>C12</f>
        <v/>
      </c>
      <c r="V12" s="18" t="n">
        <v>142</v>
      </c>
      <c r="W12" s="26" t="n">
        <v>143</v>
      </c>
      <c r="Y12" s="26" t="n">
        <v>151</v>
      </c>
      <c r="Z12" s="26">
        <f>B12</f>
        <v/>
      </c>
      <c r="AA12" s="18">
        <f>C12</f>
        <v/>
      </c>
      <c r="AB12" s="18" t="n">
        <v>152</v>
      </c>
      <c r="AC12" s="26" t="n">
        <v>153</v>
      </c>
    </row>
    <row r="13">
      <c r="A13" s="26" t="n">
        <v>111</v>
      </c>
      <c r="B13" s="26" t="n">
        <v>1</v>
      </c>
      <c r="C13" s="18" t="n">
        <v>3</v>
      </c>
      <c r="D13" s="18" t="n">
        <v>112</v>
      </c>
      <c r="E13" s="26" t="n">
        <v>113</v>
      </c>
      <c r="G13" s="26" t="n">
        <v>121</v>
      </c>
      <c r="H13" s="26">
        <f>B13</f>
        <v/>
      </c>
      <c r="I13" s="18">
        <f>C13</f>
        <v/>
      </c>
      <c r="J13" s="18" t="n">
        <v>122</v>
      </c>
      <c r="K13" s="26" t="n">
        <v>123</v>
      </c>
      <c r="M13" s="26" t="n">
        <v>131</v>
      </c>
      <c r="N13" s="26">
        <f>B13</f>
        <v/>
      </c>
      <c r="O13" s="18">
        <f>C13</f>
        <v/>
      </c>
      <c r="P13" s="18" t="n">
        <v>132</v>
      </c>
      <c r="Q13" s="26" t="n">
        <v>133</v>
      </c>
      <c r="S13" s="26" t="n">
        <v>141</v>
      </c>
      <c r="T13" s="26">
        <f>B13</f>
        <v/>
      </c>
      <c r="U13" s="18">
        <f>C13</f>
        <v/>
      </c>
      <c r="V13" s="18" t="n">
        <v>142</v>
      </c>
      <c r="W13" s="26" t="n">
        <v>143</v>
      </c>
      <c r="Y13" s="26" t="n">
        <v>151</v>
      </c>
      <c r="Z13" s="26">
        <f>B13</f>
        <v/>
      </c>
      <c r="AA13" s="18">
        <f>C13</f>
        <v/>
      </c>
      <c r="AB13" s="18" t="n">
        <v>152</v>
      </c>
      <c r="AC13" s="26" t="n">
        <v>153</v>
      </c>
    </row>
    <row r="16">
      <c r="A16" s="23" t="inlineStr">
        <is>
          <t>2 filtras</t>
        </is>
      </c>
    </row>
    <row r="17">
      <c r="A17" s="24" t="inlineStr">
        <is>
          <t>1 linija</t>
        </is>
      </c>
      <c r="G17" s="24" t="inlineStr">
        <is>
          <t>2 linija</t>
        </is>
      </c>
      <c r="M17" s="24" t="inlineStr">
        <is>
          <t>3 linija</t>
        </is>
      </c>
      <c r="S17" s="24" t="inlineStr">
        <is>
          <t>4 linija</t>
        </is>
      </c>
      <c r="Y17" s="24" t="inlineStr">
        <is>
          <t>5 linija</t>
        </is>
      </c>
    </row>
    <row r="18" ht="43.5" customHeight="1" s="12">
      <c r="A18" s="25" t="inlineStr">
        <is>
          <t>Slėgis prieš rotametrą ΔPr (±hPa)</t>
        </is>
      </c>
      <c r="B18" s="25" t="inlineStr">
        <is>
          <t>Antgalio diametras da (mm)</t>
        </is>
      </c>
      <c r="C18" s="25" t="inlineStr">
        <is>
          <t>Siurbimo laikas t (min)</t>
        </is>
      </c>
      <c r="D18" s="25" t="inlineStr">
        <is>
          <t>Siurbimo greitis Vo (l/min)</t>
        </is>
      </c>
      <c r="E18" s="25" t="inlineStr">
        <is>
          <t>Siurbiamų dujų temperatūra prieš rotametrą tr (°C)</t>
        </is>
      </c>
      <c r="G18" s="25" t="inlineStr">
        <is>
          <t>Slėgis prieš rotametrą ΔPr (±hPa)</t>
        </is>
      </c>
      <c r="H18" s="25" t="inlineStr">
        <is>
          <t>Antgalio diametras da (mm)</t>
        </is>
      </c>
      <c r="I18" s="25" t="inlineStr">
        <is>
          <t>Siurbimo laikas t (min)</t>
        </is>
      </c>
      <c r="J18" s="25" t="inlineStr">
        <is>
          <t>Siurbimo greitis Vo (l/min)</t>
        </is>
      </c>
      <c r="K18" s="25" t="inlineStr">
        <is>
          <t>Siurbiamų dujų temperatūra prieš rotametrą tr (°C)</t>
        </is>
      </c>
      <c r="M18" s="25" t="inlineStr">
        <is>
          <t>Slėgis prieš rotametrą ΔPr (±hPa)</t>
        </is>
      </c>
      <c r="N18" s="25" t="inlineStr">
        <is>
          <t>Antgalio diametras da (mm)</t>
        </is>
      </c>
      <c r="O18" s="25" t="inlineStr">
        <is>
          <t>Siurbimo laikas t (min)</t>
        </is>
      </c>
      <c r="P18" s="25" t="inlineStr">
        <is>
          <t>Siurbimo greitis Vo (l/min)</t>
        </is>
      </c>
      <c r="Q18" s="25" t="inlineStr">
        <is>
          <t>Siurbiamų dujų temperatūra prieš rotametrą tr (°C)</t>
        </is>
      </c>
      <c r="S18" s="25" t="inlineStr">
        <is>
          <t>Slėgis prieš rotametrą ΔPr (±hPa)</t>
        </is>
      </c>
      <c r="T18" s="25" t="inlineStr">
        <is>
          <t>Antgalio diametras da (mm)</t>
        </is>
      </c>
      <c r="U18" s="25" t="inlineStr">
        <is>
          <t>Siurbimo laikas t (min)</t>
        </is>
      </c>
      <c r="V18" s="25" t="inlineStr">
        <is>
          <t>Siurbimo greitis Vo (l/min)</t>
        </is>
      </c>
      <c r="W18" s="25" t="inlineStr">
        <is>
          <t>Siurbiamų dujų temperatūra prieš rotametrą tr (°C)</t>
        </is>
      </c>
      <c r="Y18" s="25" t="inlineStr">
        <is>
          <t>Slėgis prieš rotametrą ΔPr (±hPa)</t>
        </is>
      </c>
      <c r="Z18" s="25" t="inlineStr">
        <is>
          <t>Antgalio diametras da (mm)</t>
        </is>
      </c>
      <c r="AA18" s="25" t="inlineStr">
        <is>
          <t>Siurbimo laikas t (min)</t>
        </is>
      </c>
      <c r="AB18" s="25" t="inlineStr">
        <is>
          <t>Siurbimo greitis Vo (l/min)</t>
        </is>
      </c>
      <c r="AC18" s="25" t="inlineStr">
        <is>
          <t>Siurbiamų dujų temperatūra prieš rotametrą tr (°C)</t>
        </is>
      </c>
    </row>
    <row r="19">
      <c r="A19" s="26" t="n">
        <v>211</v>
      </c>
      <c r="B19" s="26">
        <f>B10</f>
        <v/>
      </c>
      <c r="C19" s="18">
        <f>C10</f>
        <v/>
      </c>
      <c r="D19" s="18" t="n">
        <v>212</v>
      </c>
      <c r="E19" s="26" t="n">
        <v>213</v>
      </c>
      <c r="G19" s="26" t="n">
        <v>221</v>
      </c>
      <c r="H19" s="26">
        <f>B10</f>
        <v/>
      </c>
      <c r="I19" s="18">
        <f>C10</f>
        <v/>
      </c>
      <c r="J19" s="18" t="n">
        <v>222</v>
      </c>
      <c r="K19" s="26" t="n">
        <v>223</v>
      </c>
      <c r="M19" s="26" t="n">
        <v>231</v>
      </c>
      <c r="N19" s="26">
        <f>B10</f>
        <v/>
      </c>
      <c r="O19" s="18">
        <f>C10</f>
        <v/>
      </c>
      <c r="P19" s="18" t="n">
        <v>232</v>
      </c>
      <c r="Q19" s="26" t="n">
        <v>233</v>
      </c>
      <c r="S19" s="26" t="n">
        <v>241</v>
      </c>
      <c r="T19" s="26">
        <f>B10</f>
        <v/>
      </c>
      <c r="U19" s="18">
        <f>C10</f>
        <v/>
      </c>
      <c r="V19" s="18" t="n">
        <v>242</v>
      </c>
      <c r="W19" s="26" t="n">
        <v>243</v>
      </c>
      <c r="Y19" s="26" t="n">
        <v>251</v>
      </c>
      <c r="Z19" s="26">
        <f>B10</f>
        <v/>
      </c>
      <c r="AA19" s="18">
        <f>C10</f>
        <v/>
      </c>
      <c r="AB19" s="18" t="n">
        <v>252</v>
      </c>
      <c r="AC19" s="26" t="n">
        <v>253</v>
      </c>
    </row>
    <row r="20">
      <c r="A20" s="26" t="n">
        <v>211</v>
      </c>
      <c r="B20" s="26">
        <f>B11</f>
        <v/>
      </c>
      <c r="C20" s="18">
        <f>C11</f>
        <v/>
      </c>
      <c r="D20" s="18" t="n">
        <v>212</v>
      </c>
      <c r="E20" s="26" t="n">
        <v>213</v>
      </c>
      <c r="G20" s="26" t="n">
        <v>221</v>
      </c>
      <c r="H20" s="26">
        <f>B11</f>
        <v/>
      </c>
      <c r="I20" s="18">
        <f>C11</f>
        <v/>
      </c>
      <c r="J20" s="18" t="n">
        <v>222</v>
      </c>
      <c r="K20" s="26" t="n">
        <v>223</v>
      </c>
      <c r="M20" s="26" t="n">
        <v>231</v>
      </c>
      <c r="N20" s="26">
        <f>B11</f>
        <v/>
      </c>
      <c r="O20" s="18">
        <f>C11</f>
        <v/>
      </c>
      <c r="P20" s="18" t="n">
        <v>232</v>
      </c>
      <c r="Q20" s="26" t="n">
        <v>233</v>
      </c>
      <c r="S20" s="26" t="n">
        <v>241</v>
      </c>
      <c r="T20" s="26">
        <f>B11</f>
        <v/>
      </c>
      <c r="U20" s="18">
        <f>C11</f>
        <v/>
      </c>
      <c r="V20" s="18" t="n">
        <v>242</v>
      </c>
      <c r="W20" s="26" t="n">
        <v>243</v>
      </c>
      <c r="Y20" s="26" t="n">
        <v>251</v>
      </c>
      <c r="Z20" s="26">
        <f>B11</f>
        <v/>
      </c>
      <c r="AA20" s="18">
        <f>C11</f>
        <v/>
      </c>
      <c r="AB20" s="18" t="n">
        <v>252</v>
      </c>
      <c r="AC20" s="26" t="n">
        <v>253</v>
      </c>
    </row>
    <row r="21">
      <c r="A21" s="26" t="n">
        <v>211</v>
      </c>
      <c r="B21" s="26">
        <f>B12</f>
        <v/>
      </c>
      <c r="C21" s="18">
        <f>C12</f>
        <v/>
      </c>
      <c r="D21" s="18" t="n">
        <v>212</v>
      </c>
      <c r="E21" s="26" t="n">
        <v>213</v>
      </c>
      <c r="G21" s="26" t="n">
        <v>221</v>
      </c>
      <c r="H21" s="26">
        <f>B12</f>
        <v/>
      </c>
      <c r="I21" s="18">
        <f>C12</f>
        <v/>
      </c>
      <c r="J21" s="18" t="n">
        <v>222</v>
      </c>
      <c r="K21" s="26" t="n">
        <v>223</v>
      </c>
      <c r="M21" s="26" t="n">
        <v>231</v>
      </c>
      <c r="N21" s="26">
        <f>B12</f>
        <v/>
      </c>
      <c r="O21" s="18">
        <f>C12</f>
        <v/>
      </c>
      <c r="P21" s="18" t="n">
        <v>232</v>
      </c>
      <c r="Q21" s="26" t="n">
        <v>233</v>
      </c>
      <c r="S21" s="26" t="n">
        <v>241</v>
      </c>
      <c r="T21" s="26">
        <f>B12</f>
        <v/>
      </c>
      <c r="U21" s="18">
        <f>C12</f>
        <v/>
      </c>
      <c r="V21" s="18" t="n">
        <v>242</v>
      </c>
      <c r="W21" s="26" t="n">
        <v>243</v>
      </c>
      <c r="Y21" s="26" t="n">
        <v>251</v>
      </c>
      <c r="Z21" s="26">
        <f>B12</f>
        <v/>
      </c>
      <c r="AA21" s="18">
        <f>C12</f>
        <v/>
      </c>
      <c r="AB21" s="18" t="n">
        <v>252</v>
      </c>
      <c r="AC21" s="26" t="n">
        <v>253</v>
      </c>
    </row>
    <row r="22">
      <c r="A22" s="26" t="n">
        <v>211</v>
      </c>
      <c r="B22" s="26">
        <f>B13</f>
        <v/>
      </c>
      <c r="C22" s="18">
        <f>C13</f>
        <v/>
      </c>
      <c r="D22" s="18" t="n">
        <v>212</v>
      </c>
      <c r="E22" s="26" t="n">
        <v>213</v>
      </c>
      <c r="G22" s="26" t="n">
        <v>221</v>
      </c>
      <c r="H22" s="26">
        <f>B13</f>
        <v/>
      </c>
      <c r="I22" s="18">
        <f>C13</f>
        <v/>
      </c>
      <c r="J22" s="18" t="n">
        <v>222</v>
      </c>
      <c r="K22" s="26" t="n">
        <v>223</v>
      </c>
      <c r="M22" s="26" t="n">
        <v>231</v>
      </c>
      <c r="N22" s="26">
        <f>B13</f>
        <v/>
      </c>
      <c r="O22" s="18">
        <f>C13</f>
        <v/>
      </c>
      <c r="P22" s="18" t="n">
        <v>232</v>
      </c>
      <c r="Q22" s="26" t="n">
        <v>233</v>
      </c>
      <c r="S22" s="26" t="n">
        <v>241</v>
      </c>
      <c r="T22" s="26">
        <f>B13</f>
        <v/>
      </c>
      <c r="U22" s="18">
        <f>C13</f>
        <v/>
      </c>
      <c r="V22" s="18" t="n">
        <v>242</v>
      </c>
      <c r="W22" s="26" t="n">
        <v>243</v>
      </c>
      <c r="Y22" s="26" t="n">
        <v>251</v>
      </c>
      <c r="Z22" s="26">
        <f>B13</f>
        <v/>
      </c>
      <c r="AA22" s="18">
        <f>C13</f>
        <v/>
      </c>
      <c r="AB22" s="18" t="n">
        <v>252</v>
      </c>
      <c r="AC22" s="26" t="n">
        <v>253</v>
      </c>
    </row>
    <row r="25">
      <c r="A25" s="23" t="inlineStr">
        <is>
          <t>3 filtras</t>
        </is>
      </c>
    </row>
    <row r="26">
      <c r="A26" s="24" t="inlineStr">
        <is>
          <t>1 linija</t>
        </is>
      </c>
      <c r="G26" s="24" t="inlineStr">
        <is>
          <t>2 linija</t>
        </is>
      </c>
      <c r="M26" s="24" t="inlineStr">
        <is>
          <t>3 linija</t>
        </is>
      </c>
      <c r="S26" s="24" t="inlineStr">
        <is>
          <t>4 linija</t>
        </is>
      </c>
      <c r="Y26" s="24" t="inlineStr">
        <is>
          <t>5 linija</t>
        </is>
      </c>
    </row>
    <row r="27" ht="43.5" customHeight="1" s="12">
      <c r="A27" s="25" t="inlineStr">
        <is>
          <t>Slėgis prieš rotametrą ΔPr (±hPa)</t>
        </is>
      </c>
      <c r="B27" s="25" t="inlineStr">
        <is>
          <t>Antgalio diametras da (mm)</t>
        </is>
      </c>
      <c r="C27" s="25" t="inlineStr">
        <is>
          <t>Siurbimo laikas t (min)</t>
        </is>
      </c>
      <c r="D27" s="25" t="inlineStr">
        <is>
          <t>Siurbimo greitis Vo (l/min)</t>
        </is>
      </c>
      <c r="E27" s="25" t="inlineStr">
        <is>
          <t>Siurbiamų dujų temperatūra prieš rotametrą tr (°C)</t>
        </is>
      </c>
      <c r="G27" s="25" t="inlineStr">
        <is>
          <t>Slėgis prieš rotametrą ΔPr (±hPa)</t>
        </is>
      </c>
      <c r="H27" s="25" t="inlineStr">
        <is>
          <t>Antgalio diametras da (mm)</t>
        </is>
      </c>
      <c r="I27" s="25" t="inlineStr">
        <is>
          <t>Siurbimo laikas t (min)</t>
        </is>
      </c>
      <c r="J27" s="25" t="inlineStr">
        <is>
          <t>Siurbimo greitis Vo (l/min)</t>
        </is>
      </c>
      <c r="K27" s="25" t="inlineStr">
        <is>
          <t>Siurbiamų dujų temperatūra prieš rotametrą tr (°C)</t>
        </is>
      </c>
      <c r="M27" s="25" t="inlineStr">
        <is>
          <t>Slėgis prieš rotametrą ΔPr (±hPa)</t>
        </is>
      </c>
      <c r="N27" s="25" t="inlineStr">
        <is>
          <t>Antgalio diametras da (mm)</t>
        </is>
      </c>
      <c r="O27" s="25" t="inlineStr">
        <is>
          <t>Siurbimo laikas t (min)</t>
        </is>
      </c>
      <c r="P27" s="25" t="inlineStr">
        <is>
          <t>Siurbimo greitis Vo (l/min)</t>
        </is>
      </c>
      <c r="Q27" s="25" t="inlineStr">
        <is>
          <t>Siurbiamų dujų temperatūra prieš rotametrą tr (°C)</t>
        </is>
      </c>
      <c r="S27" s="25" t="inlineStr">
        <is>
          <t>Slėgis prieš rotametrą ΔPr (±hPa)</t>
        </is>
      </c>
      <c r="T27" s="25" t="inlineStr">
        <is>
          <t>Antgalio diametras da (mm)</t>
        </is>
      </c>
      <c r="U27" s="25" t="inlineStr">
        <is>
          <t>Siurbimo laikas t (min)</t>
        </is>
      </c>
      <c r="V27" s="25" t="inlineStr">
        <is>
          <t>Siurbimo greitis Vo (l/min)</t>
        </is>
      </c>
      <c r="W27" s="25" t="inlineStr">
        <is>
          <t>Siurbiamų dujų temperatūra prieš rotametrą tr (°C)</t>
        </is>
      </c>
      <c r="Y27" s="25" t="inlineStr">
        <is>
          <t>Slėgis prieš rotametrą ΔPr (±hPa)</t>
        </is>
      </c>
      <c r="Z27" s="25" t="inlineStr">
        <is>
          <t>Antgalio diametras da (mm)</t>
        </is>
      </c>
      <c r="AA27" s="25" t="inlineStr">
        <is>
          <t>Siurbimo laikas t (min)</t>
        </is>
      </c>
      <c r="AB27" s="25" t="inlineStr">
        <is>
          <t>Siurbimo greitis Vo (l/min)</t>
        </is>
      </c>
      <c r="AC27" s="25" t="inlineStr">
        <is>
          <t>Siurbiamų dujų temperatūra prieš rotametrą tr (°C)</t>
        </is>
      </c>
    </row>
    <row r="28">
      <c r="A28" s="26" t="n">
        <v>311</v>
      </c>
      <c r="B28" s="26">
        <f>B10</f>
        <v/>
      </c>
      <c r="C28" s="18">
        <f>C10</f>
        <v/>
      </c>
      <c r="D28" s="18" t="n">
        <v>312</v>
      </c>
      <c r="E28" s="26" t="n">
        <v>313</v>
      </c>
      <c r="G28" s="26" t="n">
        <v>321</v>
      </c>
      <c r="H28" s="26">
        <f>B10</f>
        <v/>
      </c>
      <c r="I28" s="18">
        <f>C10</f>
        <v/>
      </c>
      <c r="J28" s="18" t="n">
        <v>322</v>
      </c>
      <c r="K28" s="26" t="n">
        <v>323</v>
      </c>
      <c r="M28" s="26" t="n">
        <v>331</v>
      </c>
      <c r="N28" s="26">
        <f>B10</f>
        <v/>
      </c>
      <c r="O28" s="18">
        <f>C10</f>
        <v/>
      </c>
      <c r="P28" s="18" t="n">
        <v>332</v>
      </c>
      <c r="Q28" s="26" t="n">
        <v>333</v>
      </c>
      <c r="S28" s="26" t="n">
        <v>341</v>
      </c>
      <c r="T28" s="26">
        <f>B10</f>
        <v/>
      </c>
      <c r="U28" s="18">
        <f>C10</f>
        <v/>
      </c>
      <c r="V28" s="18" t="n">
        <v>342</v>
      </c>
      <c r="W28" s="26" t="n">
        <v>343</v>
      </c>
      <c r="Y28" s="26" t="n">
        <v>351</v>
      </c>
      <c r="Z28" s="26">
        <f>B10</f>
        <v/>
      </c>
      <c r="AA28" s="18">
        <f>C10</f>
        <v/>
      </c>
      <c r="AB28" s="18" t="n">
        <v>352</v>
      </c>
      <c r="AC28" s="26" t="n">
        <v>353</v>
      </c>
    </row>
    <row r="29">
      <c r="A29" s="26" t="n">
        <v>311</v>
      </c>
      <c r="B29" s="26">
        <f>B11</f>
        <v/>
      </c>
      <c r="C29" s="18">
        <f>C11</f>
        <v/>
      </c>
      <c r="D29" s="18" t="n">
        <v>312</v>
      </c>
      <c r="E29" s="26" t="n">
        <v>313</v>
      </c>
      <c r="G29" s="26" t="n">
        <v>321</v>
      </c>
      <c r="H29" s="26">
        <f>B11</f>
        <v/>
      </c>
      <c r="I29" s="18">
        <f>C11</f>
        <v/>
      </c>
      <c r="J29" s="18" t="n">
        <v>322</v>
      </c>
      <c r="K29" s="26" t="n">
        <v>323</v>
      </c>
      <c r="M29" s="26" t="n">
        <v>331</v>
      </c>
      <c r="N29" s="26">
        <f>B11</f>
        <v/>
      </c>
      <c r="O29" s="18">
        <f>C11</f>
        <v/>
      </c>
      <c r="P29" s="18" t="n">
        <v>332</v>
      </c>
      <c r="Q29" s="26" t="n">
        <v>333</v>
      </c>
      <c r="S29" s="26" t="n">
        <v>341</v>
      </c>
      <c r="T29" s="26">
        <f>B11</f>
        <v/>
      </c>
      <c r="U29" s="18">
        <f>C11</f>
        <v/>
      </c>
      <c r="V29" s="18" t="n">
        <v>342</v>
      </c>
      <c r="W29" s="26" t="n">
        <v>343</v>
      </c>
      <c r="Y29" s="26" t="n">
        <v>351</v>
      </c>
      <c r="Z29" s="26">
        <f>B11</f>
        <v/>
      </c>
      <c r="AA29" s="18">
        <f>C11</f>
        <v/>
      </c>
      <c r="AB29" s="18" t="n">
        <v>352</v>
      </c>
      <c r="AC29" s="26" t="n">
        <v>353</v>
      </c>
    </row>
    <row r="30">
      <c r="A30" s="26" t="n">
        <v>311</v>
      </c>
      <c r="B30" s="26">
        <f>B12</f>
        <v/>
      </c>
      <c r="C30" s="18">
        <f>C12</f>
        <v/>
      </c>
      <c r="D30" s="18" t="n">
        <v>312</v>
      </c>
      <c r="E30" s="26" t="n">
        <v>313</v>
      </c>
      <c r="G30" s="26" t="n">
        <v>321</v>
      </c>
      <c r="H30" s="26">
        <f>B12</f>
        <v/>
      </c>
      <c r="I30" s="18">
        <f>C12</f>
        <v/>
      </c>
      <c r="J30" s="18" t="n">
        <v>322</v>
      </c>
      <c r="K30" s="26" t="n">
        <v>323</v>
      </c>
      <c r="M30" s="26" t="n">
        <v>331</v>
      </c>
      <c r="N30" s="26">
        <f>B12</f>
        <v/>
      </c>
      <c r="O30" s="18">
        <f>C12</f>
        <v/>
      </c>
      <c r="P30" s="18" t="n">
        <v>332</v>
      </c>
      <c r="Q30" s="26" t="n">
        <v>333</v>
      </c>
      <c r="S30" s="26" t="n">
        <v>341</v>
      </c>
      <c r="T30" s="26">
        <f>B12</f>
        <v/>
      </c>
      <c r="U30" s="18">
        <f>C12</f>
        <v/>
      </c>
      <c r="V30" s="18" t="n">
        <v>342</v>
      </c>
      <c r="W30" s="26" t="n">
        <v>343</v>
      </c>
      <c r="Y30" s="26" t="n">
        <v>351</v>
      </c>
      <c r="Z30" s="26">
        <f>B12</f>
        <v/>
      </c>
      <c r="AA30" s="18">
        <f>C12</f>
        <v/>
      </c>
      <c r="AB30" s="18" t="n">
        <v>352</v>
      </c>
      <c r="AC30" s="26" t="n">
        <v>353</v>
      </c>
    </row>
    <row r="31">
      <c r="A31" s="26" t="n">
        <v>311</v>
      </c>
      <c r="B31" s="26">
        <f>B13</f>
        <v/>
      </c>
      <c r="C31" s="18">
        <f>C13</f>
        <v/>
      </c>
      <c r="D31" s="18" t="n">
        <v>312</v>
      </c>
      <c r="E31" s="26" t="n">
        <v>313</v>
      </c>
      <c r="G31" s="26" t="n">
        <v>321</v>
      </c>
      <c r="H31" s="26">
        <f>B13</f>
        <v/>
      </c>
      <c r="I31" s="18">
        <f>C13</f>
        <v/>
      </c>
      <c r="J31" s="18" t="n">
        <v>322</v>
      </c>
      <c r="K31" s="26" t="n">
        <v>323</v>
      </c>
      <c r="M31" s="26" t="n">
        <v>331</v>
      </c>
      <c r="N31" s="26">
        <f>B13</f>
        <v/>
      </c>
      <c r="O31" s="18">
        <f>C13</f>
        <v/>
      </c>
      <c r="P31" s="18" t="n">
        <v>332</v>
      </c>
      <c r="Q31" s="26" t="n">
        <v>333</v>
      </c>
      <c r="S31" s="26" t="n">
        <v>341</v>
      </c>
      <c r="T31" s="26">
        <f>B13</f>
        <v/>
      </c>
      <c r="U31" s="18">
        <f>C13</f>
        <v/>
      </c>
      <c r="V31" s="18" t="n">
        <v>342</v>
      </c>
      <c r="W31" s="26" t="n">
        <v>343</v>
      </c>
      <c r="Y31" s="26" t="n">
        <v>351</v>
      </c>
      <c r="Z31" s="26">
        <f>B13</f>
        <v/>
      </c>
      <c r="AA31" s="18">
        <f>C13</f>
        <v/>
      </c>
      <c r="AB31" s="18" t="n">
        <v>352</v>
      </c>
      <c r="AC31" s="26" t="n">
        <v>353</v>
      </c>
    </row>
  </sheetData>
  <mergeCells count="15">
    <mergeCell ref="G26:K26"/>
    <mergeCell ref="M26:Q26"/>
    <mergeCell ref="G17:K17"/>
    <mergeCell ref="Y26:AC26"/>
    <mergeCell ref="M8:Q8"/>
    <mergeCell ref="S17:W17"/>
    <mergeCell ref="A26:E26"/>
    <mergeCell ref="Y17:AC17"/>
    <mergeCell ref="M17:Q17"/>
    <mergeCell ref="S8:W8"/>
    <mergeCell ref="Y8:AC8"/>
    <mergeCell ref="S26:W26"/>
    <mergeCell ref="A8:E8"/>
    <mergeCell ref="A17:E17"/>
    <mergeCell ref="G8:K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AB57CF81AE55C4698AAD22D302297F0" ma:contentTypeVersion="18" ma:contentTypeDescription="Kurkite naują dokumentą." ma:contentTypeScope="" ma:versionID="49ab401eb4052690d2a2629974c22fd6">
  <xsd:schema xmlns:xsd="http://www.w3.org/2001/XMLSchema" xmlns:xs="http://www.w3.org/2001/XMLSchema" xmlns:p="http://schemas.microsoft.com/office/2006/metadata/properties" xmlns:ns2="453e7e53-5eb2-45cf-b2ab-34c867e554b8" xmlns:ns3="aa0d983d-359a-438c-9953-3af1a8ac0831" targetNamespace="http://schemas.microsoft.com/office/2006/metadata/properties" ma:root="true" ma:fieldsID="ab9969d50e0b13c63bc5bd0499c928dc" ns2:_="" ns3:_="">
    <xsd:import namespace="453e7e53-5eb2-45cf-b2ab-34c867e554b8"/>
    <xsd:import namespace="aa0d983d-359a-438c-9953-3af1a8ac0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e7e53-5eb2-45cf-b2ab-34c867e55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Vaizdų žymės" ma:readOnly="false" ma:fieldId="{5cf76f15-5ced-4ddc-b409-7134ff3c332f}" ma:taxonomyMulti="true" ma:sspId="993cf2ba-b7a7-49f7-97d1-76e12a88c4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d983d-359a-438c-9953-3af1a8ac083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c4fa3c-500e-4213-91e5-1b9e2014ea63}" ma:internalName="TaxCatchAll" ma:showField="CatchAllData" ma:web="aa0d983d-359a-438c-9953-3af1a8ac0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e7e53-5eb2-45cf-b2ab-34c867e554b8">
      <Terms xmlns="http://schemas.microsoft.com/office/infopath/2007/PartnerControls"/>
    </lcf76f155ced4ddcb4097134ff3c332f>
    <TaxCatchAll xmlns="aa0d983d-359a-438c-9953-3af1a8ac0831" xsi:nil="true"/>
  </documentManagement>
</p:properties>
</file>

<file path=customXml/itemProps1.xml><?xml version="1.0" encoding="utf-8"?>
<ds:datastoreItem xmlns:ds="http://schemas.openxmlformats.org/officeDocument/2006/customXml" ds:itemID="{54EFCDF5-F7AE-4A25-90A3-7A979126556C}"/>
</file>

<file path=customXml/itemProps2.xml><?xml version="1.0" encoding="utf-8"?>
<ds:datastoreItem xmlns:ds="http://schemas.openxmlformats.org/officeDocument/2006/customXml" ds:itemID="{69660A51-95D6-497F-B030-1F7362E3001F}"/>
</file>

<file path=customXml/itemProps3.xml><?xml version="1.0" encoding="utf-8"?>
<ds:datastoreItem xmlns:ds="http://schemas.openxmlformats.org/officeDocument/2006/customXml" ds:itemID="{AA75B8D3-5CA5-46FD-8109-2A7CC2F12D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Vilkickas</cp:lastModifiedBy>
  <dcterms:created xsi:type="dcterms:W3CDTF">2026-03-17T10:32:00Z</dcterms:created>
  <dcterms:modified xsi:type="dcterms:W3CDTF">2026-03-24T09:17:44Z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0x010100BAB57CF81AE55C4698AAD22D302297F0</vt:lpwstr>
  </property>
</Properties>
</file>