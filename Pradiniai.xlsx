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Pradiniai" sheetId="1" state="visible" r:id="rId1"/>
    <sheet name="Greitis" sheetId="2" state="visible" r:id="rId2"/>
    <sheet name="H2O" sheetId="3" state="visible" r:id="rId3"/>
    <sheet name="Paėmima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Times New Roman"/>
      <charset val="186"/>
      <family val="1"/>
      <sz val="11"/>
    </font>
    <font>
      <b val="1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1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2" fontId="0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4" fontId="0" fillId="0" borderId="1" applyAlignment="1" pivotButton="0" quotePrefix="0" xfId="0">
      <alignment horizontal="center" vertical="center" wrapText="1"/>
    </xf>
    <xf numFmtId="2" fontId="2" fillId="0" borderId="1" applyAlignment="1" applyProtection="1" pivotButton="0" quotePrefix="0" xfId="0">
      <alignment horizontal="center" vertical="center" wrapText="1"/>
      <protection locked="0" hidden="0"/>
    </xf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5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164" fontId="0" fillId="0" borderId="5" applyAlignment="1" pivotButton="0" quotePrefix="0" xfId="0">
      <alignment horizontal="center" vertical="center" wrapText="1"/>
    </xf>
    <xf numFmtId="165" fontId="0" fillId="0" borderId="5" applyAlignment="1" pivotButton="0" quotePrefix="0" xfId="0">
      <alignment horizontal="center" vertical="center" wrapText="1"/>
    </xf>
    <xf numFmtId="2" fontId="2" fillId="0" borderId="5" applyAlignment="1" applyProtection="1" pivotButton="0" quotePrefix="0" xfId="0">
      <alignment horizontal="center" vertical="center" wrapText="1"/>
      <protection locked="0" hidden="0"/>
    </xf>
    <xf numFmtId="164" fontId="2" fillId="0" borderId="5" applyAlignment="1" applyProtection="1" pivotButton="0" quotePrefix="0" xfId="0">
      <alignment horizontal="center" vertical="center" wrapText="1"/>
      <protection locked="0" hidden="0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Įprastas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D6"/>
  <sheetViews>
    <sheetView workbookViewId="0">
      <selection activeCell="A1" sqref="A1"/>
    </sheetView>
  </sheetViews>
  <sheetFormatPr baseColWidth="8" defaultRowHeight="14.5"/>
  <cols>
    <col width="25" customWidth="1" style="13" min="1" max="1"/>
    <col width="40" customWidth="1" style="13" min="2" max="2"/>
    <col width="60" customWidth="1" style="13" min="3" max="3"/>
    <col width="20" customWidth="1" style="13" min="4" max="4"/>
  </cols>
  <sheetData>
    <row r="5" ht="40" customHeight="1" s="13">
      <c r="A5" s="1" t="inlineStr">
        <is>
          <t>Matavimo data</t>
        </is>
      </c>
      <c r="B5" s="1" t="inlineStr">
        <is>
          <t>Ėminių registracijos Nr. T-107-2026-E-</t>
        </is>
      </c>
      <c r="C5" s="1" t="inlineStr">
        <is>
          <t>Objekto pavadinimas, adresas, taršos šaltinio Nr.</t>
        </is>
      </c>
      <c r="D5" s="1" t="inlineStr">
        <is>
          <t>Darbuotojo inicialai</t>
        </is>
      </c>
    </row>
    <row r="6" ht="50" customHeight="1" s="13">
      <c r="A6" s="14" t="n">
        <v>46063</v>
      </c>
      <c r="B6" s="2" t="n">
        <v>5</v>
      </c>
      <c r="C6" s="2" t="inlineStr">
        <is>
          <t>Ekopartneris</t>
        </is>
      </c>
      <c r="D6" s="2" t="inlineStr">
        <is>
          <t>S. Č.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G9"/>
  <sheetViews>
    <sheetView workbookViewId="0">
      <selection activeCell="A1" sqref="A1"/>
    </sheetView>
  </sheetViews>
  <sheetFormatPr baseColWidth="8" defaultRowHeight="14.5"/>
  <cols>
    <col width="15" customWidth="1" style="13" min="1" max="5"/>
    <col width="15" customWidth="1" style="13" min="2" max="2"/>
    <col width="15" customWidth="1" style="13" min="3" max="3"/>
    <col width="15" customWidth="1" style="13" min="4" max="4"/>
    <col width="15" customWidth="1" style="13" min="5" max="5"/>
    <col width="18" customWidth="1" style="13" min="6" max="7"/>
    <col width="18" customWidth="1" style="13" min="7" max="7"/>
  </cols>
  <sheetData>
    <row r="5" ht="58" customHeight="1" s="13">
      <c r="A5" s="17" t="inlineStr">
        <is>
          <t>Išmatuotas diferencinis slėgis taškuose 1 linija, Pdi, hPa</t>
        </is>
      </c>
      <c r="B5" s="17" t="inlineStr">
        <is>
          <t>Išmatuotas diferencinis slėgis taškuose 2 linija, Pdi, hPa</t>
        </is>
      </c>
      <c r="C5" s="17" t="inlineStr">
        <is>
          <t>Išmatuotas diferencinis slėgis taškuose 3 linija, Pdi, hPa</t>
        </is>
      </c>
      <c r="D5" s="17" t="inlineStr">
        <is>
          <t>Išmatuotas diferencinis slėgis taškuose 4 linija, Pdi, hPa</t>
        </is>
      </c>
      <c r="E5" s="17" t="inlineStr">
        <is>
          <t>Išmatuotas diferencinis slėgis taškuose 5 linija, Pdi, hPa</t>
        </is>
      </c>
      <c r="F5" s="17" t="inlineStr">
        <is>
          <t>Atmosferinis slėgis P, hPa</t>
        </is>
      </c>
      <c r="G5" s="17" t="inlineStr">
        <is>
          <t>Statinis slėgis ortakyje ± ΔP, hPa</t>
        </is>
      </c>
    </row>
    <row r="6">
      <c r="A6" s="18" t="n">
        <v>1</v>
      </c>
      <c r="B6" s="18" t="n">
        <v>2</v>
      </c>
      <c r="C6" s="18" t="n">
        <v>3</v>
      </c>
      <c r="D6" s="18" t="n">
        <v>4</v>
      </c>
      <c r="E6" s="18" t="n">
        <v>5</v>
      </c>
      <c r="F6" s="19" t="n">
        <v>1012</v>
      </c>
      <c r="G6" s="18" t="n">
        <v>-0.25</v>
      </c>
    </row>
    <row r="7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20" t="n"/>
      <c r="G7" s="20" t="n"/>
    </row>
    <row r="8">
      <c r="A8" s="18" t="n">
        <v>1</v>
      </c>
      <c r="B8" s="18" t="n">
        <v>2</v>
      </c>
      <c r="C8" s="18" t="n">
        <v>3</v>
      </c>
      <c r="D8" s="18" t="n">
        <v>4</v>
      </c>
      <c r="E8" s="18" t="n">
        <v>5</v>
      </c>
      <c r="F8" s="20" t="n"/>
      <c r="G8" s="20" t="n"/>
    </row>
    <row r="9">
      <c r="A9" s="18" t="n">
        <v>1</v>
      </c>
      <c r="B9" s="18" t="n">
        <v>2</v>
      </c>
      <c r="C9" s="18" t="n">
        <v>3</v>
      </c>
      <c r="D9" s="18" t="n">
        <v>4</v>
      </c>
      <c r="E9" s="18" t="n">
        <v>5</v>
      </c>
      <c r="F9" s="21" t="n"/>
      <c r="G9" s="21" t="n"/>
    </row>
  </sheetData>
  <mergeCells count="2">
    <mergeCell ref="F6:F9"/>
    <mergeCell ref="G6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5:F6"/>
  <sheetViews>
    <sheetView workbookViewId="0">
      <selection activeCell="A1" sqref="A1"/>
    </sheetView>
  </sheetViews>
  <sheetFormatPr baseColWidth="8" defaultRowHeight="14.5"/>
  <cols>
    <col width="22" customWidth="1" style="13" min="2" max="6"/>
    <col width="22" customWidth="1" style="13" min="3" max="3"/>
    <col width="22" customWidth="1" style="13" min="4" max="4"/>
    <col width="22" customWidth="1" style="13" min="5" max="5"/>
    <col width="22" customWidth="1" style="13" min="6" max="6"/>
  </cols>
  <sheetData>
    <row r="5" ht="29" customHeight="1" s="13">
      <c r="B5" s="17" t="inlineStr">
        <is>
          <t>Ėminių ėmimo laikas t, min.</t>
        </is>
      </c>
      <c r="C5" s="17" t="inlineStr">
        <is>
          <t>Paėmimo greitis, l/min</t>
        </is>
      </c>
      <c r="D5" s="17" t="inlineStr">
        <is>
          <t>Išretėjimas, -hPa</t>
        </is>
      </c>
      <c r="E5" s="17" t="inlineStr">
        <is>
          <t>Temperatūra prie aspiratoriaus, Vtr oC</t>
        </is>
      </c>
      <c r="F5" s="17" t="inlineStr">
        <is>
          <t>Vandens kondensato masė m H2O, kg</t>
        </is>
      </c>
    </row>
    <row r="6">
      <c r="B6" s="19" t="n">
        <v>10</v>
      </c>
      <c r="C6" s="19" t="n">
        <v>10</v>
      </c>
      <c r="D6" s="22" t="n">
        <v>25.2</v>
      </c>
      <c r="E6" s="22" t="n">
        <v>14</v>
      </c>
      <c r="F6" s="23" t="n">
        <v>0.005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31"/>
  <sheetViews>
    <sheetView tabSelected="1" workbookViewId="0">
      <selection activeCell="A1" sqref="A1"/>
    </sheetView>
  </sheetViews>
  <sheetFormatPr baseColWidth="8" defaultRowHeight="14.5"/>
  <cols>
    <col width="18" customWidth="1" style="13" min="1" max="30"/>
    <col width="18" customWidth="1" style="13" min="2" max="2"/>
    <col width="18" customWidth="1" style="13" min="3" max="3"/>
    <col width="18" customWidth="1" style="13" min="4" max="4"/>
    <col width="18" customWidth="1" style="13" min="5" max="5"/>
    <col width="18" customWidth="1" style="13" min="6" max="6"/>
    <col width="18" customWidth="1" style="13" min="7" max="7"/>
    <col width="18" customWidth="1" style="13" min="8" max="8"/>
    <col width="18" customWidth="1" style="13" min="9" max="9"/>
    <col width="18" customWidth="1" style="13" min="10" max="10"/>
    <col width="18" customWidth="1" style="13" min="11" max="11"/>
    <col width="18" customWidth="1" style="13" min="12" max="12"/>
    <col width="18" customWidth="1" style="13" min="13" max="13"/>
    <col width="18" customWidth="1" style="13" min="14" max="14"/>
    <col width="18" customWidth="1" style="13" min="15" max="15"/>
    <col width="18" customWidth="1" style="13" min="16" max="16"/>
    <col width="18" customWidth="1" style="13" min="17" max="17"/>
    <col width="18" customWidth="1" style="13" min="18" max="18"/>
    <col width="18" customWidth="1" style="13" min="19" max="19"/>
    <col width="18" customWidth="1" style="13" min="20" max="20"/>
    <col width="18" customWidth="1" style="13" min="21" max="21"/>
    <col width="18" customWidth="1" style="13" min="22" max="22"/>
    <col width="18" customWidth="1" style="13" min="23" max="23"/>
    <col width="18" customWidth="1" style="13" min="24" max="24"/>
    <col width="18" customWidth="1" style="13" min="25" max="25"/>
    <col width="18" customWidth="1" style="13" min="26" max="26"/>
    <col width="18" customWidth="1" style="13" min="27" max="27"/>
    <col width="18" customWidth="1" style="13" min="28" max="28"/>
    <col width="18" customWidth="1" style="13" min="29" max="29"/>
    <col width="18" customWidth="1" style="13" min="30" max="30"/>
  </cols>
  <sheetData>
    <row r="1"/>
    <row r="2" ht="29" customHeight="1" s="13">
      <c r="A2" s="17" t="inlineStr">
        <is>
          <t>Išmatuota O2 koncentracija (%)</t>
        </is>
      </c>
      <c r="B2" s="17" t="inlineStr">
        <is>
          <t>Išmatuota CO2 koncentracija (%)</t>
        </is>
      </c>
      <c r="C2" s="17" t="inlineStr">
        <is>
          <t>Temperatūra ortakyje tor (°C)</t>
        </is>
      </c>
    </row>
    <row r="3">
      <c r="A3" s="24" t="n">
        <v>10.02</v>
      </c>
      <c r="B3" s="24" t="n">
        <v>4.1</v>
      </c>
      <c r="C3" s="25" t="n">
        <v>40.2</v>
      </c>
    </row>
    <row r="4">
      <c r="A4" s="24" t="n">
        <v>9.98</v>
      </c>
      <c r="B4" s="24" t="n">
        <v>3.9</v>
      </c>
      <c r="C4" s="25" t="n">
        <v>39.8</v>
      </c>
    </row>
    <row r="5">
      <c r="A5" s="24" t="n">
        <v>10</v>
      </c>
      <c r="B5" s="24" t="n">
        <v>4</v>
      </c>
      <c r="C5" s="25" t="n">
        <v>40</v>
      </c>
    </row>
    <row r="7">
      <c r="A7" s="26" t="inlineStr">
        <is>
          <t>1 filtras</t>
        </is>
      </c>
    </row>
    <row r="8">
      <c r="A8" s="27" t="inlineStr">
        <is>
          <t>1 linija</t>
        </is>
      </c>
      <c r="G8" s="27" t="inlineStr">
        <is>
          <t>2 linija</t>
        </is>
      </c>
      <c r="M8" s="27" t="inlineStr">
        <is>
          <t>3 linija</t>
        </is>
      </c>
      <c r="S8" s="27" t="inlineStr">
        <is>
          <t>4 linija</t>
        </is>
      </c>
      <c r="Y8" s="27" t="inlineStr">
        <is>
          <t>5 linija</t>
        </is>
      </c>
    </row>
    <row r="9" ht="43.5" customHeight="1" s="13">
      <c r="A9" s="17" t="inlineStr">
        <is>
          <t>Slėgis prieš rotametrą ΔPr (±hPa)</t>
        </is>
      </c>
      <c r="B9" s="17" t="inlineStr">
        <is>
          <t>Antgalio diametras da (mm)</t>
        </is>
      </c>
      <c r="C9" s="17" t="inlineStr">
        <is>
          <t>Siurbimo laikas t (min)</t>
        </is>
      </c>
      <c r="D9" s="17" t="inlineStr">
        <is>
          <t>Siurbimo greitis Vo (l/min)</t>
        </is>
      </c>
      <c r="E9" s="17" t="inlineStr">
        <is>
          <t>Siurbiamų dujų temperatūra prieš rotametrą tr (°C)</t>
        </is>
      </c>
      <c r="G9" s="17" t="inlineStr">
        <is>
          <t>Slėgis prieš rotametrą ΔPr (±hPa)</t>
        </is>
      </c>
      <c r="H9" s="17" t="inlineStr">
        <is>
          <t>Antgalio diametras da (mm)</t>
        </is>
      </c>
      <c r="I9" s="17" t="inlineStr">
        <is>
          <t>Siurbimo laikas t (min)</t>
        </is>
      </c>
      <c r="J9" s="17" t="inlineStr">
        <is>
          <t>Siurbimo greitis Vo (l/min)</t>
        </is>
      </c>
      <c r="K9" s="17" t="inlineStr">
        <is>
          <t>Siurbiamų dujų temperatūra prieš rotametrą tr (°C)</t>
        </is>
      </c>
      <c r="M9" s="17" t="inlineStr">
        <is>
          <t>Slėgis prieš rotametrą ΔPr (±hPa)</t>
        </is>
      </c>
      <c r="N9" s="17" t="inlineStr">
        <is>
          <t>Antgalio diametras da (mm)</t>
        </is>
      </c>
      <c r="O9" s="17" t="inlineStr">
        <is>
          <t>Siurbimo laikas t (min)</t>
        </is>
      </c>
      <c r="P9" s="17" t="inlineStr">
        <is>
          <t>Siurbimo greitis Vo (l/min)</t>
        </is>
      </c>
      <c r="Q9" s="17" t="inlineStr">
        <is>
          <t>Siurbiamų dujų temperatūra prieš rotametrą tr (°C)</t>
        </is>
      </c>
      <c r="S9" s="17" t="inlineStr">
        <is>
          <t>Slėgis prieš rotametrą ΔPr (±hPa)</t>
        </is>
      </c>
      <c r="T9" s="17" t="inlineStr">
        <is>
          <t>Antgalio diametras da (mm)</t>
        </is>
      </c>
      <c r="U9" s="17" t="inlineStr">
        <is>
          <t>Siurbimo laikas t (min)</t>
        </is>
      </c>
      <c r="V9" s="17" t="inlineStr">
        <is>
          <t>Siurbimo greitis Vo (l/min)</t>
        </is>
      </c>
      <c r="W9" s="17" t="inlineStr">
        <is>
          <t>Siurbiamų dujų temperatūra prieš rotametrą tr (°C)</t>
        </is>
      </c>
      <c r="Y9" s="17" t="inlineStr">
        <is>
          <t>Slėgis prieš rotametrą ΔPr (±hPa)</t>
        </is>
      </c>
      <c r="Z9" s="17" t="inlineStr">
        <is>
          <t>Antgalio diametras da (mm)</t>
        </is>
      </c>
      <c r="AA9" s="17" t="inlineStr">
        <is>
          <t>Siurbimo laikas t (min)</t>
        </is>
      </c>
      <c r="AB9" s="17" t="inlineStr">
        <is>
          <t>Siurbimo greitis Vo (l/min)</t>
        </is>
      </c>
      <c r="AC9" s="17" t="inlineStr">
        <is>
          <t>Siurbiamų dujų temperatūra prieš rotametrą tr (°C)</t>
        </is>
      </c>
    </row>
    <row r="10">
      <c r="A10" s="22" t="n">
        <v>111</v>
      </c>
      <c r="B10" s="22" t="n">
        <v>1</v>
      </c>
      <c r="C10" s="19" t="n">
        <v>3</v>
      </c>
      <c r="D10" s="19" t="n">
        <v>112</v>
      </c>
      <c r="E10" s="22" t="n">
        <v>113</v>
      </c>
      <c r="G10" s="22" t="n">
        <v>121</v>
      </c>
      <c r="H10" s="22">
        <f>B10</f>
        <v/>
      </c>
      <c r="I10" s="19">
        <f>C10</f>
        <v/>
      </c>
      <c r="J10" s="19" t="n">
        <v>122</v>
      </c>
      <c r="K10" s="22" t="n">
        <v>123</v>
      </c>
      <c r="M10" s="22" t="n">
        <v>131</v>
      </c>
      <c r="N10" s="22">
        <f>B10</f>
        <v/>
      </c>
      <c r="O10" s="19">
        <f>C10</f>
        <v/>
      </c>
      <c r="P10" s="19" t="n">
        <v>132</v>
      </c>
      <c r="Q10" s="22" t="n">
        <v>133</v>
      </c>
      <c r="S10" s="22" t="n">
        <v>141</v>
      </c>
      <c r="T10" s="22">
        <f>B10</f>
        <v/>
      </c>
      <c r="U10" s="19">
        <f>C10</f>
        <v/>
      </c>
      <c r="V10" s="19" t="n">
        <v>142</v>
      </c>
      <c r="W10" s="22" t="n">
        <v>143</v>
      </c>
      <c r="Y10" s="22" t="n">
        <v>151</v>
      </c>
      <c r="Z10" s="22">
        <f>B10</f>
        <v/>
      </c>
      <c r="AA10" s="19">
        <f>C10</f>
        <v/>
      </c>
      <c r="AB10" s="19" t="n">
        <v>152</v>
      </c>
      <c r="AC10" s="22" t="n">
        <v>153</v>
      </c>
    </row>
    <row r="11">
      <c r="A11" s="22" t="n">
        <v>111</v>
      </c>
      <c r="B11" s="22" t="n">
        <v>1</v>
      </c>
      <c r="C11" s="19" t="n">
        <v>3</v>
      </c>
      <c r="D11" s="19" t="n">
        <v>112</v>
      </c>
      <c r="E11" s="22" t="n">
        <v>113</v>
      </c>
      <c r="G11" s="22" t="n">
        <v>121</v>
      </c>
      <c r="H11" s="22">
        <f>B11</f>
        <v/>
      </c>
      <c r="I11" s="19">
        <f>C11</f>
        <v/>
      </c>
      <c r="J11" s="19" t="n">
        <v>122</v>
      </c>
      <c r="K11" s="22" t="n">
        <v>123</v>
      </c>
      <c r="M11" s="22" t="n">
        <v>131</v>
      </c>
      <c r="N11" s="22">
        <f>B11</f>
        <v/>
      </c>
      <c r="O11" s="19">
        <f>C11</f>
        <v/>
      </c>
      <c r="P11" s="19" t="n">
        <v>132</v>
      </c>
      <c r="Q11" s="22" t="n">
        <v>133</v>
      </c>
      <c r="S11" s="22" t="n">
        <v>141</v>
      </c>
      <c r="T11" s="22">
        <f>B11</f>
        <v/>
      </c>
      <c r="U11" s="19">
        <f>C11</f>
        <v/>
      </c>
      <c r="V11" s="19" t="n">
        <v>142</v>
      </c>
      <c r="W11" s="22" t="n">
        <v>143</v>
      </c>
      <c r="Y11" s="22" t="n">
        <v>151</v>
      </c>
      <c r="Z11" s="22">
        <f>B11</f>
        <v/>
      </c>
      <c r="AA11" s="19">
        <f>C11</f>
        <v/>
      </c>
      <c r="AB11" s="19" t="n">
        <v>152</v>
      </c>
      <c r="AC11" s="22" t="n">
        <v>153</v>
      </c>
    </row>
    <row r="12">
      <c r="A12" s="22" t="n">
        <v>111</v>
      </c>
      <c r="B12" s="22" t="n">
        <v>1</v>
      </c>
      <c r="C12" s="19" t="n">
        <v>3</v>
      </c>
      <c r="D12" s="19" t="n">
        <v>112</v>
      </c>
      <c r="E12" s="22" t="n">
        <v>113</v>
      </c>
      <c r="G12" s="22" t="n">
        <v>121</v>
      </c>
      <c r="H12" s="22">
        <f>B12</f>
        <v/>
      </c>
      <c r="I12" s="19">
        <f>C12</f>
        <v/>
      </c>
      <c r="J12" s="19" t="n">
        <v>122</v>
      </c>
      <c r="K12" s="22" t="n">
        <v>123</v>
      </c>
      <c r="M12" s="22" t="n">
        <v>131</v>
      </c>
      <c r="N12" s="22">
        <f>B12</f>
        <v/>
      </c>
      <c r="O12" s="19">
        <f>C12</f>
        <v/>
      </c>
      <c r="P12" s="19" t="n">
        <v>132</v>
      </c>
      <c r="Q12" s="22" t="n">
        <v>133</v>
      </c>
      <c r="S12" s="22" t="n">
        <v>141</v>
      </c>
      <c r="T12" s="22">
        <f>B12</f>
        <v/>
      </c>
      <c r="U12" s="19">
        <f>C12</f>
        <v/>
      </c>
      <c r="V12" s="19" t="n">
        <v>142</v>
      </c>
      <c r="W12" s="22" t="n">
        <v>143</v>
      </c>
      <c r="Y12" s="22" t="n">
        <v>151</v>
      </c>
      <c r="Z12" s="22">
        <f>B12</f>
        <v/>
      </c>
      <c r="AA12" s="19">
        <f>C12</f>
        <v/>
      </c>
      <c r="AB12" s="19" t="n">
        <v>152</v>
      </c>
      <c r="AC12" s="22" t="n">
        <v>153</v>
      </c>
    </row>
    <row r="13">
      <c r="A13" s="22" t="n">
        <v>111</v>
      </c>
      <c r="B13" s="22" t="n">
        <v>1</v>
      </c>
      <c r="C13" s="19" t="n">
        <v>3</v>
      </c>
      <c r="D13" s="19" t="n">
        <v>112</v>
      </c>
      <c r="E13" s="22" t="n">
        <v>113</v>
      </c>
      <c r="G13" s="22" t="n">
        <v>121</v>
      </c>
      <c r="H13" s="22">
        <f>B13</f>
        <v/>
      </c>
      <c r="I13" s="19">
        <f>C13</f>
        <v/>
      </c>
      <c r="J13" s="19" t="n">
        <v>122</v>
      </c>
      <c r="K13" s="22" t="n">
        <v>123</v>
      </c>
      <c r="M13" s="22" t="n">
        <v>131</v>
      </c>
      <c r="N13" s="22">
        <f>B13</f>
        <v/>
      </c>
      <c r="O13" s="19">
        <f>C13</f>
        <v/>
      </c>
      <c r="P13" s="19" t="n">
        <v>132</v>
      </c>
      <c r="Q13" s="22" t="n">
        <v>133</v>
      </c>
      <c r="S13" s="22" t="n">
        <v>141</v>
      </c>
      <c r="T13" s="22">
        <f>B13</f>
        <v/>
      </c>
      <c r="U13" s="19">
        <f>C13</f>
        <v/>
      </c>
      <c r="V13" s="19" t="n">
        <v>142</v>
      </c>
      <c r="W13" s="22" t="n">
        <v>143</v>
      </c>
      <c r="Y13" s="22" t="n">
        <v>151</v>
      </c>
      <c r="Z13" s="22">
        <f>B13</f>
        <v/>
      </c>
      <c r="AA13" s="19">
        <f>C13</f>
        <v/>
      </c>
      <c r="AB13" s="19" t="n">
        <v>152</v>
      </c>
      <c r="AC13" s="22" t="n">
        <v>153</v>
      </c>
    </row>
    <row r="16">
      <c r="A16" s="26" t="inlineStr">
        <is>
          <t>2 filtras</t>
        </is>
      </c>
    </row>
    <row r="17">
      <c r="A17" s="27" t="inlineStr">
        <is>
          <t>1 linija</t>
        </is>
      </c>
      <c r="G17" s="27" t="inlineStr">
        <is>
          <t>2 linija</t>
        </is>
      </c>
      <c r="M17" s="27" t="inlineStr">
        <is>
          <t>3 linija</t>
        </is>
      </c>
      <c r="S17" s="27" t="inlineStr">
        <is>
          <t>4 linija</t>
        </is>
      </c>
      <c r="Y17" s="27" t="inlineStr">
        <is>
          <t>5 linija</t>
        </is>
      </c>
    </row>
    <row r="18" ht="43.5" customHeight="1" s="13">
      <c r="A18" s="17" t="inlineStr">
        <is>
          <t>Slėgis prieš rotametrą ΔPr (±hPa)</t>
        </is>
      </c>
      <c r="B18" s="17" t="inlineStr">
        <is>
          <t>Antgalio diametras da (mm)</t>
        </is>
      </c>
      <c r="C18" s="17" t="inlineStr">
        <is>
          <t>Siurbimo laikas t (min)</t>
        </is>
      </c>
      <c r="D18" s="17" t="inlineStr">
        <is>
          <t>Siurbimo greitis Vo (l/min)</t>
        </is>
      </c>
      <c r="E18" s="17" t="inlineStr">
        <is>
          <t>Siurbiamų dujų temperatūra prieš rotametrą tr (°C)</t>
        </is>
      </c>
      <c r="G18" s="17" t="inlineStr">
        <is>
          <t>Slėgis prieš rotametrą ΔPr (±hPa)</t>
        </is>
      </c>
      <c r="H18" s="17" t="inlineStr">
        <is>
          <t>Antgalio diametras da (mm)</t>
        </is>
      </c>
      <c r="I18" s="17" t="inlineStr">
        <is>
          <t>Siurbimo laikas t (min)</t>
        </is>
      </c>
      <c r="J18" s="17" t="inlineStr">
        <is>
          <t>Siurbimo greitis Vo (l/min)</t>
        </is>
      </c>
      <c r="K18" s="17" t="inlineStr">
        <is>
          <t>Siurbiamų dujų temperatūra prieš rotametrą tr (°C)</t>
        </is>
      </c>
      <c r="M18" s="17" t="inlineStr">
        <is>
          <t>Slėgis prieš rotametrą ΔPr (±hPa)</t>
        </is>
      </c>
      <c r="N18" s="17" t="inlineStr">
        <is>
          <t>Antgalio diametras da (mm)</t>
        </is>
      </c>
      <c r="O18" s="17" t="inlineStr">
        <is>
          <t>Siurbimo laikas t (min)</t>
        </is>
      </c>
      <c r="P18" s="17" t="inlineStr">
        <is>
          <t>Siurbimo greitis Vo (l/min)</t>
        </is>
      </c>
      <c r="Q18" s="17" t="inlineStr">
        <is>
          <t>Siurbiamų dujų temperatūra prieš rotametrą tr (°C)</t>
        </is>
      </c>
      <c r="S18" s="17" t="inlineStr">
        <is>
          <t>Slėgis prieš rotametrą ΔPr (±hPa)</t>
        </is>
      </c>
      <c r="T18" s="17" t="inlineStr">
        <is>
          <t>Antgalio diametras da (mm)</t>
        </is>
      </c>
      <c r="U18" s="17" t="inlineStr">
        <is>
          <t>Siurbimo laikas t (min)</t>
        </is>
      </c>
      <c r="V18" s="17" t="inlineStr">
        <is>
          <t>Siurbimo greitis Vo (l/min)</t>
        </is>
      </c>
      <c r="W18" s="17" t="inlineStr">
        <is>
          <t>Siurbiamų dujų temperatūra prieš rotametrą tr (°C)</t>
        </is>
      </c>
      <c r="Y18" s="17" t="inlineStr">
        <is>
          <t>Slėgis prieš rotametrą ΔPr (±hPa)</t>
        </is>
      </c>
      <c r="Z18" s="17" t="inlineStr">
        <is>
          <t>Antgalio diametras da (mm)</t>
        </is>
      </c>
      <c r="AA18" s="17" t="inlineStr">
        <is>
          <t>Siurbimo laikas t (min)</t>
        </is>
      </c>
      <c r="AB18" s="17" t="inlineStr">
        <is>
          <t>Siurbimo greitis Vo (l/min)</t>
        </is>
      </c>
      <c r="AC18" s="17" t="inlineStr">
        <is>
          <t>Siurbiamų dujų temperatūra prieš rotametrą tr (°C)</t>
        </is>
      </c>
    </row>
    <row r="19">
      <c r="A19" s="22" t="n">
        <v>211</v>
      </c>
      <c r="B19" s="22">
        <f>B10</f>
        <v/>
      </c>
      <c r="C19" s="19">
        <f>C10</f>
        <v/>
      </c>
      <c r="D19" s="19" t="n">
        <v>212</v>
      </c>
      <c r="E19" s="22" t="n">
        <v>213</v>
      </c>
      <c r="G19" s="22" t="n">
        <v>221</v>
      </c>
      <c r="H19" s="22">
        <f>B10</f>
        <v/>
      </c>
      <c r="I19" s="19">
        <f>C10</f>
        <v/>
      </c>
      <c r="J19" s="19" t="n">
        <v>222</v>
      </c>
      <c r="K19" s="22" t="n">
        <v>223</v>
      </c>
      <c r="M19" s="22" t="n">
        <v>231</v>
      </c>
      <c r="N19" s="22">
        <f>B10</f>
        <v/>
      </c>
      <c r="O19" s="19">
        <f>C10</f>
        <v/>
      </c>
      <c r="P19" s="19" t="n">
        <v>232</v>
      </c>
      <c r="Q19" s="22" t="n">
        <v>233</v>
      </c>
      <c r="S19" s="22" t="n">
        <v>241</v>
      </c>
      <c r="T19" s="22">
        <f>B10</f>
        <v/>
      </c>
      <c r="U19" s="19">
        <f>C10</f>
        <v/>
      </c>
      <c r="V19" s="19" t="n">
        <v>242</v>
      </c>
      <c r="W19" s="22" t="n">
        <v>243</v>
      </c>
      <c r="Y19" s="22" t="n">
        <v>251</v>
      </c>
      <c r="Z19" s="22">
        <f>B10</f>
        <v/>
      </c>
      <c r="AA19" s="19">
        <f>C10</f>
        <v/>
      </c>
      <c r="AB19" s="19" t="n">
        <v>252</v>
      </c>
      <c r="AC19" s="22" t="n">
        <v>253</v>
      </c>
    </row>
    <row r="20">
      <c r="A20" s="22" t="n">
        <v>211</v>
      </c>
      <c r="B20" s="22">
        <f>B11</f>
        <v/>
      </c>
      <c r="C20" s="19">
        <f>C11</f>
        <v/>
      </c>
      <c r="D20" s="19" t="n">
        <v>212</v>
      </c>
      <c r="E20" s="22" t="n">
        <v>213</v>
      </c>
      <c r="G20" s="22" t="n">
        <v>221</v>
      </c>
      <c r="H20" s="22">
        <f>B11</f>
        <v/>
      </c>
      <c r="I20" s="19">
        <f>C11</f>
        <v/>
      </c>
      <c r="J20" s="19" t="n">
        <v>222</v>
      </c>
      <c r="K20" s="22" t="n">
        <v>223</v>
      </c>
      <c r="M20" s="22" t="n">
        <v>231</v>
      </c>
      <c r="N20" s="22">
        <f>B11</f>
        <v/>
      </c>
      <c r="O20" s="19">
        <f>C11</f>
        <v/>
      </c>
      <c r="P20" s="19" t="n">
        <v>232</v>
      </c>
      <c r="Q20" s="22" t="n">
        <v>233</v>
      </c>
      <c r="S20" s="22" t="n">
        <v>241</v>
      </c>
      <c r="T20" s="22">
        <f>B11</f>
        <v/>
      </c>
      <c r="U20" s="19">
        <f>C11</f>
        <v/>
      </c>
      <c r="V20" s="19" t="n">
        <v>242</v>
      </c>
      <c r="W20" s="22" t="n">
        <v>243</v>
      </c>
      <c r="Y20" s="22" t="n">
        <v>251</v>
      </c>
      <c r="Z20" s="22">
        <f>B11</f>
        <v/>
      </c>
      <c r="AA20" s="19">
        <f>C11</f>
        <v/>
      </c>
      <c r="AB20" s="19" t="n">
        <v>252</v>
      </c>
      <c r="AC20" s="22" t="n">
        <v>253</v>
      </c>
    </row>
    <row r="21">
      <c r="A21" s="22" t="n">
        <v>211</v>
      </c>
      <c r="B21" s="22">
        <f>B12</f>
        <v/>
      </c>
      <c r="C21" s="19">
        <f>C12</f>
        <v/>
      </c>
      <c r="D21" s="19" t="n">
        <v>212</v>
      </c>
      <c r="E21" s="22" t="n">
        <v>213</v>
      </c>
      <c r="G21" s="22" t="n">
        <v>221</v>
      </c>
      <c r="H21" s="22">
        <f>B12</f>
        <v/>
      </c>
      <c r="I21" s="19">
        <f>C12</f>
        <v/>
      </c>
      <c r="J21" s="19" t="n">
        <v>222</v>
      </c>
      <c r="K21" s="22" t="n">
        <v>223</v>
      </c>
      <c r="M21" s="22" t="n">
        <v>231</v>
      </c>
      <c r="N21" s="22">
        <f>B12</f>
        <v/>
      </c>
      <c r="O21" s="19">
        <f>C12</f>
        <v/>
      </c>
      <c r="P21" s="19" t="n">
        <v>232</v>
      </c>
      <c r="Q21" s="22" t="n">
        <v>233</v>
      </c>
      <c r="S21" s="22" t="n">
        <v>241</v>
      </c>
      <c r="T21" s="22">
        <f>B12</f>
        <v/>
      </c>
      <c r="U21" s="19">
        <f>C12</f>
        <v/>
      </c>
      <c r="V21" s="19" t="n">
        <v>242</v>
      </c>
      <c r="W21" s="22" t="n">
        <v>243</v>
      </c>
      <c r="Y21" s="22" t="n">
        <v>251</v>
      </c>
      <c r="Z21" s="22">
        <f>B12</f>
        <v/>
      </c>
      <c r="AA21" s="19">
        <f>C12</f>
        <v/>
      </c>
      <c r="AB21" s="19" t="n">
        <v>252</v>
      </c>
      <c r="AC21" s="22" t="n">
        <v>253</v>
      </c>
    </row>
    <row r="22">
      <c r="A22" s="22" t="n">
        <v>211</v>
      </c>
      <c r="B22" s="22">
        <f>B13</f>
        <v/>
      </c>
      <c r="C22" s="19">
        <f>C13</f>
        <v/>
      </c>
      <c r="D22" s="19" t="n">
        <v>212</v>
      </c>
      <c r="E22" s="22" t="n">
        <v>213</v>
      </c>
      <c r="G22" s="22" t="n">
        <v>221</v>
      </c>
      <c r="H22" s="22">
        <f>B13</f>
        <v/>
      </c>
      <c r="I22" s="19">
        <f>C13</f>
        <v/>
      </c>
      <c r="J22" s="19" t="n">
        <v>222</v>
      </c>
      <c r="K22" s="22" t="n">
        <v>223</v>
      </c>
      <c r="M22" s="22" t="n">
        <v>231</v>
      </c>
      <c r="N22" s="22">
        <f>B13</f>
        <v/>
      </c>
      <c r="O22" s="19">
        <f>C13</f>
        <v/>
      </c>
      <c r="P22" s="19" t="n">
        <v>232</v>
      </c>
      <c r="Q22" s="22" t="n">
        <v>233</v>
      </c>
      <c r="S22" s="22" t="n">
        <v>241</v>
      </c>
      <c r="T22" s="22">
        <f>B13</f>
        <v/>
      </c>
      <c r="U22" s="19">
        <f>C13</f>
        <v/>
      </c>
      <c r="V22" s="19" t="n">
        <v>242</v>
      </c>
      <c r="W22" s="22" t="n">
        <v>243</v>
      </c>
      <c r="Y22" s="22" t="n">
        <v>251</v>
      </c>
      <c r="Z22" s="22">
        <f>B13</f>
        <v/>
      </c>
      <c r="AA22" s="19">
        <f>C13</f>
        <v/>
      </c>
      <c r="AB22" s="19" t="n">
        <v>252</v>
      </c>
      <c r="AC22" s="22" t="n">
        <v>253</v>
      </c>
    </row>
    <row r="25">
      <c r="A25" s="26" t="inlineStr">
        <is>
          <t>3 filtras</t>
        </is>
      </c>
    </row>
    <row r="26">
      <c r="A26" s="27" t="inlineStr">
        <is>
          <t>1 linija</t>
        </is>
      </c>
      <c r="G26" s="27" t="inlineStr">
        <is>
          <t>2 linija</t>
        </is>
      </c>
      <c r="M26" s="27" t="inlineStr">
        <is>
          <t>3 linija</t>
        </is>
      </c>
      <c r="S26" s="27" t="inlineStr">
        <is>
          <t>4 linija</t>
        </is>
      </c>
      <c r="Y26" s="27" t="inlineStr">
        <is>
          <t>5 linija</t>
        </is>
      </c>
    </row>
    <row r="27" ht="43.5" customHeight="1" s="13">
      <c r="A27" s="17" t="inlineStr">
        <is>
          <t>Slėgis prieš rotametrą ΔPr (±hPa)</t>
        </is>
      </c>
      <c r="B27" s="17" t="inlineStr">
        <is>
          <t>Antgalio diametras da (mm)</t>
        </is>
      </c>
      <c r="C27" s="17" t="inlineStr">
        <is>
          <t>Siurbimo laikas t (min)</t>
        </is>
      </c>
      <c r="D27" s="17" t="inlineStr">
        <is>
          <t>Siurbimo greitis Vo (l/min)</t>
        </is>
      </c>
      <c r="E27" s="17" t="inlineStr">
        <is>
          <t>Siurbiamų dujų temperatūra prieš rotametrą tr (°C)</t>
        </is>
      </c>
      <c r="G27" s="17" t="inlineStr">
        <is>
          <t>Slėgis prieš rotametrą ΔPr (±hPa)</t>
        </is>
      </c>
      <c r="H27" s="17" t="inlineStr">
        <is>
          <t>Antgalio diametras da (mm)</t>
        </is>
      </c>
      <c r="I27" s="17" t="inlineStr">
        <is>
          <t>Siurbimo laikas t (min)</t>
        </is>
      </c>
      <c r="J27" s="17" t="inlineStr">
        <is>
          <t>Siurbimo greitis Vo (l/min)</t>
        </is>
      </c>
      <c r="K27" s="17" t="inlineStr">
        <is>
          <t>Siurbiamų dujų temperatūra prieš rotametrą tr (°C)</t>
        </is>
      </c>
      <c r="M27" s="17" t="inlineStr">
        <is>
          <t>Slėgis prieš rotametrą ΔPr (±hPa)</t>
        </is>
      </c>
      <c r="N27" s="17" t="inlineStr">
        <is>
          <t>Antgalio diametras da (mm)</t>
        </is>
      </c>
      <c r="O27" s="17" t="inlineStr">
        <is>
          <t>Siurbimo laikas t (min)</t>
        </is>
      </c>
      <c r="P27" s="17" t="inlineStr">
        <is>
          <t>Siurbimo greitis Vo (l/min)</t>
        </is>
      </c>
      <c r="Q27" s="17" t="inlineStr">
        <is>
          <t>Siurbiamų dujų temperatūra prieš rotametrą tr (°C)</t>
        </is>
      </c>
      <c r="S27" s="17" t="inlineStr">
        <is>
          <t>Slėgis prieš rotametrą ΔPr (±hPa)</t>
        </is>
      </c>
      <c r="T27" s="17" t="inlineStr">
        <is>
          <t>Antgalio diametras da (mm)</t>
        </is>
      </c>
      <c r="U27" s="17" t="inlineStr">
        <is>
          <t>Siurbimo laikas t (min)</t>
        </is>
      </c>
      <c r="V27" s="17" t="inlineStr">
        <is>
          <t>Siurbimo greitis Vo (l/min)</t>
        </is>
      </c>
      <c r="W27" s="17" t="inlineStr">
        <is>
          <t>Siurbiamų dujų temperatūra prieš rotametrą tr (°C)</t>
        </is>
      </c>
      <c r="Y27" s="17" t="inlineStr">
        <is>
          <t>Slėgis prieš rotametrą ΔPr (±hPa)</t>
        </is>
      </c>
      <c r="Z27" s="17" t="inlineStr">
        <is>
          <t>Antgalio diametras da (mm)</t>
        </is>
      </c>
      <c r="AA27" s="17" t="inlineStr">
        <is>
          <t>Siurbimo laikas t (min)</t>
        </is>
      </c>
      <c r="AB27" s="17" t="inlineStr">
        <is>
          <t>Siurbimo greitis Vo (l/min)</t>
        </is>
      </c>
      <c r="AC27" s="17" t="inlineStr">
        <is>
          <t>Siurbiamų dujų temperatūra prieš rotametrą tr (°C)</t>
        </is>
      </c>
    </row>
    <row r="28">
      <c r="A28" s="22" t="n">
        <v>311</v>
      </c>
      <c r="B28" s="22">
        <f>B10</f>
        <v/>
      </c>
      <c r="C28" s="19">
        <f>C10</f>
        <v/>
      </c>
      <c r="D28" s="19" t="n">
        <v>312</v>
      </c>
      <c r="E28" s="22" t="n">
        <v>313</v>
      </c>
      <c r="G28" s="22" t="n">
        <v>321</v>
      </c>
      <c r="H28" s="22">
        <f>B10</f>
        <v/>
      </c>
      <c r="I28" s="19">
        <f>C10</f>
        <v/>
      </c>
      <c r="J28" s="19" t="n">
        <v>322</v>
      </c>
      <c r="K28" s="22" t="n">
        <v>323</v>
      </c>
      <c r="M28" s="22" t="n">
        <v>331</v>
      </c>
      <c r="N28" s="22">
        <f>B10</f>
        <v/>
      </c>
      <c r="O28" s="19">
        <f>C10</f>
        <v/>
      </c>
      <c r="P28" s="19" t="n">
        <v>332</v>
      </c>
      <c r="Q28" s="22" t="n">
        <v>333</v>
      </c>
      <c r="S28" s="22" t="n">
        <v>341</v>
      </c>
      <c r="T28" s="22">
        <f>B10</f>
        <v/>
      </c>
      <c r="U28" s="19">
        <f>C10</f>
        <v/>
      </c>
      <c r="V28" s="19" t="n">
        <v>342</v>
      </c>
      <c r="W28" s="22" t="n">
        <v>343</v>
      </c>
      <c r="Y28" s="22" t="n">
        <v>351</v>
      </c>
      <c r="Z28" s="22">
        <f>B10</f>
        <v/>
      </c>
      <c r="AA28" s="19">
        <f>C10</f>
        <v/>
      </c>
      <c r="AB28" s="19" t="n">
        <v>352</v>
      </c>
      <c r="AC28" s="22" t="n">
        <v>353</v>
      </c>
    </row>
    <row r="29">
      <c r="A29" s="22" t="n">
        <v>311</v>
      </c>
      <c r="B29" s="22">
        <f>B11</f>
        <v/>
      </c>
      <c r="C29" s="19">
        <f>C11</f>
        <v/>
      </c>
      <c r="D29" s="19" t="n">
        <v>312</v>
      </c>
      <c r="E29" s="22" t="n">
        <v>313</v>
      </c>
      <c r="G29" s="22" t="n">
        <v>321</v>
      </c>
      <c r="H29" s="22">
        <f>B11</f>
        <v/>
      </c>
      <c r="I29" s="19">
        <f>C11</f>
        <v/>
      </c>
      <c r="J29" s="19" t="n">
        <v>322</v>
      </c>
      <c r="K29" s="22" t="n">
        <v>323</v>
      </c>
      <c r="M29" s="22" t="n">
        <v>331</v>
      </c>
      <c r="N29" s="22">
        <f>B11</f>
        <v/>
      </c>
      <c r="O29" s="19">
        <f>C11</f>
        <v/>
      </c>
      <c r="P29" s="19" t="n">
        <v>332</v>
      </c>
      <c r="Q29" s="22" t="n">
        <v>333</v>
      </c>
      <c r="S29" s="22" t="n">
        <v>341</v>
      </c>
      <c r="T29" s="22">
        <f>B11</f>
        <v/>
      </c>
      <c r="U29" s="19">
        <f>C11</f>
        <v/>
      </c>
      <c r="V29" s="19" t="n">
        <v>342</v>
      </c>
      <c r="W29" s="22" t="n">
        <v>343</v>
      </c>
      <c r="Y29" s="22" t="n">
        <v>351</v>
      </c>
      <c r="Z29" s="22">
        <f>B11</f>
        <v/>
      </c>
      <c r="AA29" s="19">
        <f>C11</f>
        <v/>
      </c>
      <c r="AB29" s="19" t="n">
        <v>352</v>
      </c>
      <c r="AC29" s="22" t="n">
        <v>353</v>
      </c>
    </row>
    <row r="30">
      <c r="A30" s="22" t="n">
        <v>311</v>
      </c>
      <c r="B30" s="22">
        <f>B12</f>
        <v/>
      </c>
      <c r="C30" s="19">
        <f>C12</f>
        <v/>
      </c>
      <c r="D30" s="19" t="n">
        <v>312</v>
      </c>
      <c r="E30" s="22" t="n">
        <v>313</v>
      </c>
      <c r="G30" s="22" t="n">
        <v>321</v>
      </c>
      <c r="H30" s="22">
        <f>B12</f>
        <v/>
      </c>
      <c r="I30" s="19">
        <f>C12</f>
        <v/>
      </c>
      <c r="J30" s="19" t="n">
        <v>322</v>
      </c>
      <c r="K30" s="22" t="n">
        <v>323</v>
      </c>
      <c r="M30" s="22" t="n">
        <v>331</v>
      </c>
      <c r="N30" s="22">
        <f>B12</f>
        <v/>
      </c>
      <c r="O30" s="19">
        <f>C12</f>
        <v/>
      </c>
      <c r="P30" s="19" t="n">
        <v>332</v>
      </c>
      <c r="Q30" s="22" t="n">
        <v>333</v>
      </c>
      <c r="S30" s="22" t="n">
        <v>341</v>
      </c>
      <c r="T30" s="22">
        <f>B12</f>
        <v/>
      </c>
      <c r="U30" s="19">
        <f>C12</f>
        <v/>
      </c>
      <c r="V30" s="19" t="n">
        <v>342</v>
      </c>
      <c r="W30" s="22" t="n">
        <v>343</v>
      </c>
      <c r="Y30" s="22" t="n">
        <v>351</v>
      </c>
      <c r="Z30" s="22">
        <f>B12</f>
        <v/>
      </c>
      <c r="AA30" s="19">
        <f>C12</f>
        <v/>
      </c>
      <c r="AB30" s="19" t="n">
        <v>352</v>
      </c>
      <c r="AC30" s="22" t="n">
        <v>353</v>
      </c>
    </row>
    <row r="31">
      <c r="A31" s="22" t="n">
        <v>311</v>
      </c>
      <c r="B31" s="22">
        <f>B13</f>
        <v/>
      </c>
      <c r="C31" s="19">
        <f>C13</f>
        <v/>
      </c>
      <c r="D31" s="19" t="n">
        <v>312</v>
      </c>
      <c r="E31" s="22" t="n">
        <v>313</v>
      </c>
      <c r="G31" s="22" t="n">
        <v>321</v>
      </c>
      <c r="H31" s="22">
        <f>B13</f>
        <v/>
      </c>
      <c r="I31" s="19">
        <f>C13</f>
        <v/>
      </c>
      <c r="J31" s="19" t="n">
        <v>322</v>
      </c>
      <c r="K31" s="22" t="n">
        <v>323</v>
      </c>
      <c r="M31" s="22" t="n">
        <v>331</v>
      </c>
      <c r="N31" s="22">
        <f>B13</f>
        <v/>
      </c>
      <c r="O31" s="19">
        <f>C13</f>
        <v/>
      </c>
      <c r="P31" s="19" t="n">
        <v>332</v>
      </c>
      <c r="Q31" s="22" t="n">
        <v>333</v>
      </c>
      <c r="S31" s="22" t="n">
        <v>341</v>
      </c>
      <c r="T31" s="22">
        <f>B13</f>
        <v/>
      </c>
      <c r="U31" s="19">
        <f>C13</f>
        <v/>
      </c>
      <c r="V31" s="19" t="n">
        <v>342</v>
      </c>
      <c r="W31" s="22" t="n">
        <v>343</v>
      </c>
      <c r="Y31" s="22" t="n">
        <v>351</v>
      </c>
      <c r="Z31" s="22">
        <f>B13</f>
        <v/>
      </c>
      <c r="AA31" s="19">
        <f>C13</f>
        <v/>
      </c>
      <c r="AB31" s="19" t="n">
        <v>352</v>
      </c>
      <c r="AC31" s="22" t="n">
        <v>353</v>
      </c>
    </row>
  </sheetData>
  <mergeCells count="15">
    <mergeCell ref="G26:K26"/>
    <mergeCell ref="M26:Q26"/>
    <mergeCell ref="G17:K17"/>
    <mergeCell ref="Y26:AC26"/>
    <mergeCell ref="M8:Q8"/>
    <mergeCell ref="S17:W17"/>
    <mergeCell ref="A26:E26"/>
    <mergeCell ref="Y17:AC17"/>
    <mergeCell ref="M17:Q17"/>
    <mergeCell ref="S8:W8"/>
    <mergeCell ref="Y8:AC8"/>
    <mergeCell ref="S26:W26"/>
    <mergeCell ref="A8:E8"/>
    <mergeCell ref="A17:E17"/>
    <mergeCell ref="G8:K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2026-03-26T08:40:19Z</dcterms:created>
  <dcterms:modified xsi:type="dcterms:W3CDTF">2026-03-26T09:14:04Z</dcterms:modified>
  <cp:lastModifiedBy>Tomas Vilkickas</cp:lastModifiedBy>
</cp:coreProperties>
</file>