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Šios_darbaknygės" defaultThemeVersion="124226"/>
  <mc:AlternateContent xmlns:mc="http://schemas.openxmlformats.org/markup-compatibility/2006">
    <mc:Choice Requires="x15">
      <x15ac:absPath xmlns:x15ac="http://schemas.microsoft.com/office/spreadsheetml/2010/11/ac" url="https://agentura2020.sharepoint.com/sites/VidurioLietuvosaplinkostyrimuskyrius/Bendrai naudojami dokumentai/EB7-014 Darbuotojų failai/Tomo/Python 3.14.3/Skaiciavimai/"/>
    </mc:Choice>
  </mc:AlternateContent>
  <xr:revisionPtr revIDLastSave="76" documentId="13_ncr:1_{155ED34A-7D25-4EB9-9C6F-E73BE8EE1DAA}" xr6:coauthVersionLast="47" xr6:coauthVersionMax="47" xr10:uidLastSave="{BD705EE7-3015-4900-834C-D45E27450416}"/>
  <bookViews>
    <workbookView xWindow="-110" yWindow="-110" windowWidth="19420" windowHeight="10300" tabRatio="821" firstSheet="1" activeTab="3" xr2:uid="{B097D0E3-85A4-46F7-964F-ABE00A6941B9}"/>
  </bookViews>
  <sheets>
    <sheet name="Compatibility Report" sheetId="4" state="hidden" r:id="rId1"/>
    <sheet name="Greitis" sheetId="22" r:id="rId2"/>
    <sheet name="H2O" sheetId="20" r:id="rId3"/>
    <sheet name="Paėmimas" sheetId="11" r:id="rId4"/>
    <sheet name="Aerodinamika" sheetId="1" r:id="rId5"/>
    <sheet name="Koncentracija " sheetId="2" r:id="rId6"/>
    <sheet name="Svėrimas" sheetId="12" r:id="rId7"/>
    <sheet name="Koncentracijos ribinės vertės" sheetId="21" r:id="rId8"/>
  </sheets>
  <definedNames>
    <definedName name="_xlnm._FilterDatabase" localSheetId="6" hidden="1">Svėrimas!$C$4:$O$6</definedName>
    <definedName name="_xlnm.Print_Area" localSheetId="4">Aerodinamika!$C$1:$M$5</definedName>
    <definedName name="_xlnm.Print_Area" localSheetId="5">'Koncentracija '!$C$1:$N$5</definedName>
    <definedName name="_xlnm.Print_Area" localSheetId="3">Paėmimas!$A$1:$S$5</definedName>
    <definedName name="_xlnm.Print_Area" localSheetId="6">Svėrimas!$C$1:$O$11</definedName>
    <definedName name="_xlnm.Print_Titles" localSheetId="4">Aerodinamika!$1:$5</definedName>
    <definedName name="_xlnm.Print_Titles" localSheetId="5">'Koncentracija '!$2:$5</definedName>
    <definedName name="_xlnm.Print_Titles" localSheetId="3">Paėmimas!$1:$5</definedName>
    <definedName name="_xlnm.Print_Titles" localSheetId="6">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 i="11" l="1"/>
  <c r="X19" i="11"/>
  <c r="X20" i="11"/>
  <c r="X21" i="11"/>
  <c r="X22" i="11"/>
  <c r="X23" i="11"/>
  <c r="X7" i="11"/>
  <c r="X8" i="11"/>
  <c r="X9" i="11"/>
  <c r="X10" i="11"/>
  <c r="X11" i="11"/>
  <c r="X12" i="11"/>
  <c r="AA17" i="11"/>
  <c r="X17" i="11"/>
  <c r="X6" i="11"/>
  <c r="AA6" i="11"/>
  <c r="N24" i="11" l="1"/>
  <c r="N13" i="11"/>
  <c r="K17" i="11"/>
  <c r="C6" i="11"/>
  <c r="A6" i="11"/>
  <c r="I6" i="11"/>
  <c r="H6" i="11"/>
  <c r="D7" i="20"/>
  <c r="G7" i="20"/>
  <c r="H7" i="20" s="1"/>
  <c r="T7" i="22"/>
  <c r="T6" i="22"/>
  <c r="L27" i="22"/>
  <c r="K27" i="22"/>
  <c r="L26" i="22"/>
  <c r="K26" i="22"/>
  <c r="L25" i="22"/>
  <c r="K25" i="22"/>
  <c r="L24" i="22"/>
  <c r="K24" i="22"/>
  <c r="L23" i="22"/>
  <c r="K23" i="22"/>
  <c r="U22" i="22"/>
  <c r="Q22" i="22"/>
  <c r="L22" i="22"/>
  <c r="K22" i="22"/>
  <c r="U21" i="22"/>
  <c r="Q21" i="22"/>
  <c r="O21" i="22"/>
  <c r="R21" i="22" s="1"/>
  <c r="S21" i="22" s="1"/>
  <c r="V21" i="22" s="1"/>
  <c r="Y21" i="22" s="1"/>
  <c r="L21" i="22"/>
  <c r="K21" i="22"/>
  <c r="J14" i="22"/>
  <c r="I14" i="22"/>
  <c r="K14" i="22" s="1"/>
  <c r="G14" i="22"/>
  <c r="J12" i="22"/>
  <c r="K12" i="22" s="1"/>
  <c r="I12" i="22"/>
  <c r="G12" i="22"/>
  <c r="J11" i="22"/>
  <c r="I11" i="22"/>
  <c r="K11" i="22" s="1"/>
  <c r="G11" i="22"/>
  <c r="J10" i="22"/>
  <c r="I10" i="22"/>
  <c r="K10" i="22" s="1"/>
  <c r="G10" i="22"/>
  <c r="J9" i="22"/>
  <c r="I9" i="22"/>
  <c r="K9" i="22" s="1"/>
  <c r="G9" i="22"/>
  <c r="J8" i="22"/>
  <c r="I8" i="22"/>
  <c r="K8" i="22" s="1"/>
  <c r="G8" i="22"/>
  <c r="Q7" i="22"/>
  <c r="J7" i="22"/>
  <c r="I7" i="22"/>
  <c r="K7" i="22" s="1"/>
  <c r="G7" i="22"/>
  <c r="Q6" i="22"/>
  <c r="K6" i="22"/>
  <c r="A6" i="12"/>
  <c r="A6" i="21"/>
  <c r="M12" i="12"/>
  <c r="M13" i="12"/>
  <c r="M14" i="12"/>
  <c r="M15" i="12"/>
  <c r="AA23" i="11" l="1"/>
  <c r="AA12" i="11"/>
  <c r="AA7" i="11"/>
  <c r="AA18" i="11"/>
  <c r="AA22" i="11"/>
  <c r="AA11" i="11"/>
  <c r="AA9" i="11"/>
  <c r="AA20" i="11"/>
  <c r="R22" i="22"/>
  <c r="S22" i="22" s="1"/>
  <c r="V22" i="22" s="1"/>
  <c r="Y22" i="22" s="1"/>
  <c r="AA8" i="11"/>
  <c r="AA19" i="11"/>
  <c r="AA10" i="11"/>
  <c r="AA21" i="11"/>
  <c r="N27" i="11"/>
  <c r="W7" i="22"/>
  <c r="U7" i="22" s="1"/>
  <c r="W6" i="22"/>
  <c r="U6" i="22" s="1"/>
  <c r="Z21" i="22"/>
  <c r="Z22" i="22"/>
  <c r="M16" i="12"/>
  <c r="K23" i="11"/>
  <c r="K22" i="11"/>
  <c r="K21" i="11"/>
  <c r="K20" i="11"/>
  <c r="K19" i="11"/>
  <c r="K18" i="11"/>
  <c r="V9" i="11"/>
  <c r="F6" i="11" l="1"/>
  <c r="H6" i="22"/>
  <c r="I7" i="2"/>
  <c r="I6" i="2"/>
  <c r="H14" i="22" l="1"/>
  <c r="H7" i="22"/>
  <c r="H10" i="22"/>
  <c r="H9" i="22"/>
  <c r="H8" i="22"/>
  <c r="H11" i="22"/>
  <c r="H12" i="22"/>
  <c r="R17" i="11"/>
  <c r="M23" i="11"/>
  <c r="M22" i="11"/>
  <c r="M21" i="11"/>
  <c r="M20" i="11"/>
  <c r="M19" i="11"/>
  <c r="M18" i="11"/>
  <c r="M17" i="11"/>
  <c r="I23" i="11"/>
  <c r="H23" i="11"/>
  <c r="I22" i="11"/>
  <c r="H22" i="11"/>
  <c r="I21" i="11"/>
  <c r="H21" i="11"/>
  <c r="I20" i="11"/>
  <c r="H20" i="11"/>
  <c r="I19" i="11"/>
  <c r="H19" i="11"/>
  <c r="I18" i="11"/>
  <c r="H18" i="11"/>
  <c r="I17" i="11"/>
  <c r="H17" i="11"/>
  <c r="F23" i="11"/>
  <c r="F22" i="11"/>
  <c r="F21" i="11"/>
  <c r="F20" i="11"/>
  <c r="F19" i="11"/>
  <c r="F18" i="11"/>
  <c r="F17" i="11"/>
  <c r="M12" i="11"/>
  <c r="M11" i="11"/>
  <c r="M10" i="11"/>
  <c r="M9" i="11"/>
  <c r="M8" i="11"/>
  <c r="M7" i="11"/>
  <c r="K12" i="11"/>
  <c r="I12" i="11"/>
  <c r="K11" i="11"/>
  <c r="I11" i="11"/>
  <c r="K10" i="11"/>
  <c r="I10" i="11"/>
  <c r="K9" i="11"/>
  <c r="I9" i="11"/>
  <c r="K8" i="11"/>
  <c r="I8" i="11"/>
  <c r="K7" i="11"/>
  <c r="I7" i="11"/>
  <c r="H12" i="11"/>
  <c r="H11" i="11"/>
  <c r="H10" i="11"/>
  <c r="H9" i="11"/>
  <c r="H8" i="11"/>
  <c r="H7" i="11"/>
  <c r="F12" i="11"/>
  <c r="F11" i="11"/>
  <c r="F10" i="11"/>
  <c r="F9" i="11"/>
  <c r="F8" i="11"/>
  <c r="M13" i="11" l="1"/>
  <c r="M24" i="11"/>
  <c r="F7" i="11"/>
  <c r="E17" i="11"/>
  <c r="D17" i="11"/>
  <c r="C17" i="11"/>
  <c r="B17" i="11"/>
  <c r="A17" i="11"/>
  <c r="U9" i="11"/>
  <c r="Q6" i="11" s="1"/>
  <c r="T9" i="11"/>
  <c r="P6" i="11" s="1"/>
  <c r="C6" i="2"/>
  <c r="O7" i="12"/>
  <c r="P21" i="11" l="1"/>
  <c r="P10" i="11"/>
  <c r="P9" i="11"/>
  <c r="P22" i="11"/>
  <c r="P19" i="11"/>
  <c r="P11" i="11"/>
  <c r="P8" i="11"/>
  <c r="P18" i="11"/>
  <c r="P7" i="11"/>
  <c r="P23" i="11"/>
  <c r="P20" i="11"/>
  <c r="P17" i="11"/>
  <c r="P12" i="11"/>
  <c r="Q17" i="11"/>
  <c r="Q12" i="11"/>
  <c r="Q22" i="11"/>
  <c r="Q19" i="11"/>
  <c r="Q11" i="11"/>
  <c r="Q8" i="11"/>
  <c r="Q21" i="11"/>
  <c r="Q18" i="11"/>
  <c r="Q10" i="11"/>
  <c r="Q7" i="11"/>
  <c r="Q23" i="11"/>
  <c r="Q20" i="11"/>
  <c r="Q9" i="11"/>
  <c r="M27" i="11"/>
  <c r="P7" i="2"/>
  <c r="G23" i="1" l="1"/>
  <c r="G22" i="1"/>
  <c r="G21" i="1"/>
  <c r="G20" i="1"/>
  <c r="G19" i="1"/>
  <c r="G18" i="1"/>
  <c r="N17" i="1"/>
  <c r="M17" i="1"/>
  <c r="G17" i="1"/>
  <c r="C17" i="1"/>
  <c r="B17" i="1"/>
  <c r="A17" i="1"/>
  <c r="G24" i="1" l="1"/>
  <c r="L23" i="11" l="1"/>
  <c r="D23" i="1" s="1"/>
  <c r="E23" i="1" s="1"/>
  <c r="L22" i="11"/>
  <c r="D22" i="1" s="1"/>
  <c r="E22" i="1" s="1"/>
  <c r="L21" i="11"/>
  <c r="D21" i="1" s="1"/>
  <c r="E21" i="1" s="1"/>
  <c r="L20" i="11"/>
  <c r="D20" i="1" s="1"/>
  <c r="E20" i="1" s="1"/>
  <c r="L19" i="11"/>
  <c r="D19" i="1" s="1"/>
  <c r="E19" i="1" s="1"/>
  <c r="L18" i="11"/>
  <c r="D18" i="1" s="1"/>
  <c r="E18" i="1" s="1"/>
  <c r="L17" i="11"/>
  <c r="D17" i="1" s="1"/>
  <c r="E17" i="1" l="1"/>
  <c r="L24" i="11"/>
  <c r="F17" i="1" l="1"/>
  <c r="J7" i="2" s="1"/>
  <c r="G9" i="1"/>
  <c r="G10" i="1"/>
  <c r="G11" i="1"/>
  <c r="G12" i="1"/>
  <c r="O6" i="12" l="1"/>
  <c r="P6" i="2"/>
  <c r="N6" i="1"/>
  <c r="L9" i="11" l="1"/>
  <c r="D9" i="1" s="1"/>
  <c r="E9" i="1" s="1"/>
  <c r="L10" i="11"/>
  <c r="D10" i="1" s="1"/>
  <c r="E10" i="1" s="1"/>
  <c r="L11" i="11"/>
  <c r="D11" i="1" s="1"/>
  <c r="E11" i="1" s="1"/>
  <c r="L12" i="11"/>
  <c r="D12" i="1" s="1"/>
  <c r="E12" i="1" s="1"/>
  <c r="G7" i="1" l="1"/>
  <c r="G8" i="1"/>
  <c r="G6" i="1" l="1"/>
  <c r="G13" i="1" s="1"/>
  <c r="G27" i="1" s="1"/>
  <c r="A6" i="1"/>
  <c r="B6" i="1"/>
  <c r="C6" i="1"/>
  <c r="B6" i="12"/>
  <c r="H6" i="12"/>
  <c r="D6" i="12"/>
  <c r="AA6" i="22" l="1"/>
  <c r="J7" i="20"/>
  <c r="K7" i="20" s="1"/>
  <c r="B6" i="2"/>
  <c r="N6" i="2"/>
  <c r="M9" i="12"/>
  <c r="G7" i="2" s="1"/>
  <c r="M6" i="1"/>
  <c r="A6" i="2"/>
  <c r="M11" i="12"/>
  <c r="M8" i="12"/>
  <c r="M7" i="12"/>
  <c r="M6" i="12"/>
  <c r="F7" i="2"/>
  <c r="F6" i="2"/>
  <c r="E7" i="2"/>
  <c r="E6" i="2"/>
  <c r="D6" i="2"/>
  <c r="D7" i="2"/>
  <c r="L7" i="11"/>
  <c r="D7" i="1" s="1"/>
  <c r="E7" i="1" s="1"/>
  <c r="L8" i="11"/>
  <c r="D8" i="1" s="1"/>
  <c r="E8" i="1" s="1"/>
  <c r="L6" i="11"/>
  <c r="H23" i="1" l="1"/>
  <c r="H21" i="1"/>
  <c r="H7" i="1"/>
  <c r="H20" i="1"/>
  <c r="H10" i="1"/>
  <c r="H12" i="1"/>
  <c r="H8" i="1"/>
  <c r="H9" i="1"/>
  <c r="H17" i="1"/>
  <c r="H11" i="1"/>
  <c r="H22" i="1"/>
  <c r="H18" i="1"/>
  <c r="H19" i="1"/>
  <c r="H6" i="1"/>
  <c r="L14" i="22"/>
  <c r="M14" i="22" s="1"/>
  <c r="L6" i="22"/>
  <c r="L7" i="22"/>
  <c r="L9" i="22"/>
  <c r="L10" i="22"/>
  <c r="L8" i="22"/>
  <c r="L11" i="22"/>
  <c r="L12" i="22"/>
  <c r="H7" i="2"/>
  <c r="H6" i="2"/>
  <c r="K7" i="2"/>
  <c r="G6" i="2"/>
  <c r="L13" i="11"/>
  <c r="D6" i="1"/>
  <c r="M9" i="22" l="1"/>
  <c r="Y9" i="11"/>
  <c r="G9" i="11" s="1"/>
  <c r="Y20" i="11"/>
  <c r="G20" i="11" s="1"/>
  <c r="M7" i="22"/>
  <c r="Y7" i="11"/>
  <c r="G7" i="11" s="1"/>
  <c r="Y18" i="11"/>
  <c r="G18" i="11" s="1"/>
  <c r="M12" i="22"/>
  <c r="Y23" i="11"/>
  <c r="G23" i="11" s="1"/>
  <c r="Y12" i="11"/>
  <c r="G12" i="11" s="1"/>
  <c r="M6" i="22"/>
  <c r="O6" i="22" s="1"/>
  <c r="Y6" i="11"/>
  <c r="G6" i="11" s="1"/>
  <c r="Y17" i="11"/>
  <c r="G17" i="11" s="1"/>
  <c r="M11" i="22"/>
  <c r="Y11" i="11"/>
  <c r="G11" i="11" s="1"/>
  <c r="Y22" i="11"/>
  <c r="G22" i="11" s="1"/>
  <c r="M8" i="22"/>
  <c r="Y8" i="11"/>
  <c r="G8" i="11" s="1"/>
  <c r="Y19" i="11"/>
  <c r="G19" i="11" s="1"/>
  <c r="M10" i="22"/>
  <c r="Y21" i="11"/>
  <c r="G21" i="11" s="1"/>
  <c r="Y10" i="11"/>
  <c r="G10" i="11" s="1"/>
  <c r="L6" i="2"/>
  <c r="M6" i="2"/>
  <c r="E6" i="1"/>
  <c r="Z7" i="22" l="1"/>
  <c r="R7" i="22"/>
  <c r="S7" i="22" s="1"/>
  <c r="V7" i="22" s="1"/>
  <c r="Y7" i="22" s="1"/>
  <c r="R6" i="22"/>
  <c r="S6" i="22" s="1"/>
  <c r="V6" i="22" s="1"/>
  <c r="Y6" i="22" s="1"/>
  <c r="Z6" i="22"/>
  <c r="F6" i="1"/>
  <c r="J6" i="2" l="1"/>
  <c r="K6" i="2" s="1"/>
  <c r="F24" i="1"/>
  <c r="I22" i="1" l="1"/>
  <c r="J22" i="1" s="1"/>
  <c r="K22" i="1" s="1"/>
  <c r="Z22" i="11" s="1"/>
  <c r="I20" i="1"/>
  <c r="J20" i="1" s="1"/>
  <c r="K20" i="1" s="1"/>
  <c r="Z20" i="11" s="1"/>
  <c r="I18" i="1"/>
  <c r="J18" i="1" s="1"/>
  <c r="K18" i="1" s="1"/>
  <c r="Z18" i="11" s="1"/>
  <c r="I12" i="1"/>
  <c r="J12" i="1" s="1"/>
  <c r="K12" i="1" s="1"/>
  <c r="Z12" i="11" s="1"/>
  <c r="I10" i="1"/>
  <c r="J10" i="1" s="1"/>
  <c r="K10" i="1" s="1"/>
  <c r="Z10" i="11" s="1"/>
  <c r="I8" i="1"/>
  <c r="J8" i="1" s="1"/>
  <c r="K8" i="1" s="1"/>
  <c r="Z8" i="11" s="1"/>
  <c r="I23" i="1"/>
  <c r="J23" i="1" s="1"/>
  <c r="K23" i="1" s="1"/>
  <c r="Z23" i="11" s="1"/>
  <c r="I21" i="1"/>
  <c r="J21" i="1" s="1"/>
  <c r="K21" i="1" s="1"/>
  <c r="Z21" i="11" s="1"/>
  <c r="I19" i="1"/>
  <c r="I11" i="1"/>
  <c r="J11" i="1" s="1"/>
  <c r="K11" i="1" s="1"/>
  <c r="Z11" i="11" s="1"/>
  <c r="I9" i="1"/>
  <c r="J9" i="1" s="1"/>
  <c r="K9" i="1" s="1"/>
  <c r="Z9" i="11" s="1"/>
  <c r="I7" i="1"/>
  <c r="J7" i="1" s="1"/>
  <c r="K7" i="1" s="1"/>
  <c r="Z7" i="11" s="1"/>
  <c r="I6" i="1"/>
  <c r="J6" i="1" l="1"/>
  <c r="K6" i="1" s="1"/>
  <c r="Z6" i="11" s="1"/>
  <c r="I13" i="1"/>
  <c r="J19" i="1"/>
  <c r="K19" i="1" s="1"/>
  <c r="Z19" i="11" s="1"/>
  <c r="I17" i="1"/>
  <c r="J17" i="1" s="1"/>
  <c r="K17" i="1" s="1"/>
  <c r="Z17" i="11" s="1"/>
  <c r="L6" i="1" l="1"/>
  <c r="L17" i="1"/>
  <c r="I24" i="1"/>
  <c r="I27" i="1" s="1"/>
  <c r="L24" i="1" l="1"/>
</calcChain>
</file>

<file path=xl/sharedStrings.xml><?xml version="1.0" encoding="utf-8"?>
<sst xmlns="http://schemas.openxmlformats.org/spreadsheetml/2006/main" count="207" uniqueCount="149">
  <si>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</si>
  <si>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</si>
  <si>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</si>
  <si>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</si>
  <si>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</si>
  <si>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</si>
  <si>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</si>
  <si>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</si>
  <si>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</si>
  <si>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</si>
  <si>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Įvestiniai duomenys</t>
  </si>
  <si>
    <t>Suskaičiuoti duomenys</t>
  </si>
  <si>
    <t>Skaičiavimus atlikusio asmens inicialai, data</t>
  </si>
  <si>
    <t>Darbuotojo inicialai, data</t>
  </si>
  <si>
    <t xml:space="preserve"> </t>
  </si>
  <si>
    <t>Atsakingo asmens inicialai, data</t>
  </si>
  <si>
    <t>Izokine-tiškumas (0,95-1,15)</t>
  </si>
  <si>
    <t xml:space="preserve"> Izokine-tiškumo vidurkis  (0,95-1,15)</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</si>
  <si>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</si>
  <si>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</si>
  <si>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</si>
  <si>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</si>
  <si>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</si>
  <si>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</si>
  <si>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</si>
  <si>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S.Č., 2025-05-03</t>
  </si>
  <si>
    <t>TŠ 001   H2O</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</si>
  <si>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</si>
  <si>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</si>
  <si>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</si>
  <si>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</si>
  <si>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</si>
  <si>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</si>
  <si>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</si>
  <si>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</si>
  <si>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Vidurkių vidurkis qn, (kg/m3)</t>
  </si>
  <si>
    <t xml:space="preserve"> Izokine-tiškumo vidurkių vidurkis</t>
  </si>
  <si>
    <t>Viso suma Vmn(sum), Nm3.</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</si>
  <si>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</si>
  <si>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</si>
  <si>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</si>
  <si>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</si>
  <si>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</si>
  <si>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</si>
  <si>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</si>
  <si>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</si>
  <si>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</si>
  <si>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</si>
  <si>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</si>
  <si>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</si>
  <si>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</si>
  <si>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</si>
  <si>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r>
      <t>Temperatūra ortakyje t</t>
    </r>
    <r>
      <rPr>
        <b/>
        <vertAlign val="subscript"/>
        <sz val="11"/>
        <rFont val="Times New Roman"/>
        <family val="1"/>
        <charset val="186"/>
      </rPr>
      <t>or</t>
    </r>
    <r>
      <rPr>
        <b/>
        <sz val="11"/>
        <rFont val="Times New Roman"/>
        <family val="1"/>
        <charset val="186"/>
      </rPr>
      <t xml:space="preserve"> (°C)</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</si>
  <si>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</si>
  <si>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</si>
  <si>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</si>
  <si>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</si>
  <si>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</si>
  <si>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</si>
  <si>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</si>
  <si>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</si>
  <si>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</si>
  <si>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</si>
  <si>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</si>
  <si>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</si>
  <si>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</si>
  <si>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</si>
  <si>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</si>
  <si>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</si>
  <si>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</si>
  <si>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</si>
  <si>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</si>
  <si>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</si>
  <si>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</si>
  <si>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</si>
  <si>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</si>
  <si>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</si>
  <si>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</si>
  <si>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</si>
  <si>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</si>
  <si>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</si>
  <si>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</si>
  <si>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</si>
  <si>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</si>
  <si>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</si>
  <si>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</si>
  <si>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</si>
  <si>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</si>
  <si>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</si>
  <si>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</si>
  <si>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Planuojama surinkti dulkių masė m, g (</t>
    </r>
    <r>
      <rPr>
        <sz val="12"/>
        <color rgb="FFFF0000"/>
        <rFont val="Times New Roman"/>
        <family val="1"/>
        <charset val="186"/>
      </rPr>
      <t>&lt;2,20 g</t>
    </r>
    <r>
      <rPr>
        <sz val="12"/>
        <rFont val="Times New Roman"/>
        <family val="1"/>
        <charset val="186"/>
      </rPr>
      <t>)</t>
    </r>
  </si>
  <si>
    <t>Skerspjūvio plotas A  (m2)</t>
  </si>
  <si>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</si>
  <si>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</si>
  <si>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</si>
  <si>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</si>
  <si>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</si>
  <si>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</si>
  <si>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</si>
  <si>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t>Suma t, min</t>
  </si>
  <si>
    <t>Viso 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</si>
  <si>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</si>
  <si>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</si>
  <si>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</si>
  <si>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</si>
  <si>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Filtrų skaičius Fsk (vnt.)</t>
  </si>
  <si>
    <t>Drėgmės kiekis X (%) (izokinetinei sistemai)</t>
  </si>
  <si>
    <t>S.Č., 2026-05-02</t>
  </si>
  <si>
    <t>1 linija, 1 filtras</t>
  </si>
  <si>
    <t>1 linija, 2 filtras</t>
  </si>
  <si>
    <t>Skaičiuoklė kietųjų dalelių koncentracijai nustatyti. H2O skaičiavimas</t>
  </si>
  <si>
    <t>Debitas pagal matuotą diferencinį slėgį</t>
  </si>
  <si>
    <t>Matavimo taškai ortakyje nuo vidinės sienelės, cm</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</si>
  <si>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</si>
  <si>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</si>
  <si>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</si>
  <si>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</si>
  <si>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</si>
  <si>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</si>
  <si>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</si>
  <si>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</si>
  <si>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</si>
  <si>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</si>
  <si>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</si>
  <si>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</si>
  <si>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</si>
  <si>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</si>
  <si>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normaliosioms sąlygomis Vn= Vdr n.s *((1/(1+(x*qn/0.8038)))</t>
  </si>
  <si>
    <t>Išplėstinė neapibrėžtis (dujų tūrio debitas) Uv</t>
  </si>
  <si>
    <t>Išplėstinė neapibrėžtis (dujų srauto greitis) Uw</t>
  </si>
  <si>
    <t>Sausų dujų tankis normaliosioms sąlygomis qn, (kg/m3)</t>
  </si>
  <si>
    <t xml:space="preserve">Skaičiavimus atliko (data, inicialai) </t>
  </si>
  <si>
    <t>S.Č. 2026-</t>
  </si>
  <si>
    <t>Iš Aerodinamika</t>
  </si>
  <si>
    <t xml:space="preserve">   </t>
  </si>
  <si>
    <t xml:space="preserve">                                                                                                                                                                                                                                                                                                                                                                                                                                                                                                                                                                                                                                                                                                                                                                                                                                                                                                                                                                                                                                                                                                                                                                                                                                                                                                                                                        </t>
  </si>
  <si>
    <t>RPU**</t>
  </si>
  <si>
    <t>vidurinis taškas 2 matavimas</t>
  </si>
  <si>
    <t xml:space="preserve">                     </t>
  </si>
  <si>
    <t>Debitas pagal matuotą dujų greitį</t>
  </si>
  <si>
    <t>UAB ,,Ekopartneris", L. Ivinskio g. 65, Kaunas. Katilinė. Taršos šaltinis  Nr. 001.</t>
  </si>
  <si>
    <t xml:space="preserve">Vidurkis Vo (l/min) </t>
  </si>
  <si>
    <t xml:space="preserve">Vidurkių vidurkis Vo vid (l/min) </t>
  </si>
  <si>
    <t>Suma Vmk (m3)</t>
  </si>
  <si>
    <t>Viso suma Vmk(sum), m3.</t>
  </si>
  <si>
    <t>Išmatuotas diferencinis slėgis taškuose    1 linija, Pdi, hPa</t>
  </si>
  <si>
    <t>Išmatuotas diferencinis slėgis  taškuose    2 linija, Pdi, hPa</t>
  </si>
  <si>
    <t>Išplėstinės neapibrėžties koef. A</t>
  </si>
  <si>
    <t>Srauto greitis ortakyje wor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</si>
</sst>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1"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sz val="12"/>
      <color rgb="FFFF000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21">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287">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0" fontId="8" fillId="0" borderId="0" xfId="0" applyFont="1" applyAlignment="1" applyProtection="1">
      <alignment horizontal="center"/>
      <protection locked="0"/>
    </xf>
    <xf numFmtId="0" fontId="4" fillId="0" borderId="0" xfId="0" applyFont="1" applyAlignment="1" applyProtection="1">
      <alignment horizontal="center"/>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0" fontId="4" fillId="3" borderId="0" xfId="0" applyFont="1" applyFill="1" applyProtection="1">
      <protection locked="0"/>
    </xf>
    <xf numFmtId="0" fontId="4" fillId="4" borderId="0" xfId="0" applyFont="1" applyFill="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8" xfId="0" applyFont="1" applyBorder="1" applyProtection="1">
      <protection locked="0"/>
    </xf>
    <xf numFmtId="170" fontId="4" fillId="0" borderId="10" xfId="0" applyNumberFormat="1" applyFont="1" applyBorder="1" applyAlignment="1" applyProtection="1">
      <alignment horizontal="center" vertical="center"/>
      <protection locked="0"/>
    </xf>
    <xf numFmtId="0" fontId="8" fillId="5" borderId="4" xfId="0" applyFont="1" applyFill="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167" fontId="4" fillId="0" borderId="5" xfId="0" applyNumberFormat="1" applyFont="1" applyBorder="1" applyAlignment="1" applyProtection="1">
      <alignment horizontal="center"/>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4" fillId="5" borderId="4" xfId="0" applyFont="1" applyFill="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4" fillId="0" borderId="10" xfId="0" applyFont="1" applyBorder="1" applyProtection="1">
      <protection locked="0"/>
    </xf>
    <xf numFmtId="0" fontId="4" fillId="0" borderId="5" xfId="0" applyFont="1" applyBorder="1" applyAlignment="1" applyProtection="1">
      <alignment horizontal="center" vertical="center"/>
      <protection locked="0"/>
    </xf>
    <xf numFmtId="167" fontId="4" fillId="0" borderId="10" xfId="0" applyNumberFormat="1" applyFont="1" applyBorder="1" applyAlignment="1" applyProtection="1">
      <alignment horizont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0" fontId="4" fillId="2" borderId="8" xfId="0" applyFont="1" applyFill="1" applyBorder="1" applyAlignment="1">
      <alignment horizontal="center" vertical="center"/>
    </xf>
    <xf numFmtId="14" fontId="4" fillId="2" borderId="10" xfId="0" applyNumberFormat="1" applyFont="1" applyFill="1" applyBorder="1" applyAlignment="1">
      <alignment vertical="center"/>
    </xf>
    <xf numFmtId="0" fontId="4" fillId="2" borderId="10" xfId="0" applyFont="1" applyFill="1" applyBorder="1" applyAlignment="1">
      <alignment horizontal="center" vertical="center" wrapText="1"/>
    </xf>
    <xf numFmtId="171" fontId="4" fillId="2" borderId="4" xfId="0" applyNumberFormat="1" applyFont="1" applyFill="1" applyBorder="1" applyAlignment="1">
      <alignment horizontal="center" vertical="center" wrapText="1"/>
    </xf>
    <xf numFmtId="164" fontId="4" fillId="2" borderId="4" xfId="0" applyNumberFormat="1" applyFont="1" applyFill="1" applyBorder="1" applyAlignment="1">
      <alignment horizontal="center" vertical="center"/>
    </xf>
    <xf numFmtId="167" fontId="4" fillId="2" borderId="6"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4" fillId="2" borderId="13" xfId="0" applyFont="1" applyFill="1" applyBorder="1" applyAlignment="1">
      <alignment horizontal="center" vertical="center"/>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166" fontId="4" fillId="0" borderId="0" xfId="0" applyNumberFormat="1" applyFont="1" applyAlignment="1" applyProtection="1">
      <alignment horizontal="center" vertical="top" wrapText="1"/>
      <protection locked="0"/>
    </xf>
    <xf numFmtId="166" fontId="4" fillId="0" borderId="4" xfId="0" applyNumberFormat="1" applyFont="1" applyBorder="1" applyAlignment="1" applyProtection="1">
      <alignment horizontal="center" vertical="top" wrapText="1"/>
      <protection locked="0"/>
    </xf>
    <xf numFmtId="14" fontId="4" fillId="2" borderId="8" xfId="0" applyNumberFormat="1" applyFont="1" applyFill="1" applyBorder="1" applyAlignment="1">
      <alignment vertical="center"/>
    </xf>
    <xf numFmtId="166" fontId="4" fillId="2" borderId="13" xfId="0" applyNumberFormat="1" applyFont="1" applyFill="1" applyBorder="1" applyAlignment="1">
      <alignment horizontal="center" vertical="center"/>
    </xf>
    <xf numFmtId="167" fontId="4" fillId="2" borderId="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166" fontId="4" fillId="2" borderId="5" xfId="0" applyNumberFormat="1" applyFont="1" applyFill="1" applyBorder="1" applyAlignment="1">
      <alignment horizontal="center" vertical="center"/>
    </xf>
    <xf numFmtId="166" fontId="8" fillId="2" borderId="4" xfId="0" applyNumberFormat="1" applyFont="1" applyFill="1" applyBorder="1" applyAlignment="1">
      <alignment horizontal="center" vertical="top"/>
    </xf>
    <xf numFmtId="2" fontId="4" fillId="2" borderId="4" xfId="0" applyNumberFormat="1" applyFont="1" applyFill="1" applyBorder="1" applyAlignment="1">
      <alignment horizontal="center" vertical="center"/>
    </xf>
    <xf numFmtId="170"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2" fontId="4" fillId="2" borderId="5" xfId="0" applyNumberFormat="1" applyFont="1" applyFill="1" applyBorder="1" applyAlignment="1">
      <alignment horizontal="center" vertical="center"/>
    </xf>
    <xf numFmtId="165" fontId="4" fillId="2" borderId="5" xfId="0" applyNumberFormat="1" applyFont="1" applyFill="1" applyBorder="1" applyAlignment="1">
      <alignment horizontal="center" vertical="center"/>
    </xf>
    <xf numFmtId="170" fontId="4" fillId="2" borderId="5" xfId="0" applyNumberFormat="1" applyFont="1" applyFill="1" applyBorder="1" applyAlignment="1">
      <alignment vertical="center"/>
    </xf>
    <xf numFmtId="0" fontId="4" fillId="2" borderId="5" xfId="0" applyFont="1" applyFill="1" applyBorder="1" applyAlignment="1">
      <alignment horizontal="center" vertical="center" wrapText="1"/>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2" fontId="8" fillId="2" borderId="5"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68" fontId="8" fillId="2" borderId="15" xfId="0" applyNumberFormat="1" applyFont="1" applyFill="1" applyBorder="1" applyAlignment="1">
      <alignment horizontal="center" vertical="center"/>
    </xf>
    <xf numFmtId="166" fontId="8" fillId="0" borderId="16" xfId="0" applyNumberFormat="1" applyFont="1" applyBorder="1" applyAlignment="1">
      <alignment vertical="center"/>
    </xf>
    <xf numFmtId="166" fontId="8" fillId="0" borderId="0" xfId="0" applyNumberFormat="1" applyFont="1" applyAlignment="1">
      <alignment vertical="center"/>
    </xf>
    <xf numFmtId="168"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0" fontId="13" fillId="5" borderId="4" xfId="0" applyFont="1" applyFill="1" applyBorder="1" applyAlignment="1" applyProtection="1">
      <alignment horizontal="center" vertical="center" wrapText="1"/>
      <protection locked="0"/>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0" fontId="4" fillId="0" borderId="9" xfId="0" applyFont="1" applyBorder="1" applyAlignment="1" applyProtection="1">
      <alignment horizontal="center"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3" xfId="0" applyFont="1" applyBorder="1" applyProtection="1">
      <protection locked="0"/>
    </xf>
    <xf numFmtId="0" fontId="4"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4" fillId="0" borderId="11" xfId="0" applyFont="1" applyBorder="1" applyAlignment="1" applyProtection="1">
      <alignment horizontal="center" vertical="center"/>
      <protection locked="0"/>
    </xf>
    <xf numFmtId="0" fontId="4" fillId="2" borderId="7" xfId="0" applyFont="1" applyFill="1" applyBorder="1" applyAlignment="1">
      <alignment horizontal="center" vertical="center"/>
    </xf>
    <xf numFmtId="171" fontId="4" fillId="2" borderId="10" xfId="0" applyNumberFormat="1" applyFont="1" applyFill="1" applyBorder="1" applyAlignment="1">
      <alignment horizontal="center" vertical="center" wrapText="1"/>
    </xf>
    <xf numFmtId="167" fontId="8" fillId="2" borderId="11" xfId="0" applyNumberFormat="1" applyFont="1" applyFill="1" applyBorder="1" applyAlignment="1">
      <alignment horizontal="center" vertical="center"/>
    </xf>
    <xf numFmtId="0" fontId="8" fillId="0" borderId="4" xfId="1" applyFont="1" applyBorder="1" applyAlignment="1" applyProtection="1">
      <alignment horizontal="center" vertical="center" wrapText="1"/>
      <protection locked="0"/>
    </xf>
    <xf numFmtId="167" fontId="8" fillId="2" borderId="4" xfId="0" applyNumberFormat="1" applyFont="1" applyFill="1" applyBorder="1" applyAlignment="1">
      <alignment horizontal="center" vertical="center"/>
    </xf>
    <xf numFmtId="164" fontId="8" fillId="2" borderId="5" xfId="0" applyNumberFormat="1" applyFont="1" applyFill="1" applyBorder="1" applyAlignment="1">
      <alignment horizontal="center" vertical="center"/>
    </xf>
    <xf numFmtId="164" fontId="8" fillId="2" borderId="10" xfId="0" applyNumberFormat="1" applyFont="1" applyFill="1" applyBorder="1" applyAlignment="1">
      <alignment vertical="center"/>
    </xf>
    <xf numFmtId="164" fontId="8" fillId="2" borderId="8" xfId="0" applyNumberFormat="1" applyFont="1" applyFill="1" applyBorder="1" applyAlignment="1">
      <alignment vertical="center"/>
    </xf>
    <xf numFmtId="167" fontId="8" fillId="2" borderId="5" xfId="0" applyNumberFormat="1" applyFont="1" applyFill="1" applyBorder="1" applyAlignment="1">
      <alignment horizontal="center" vertical="center"/>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172" fontId="4" fillId="2" borderId="10" xfId="0" applyNumberFormat="1" applyFont="1" applyFill="1" applyBorder="1" applyAlignment="1">
      <alignment horizontal="center" vertical="center"/>
    </xf>
    <xf numFmtId="164" fontId="4" fillId="2" borderId="11" xfId="0" applyNumberFormat="1" applyFont="1" applyFill="1" applyBorder="1" applyAlignment="1">
      <alignment horizontal="center" vertical="center"/>
    </xf>
    <xf numFmtId="0" fontId="4" fillId="2" borderId="12" xfId="0" applyFont="1" applyFill="1" applyBorder="1" applyAlignment="1">
      <alignment horizontal="center" vertical="center"/>
    </xf>
    <xf numFmtId="0" fontId="17" fillId="0" borderId="0" xfId="0" applyFont="1" applyAlignment="1" applyProtection="1">
      <alignment horizontal="center" vertical="center"/>
      <protection locked="0"/>
    </xf>
    <xf numFmtId="0" fontId="17" fillId="8"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2" fontId="17" fillId="2" borderId="4" xfId="0" applyNumberFormat="1" applyFont="1" applyFill="1" applyBorder="1" applyAlignment="1">
      <alignment horizontal="center" vertical="center"/>
    </xf>
    <xf numFmtId="0" fontId="17" fillId="0" borderId="4"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1" fontId="18" fillId="0" borderId="4" xfId="0"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49" fontId="4" fillId="0" borderId="14"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13" fillId="5" borderId="5"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9" fillId="0" borderId="17" xfId="0" applyFont="1" applyBorder="1" applyAlignment="1" applyProtection="1">
      <alignment wrapText="1"/>
      <protection locked="0"/>
    </xf>
    <xf numFmtId="0" fontId="29" fillId="0" borderId="7" xfId="0" applyFont="1" applyBorder="1" applyProtection="1">
      <protection locked="0"/>
    </xf>
    <xf numFmtId="0" fontId="29" fillId="0" borderId="13" xfId="0" applyFont="1" applyBorder="1" applyProtection="1">
      <protection locked="0"/>
    </xf>
    <xf numFmtId="0" fontId="29" fillId="0" borderId="13" xfId="0" applyFont="1" applyBorder="1" applyAlignment="1" applyProtection="1">
      <alignment wrapText="1"/>
      <protection locked="0"/>
    </xf>
    <xf numFmtId="1" fontId="8" fillId="2" borderId="4" xfId="0" applyNumberFormat="1" applyFont="1" applyFill="1" applyBorder="1" applyAlignment="1">
      <alignment horizontal="center" vertical="top"/>
    </xf>
    <xf numFmtId="1" fontId="8" fillId="2" borderId="4" xfId="0" applyNumberFormat="1" applyFont="1" applyFill="1" applyBorder="1" applyAlignment="1">
      <alignment horizontal="center" vertical="center"/>
    </xf>
    <xf numFmtId="166" fontId="8" fillId="2" borderId="4" xfId="0" applyNumberFormat="1" applyFont="1" applyFill="1" applyBorder="1" applyAlignment="1">
      <alignment horizontal="center" vertical="center"/>
    </xf>
    <xf numFmtId="0" fontId="8" fillId="0" borderId="0" xfId="0" applyFont="1" applyAlignment="1" applyProtection="1">
      <alignment horizontal="center" vertical="center"/>
      <protection locked="0"/>
    </xf>
    <xf numFmtId="164" fontId="4" fillId="2" borderId="9"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168" fontId="4" fillId="2" borderId="10" xfId="0" applyNumberFormat="1" applyFont="1" applyFill="1" applyBorder="1" applyAlignment="1">
      <alignment horizontal="center" vertical="center"/>
    </xf>
    <xf numFmtId="0" fontId="9" fillId="5" borderId="4" xfId="0" applyFont="1" applyFill="1" applyBorder="1" applyAlignment="1" applyProtection="1">
      <alignment horizontal="center" vertical="center"/>
      <protection locked="0"/>
    </xf>
    <xf numFmtId="1" fontId="9" fillId="5" borderId="4" xfId="0" applyNumberFormat="1"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167" fontId="14" fillId="5" borderId="4" xfId="0" applyNumberFormat="1" applyFont="1" applyFill="1" applyBorder="1" applyAlignment="1" applyProtection="1">
      <alignment horizontal="center" vertical="center"/>
      <protection locked="0"/>
    </xf>
    <xf numFmtId="166" fontId="14" fillId="5" borderId="4" xfId="0" applyNumberFormat="1"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2" fontId="20" fillId="5" borderId="5" xfId="0" applyNumberFormat="1" applyFont="1" applyFill="1" applyBorder="1" applyAlignment="1" applyProtection="1">
      <alignment horizontal="center" vertical="center"/>
      <protection locked="0"/>
    </xf>
    <xf numFmtId="165" fontId="20" fillId="5" borderId="5" xfId="0" applyNumberFormat="1" applyFont="1" applyFill="1" applyBorder="1" applyAlignment="1" applyProtection="1">
      <alignment horizontal="center" vertical="center"/>
      <protection locked="0"/>
    </xf>
    <xf numFmtId="2" fontId="20" fillId="5" borderId="4" xfId="0" applyNumberFormat="1" applyFont="1" applyFill="1" applyBorder="1" applyAlignment="1" applyProtection="1">
      <alignment horizontal="center" vertical="center"/>
      <protection locked="0"/>
    </xf>
    <xf numFmtId="1" fontId="20" fillId="5" borderId="4" xfId="0" applyNumberFormat="1" applyFont="1" applyFill="1" applyBorder="1" applyAlignment="1" applyProtection="1">
      <alignment horizontal="center" vertical="center"/>
      <protection locked="0"/>
    </xf>
    <xf numFmtId="167" fontId="20" fillId="5" borderId="4" xfId="0" applyNumberFormat="1" applyFont="1" applyFill="1" applyBorder="1" applyAlignment="1" applyProtection="1">
      <alignment horizontal="center" vertical="center"/>
      <protection locked="0"/>
    </xf>
    <xf numFmtId="0" fontId="20" fillId="5" borderId="4" xfId="0" applyFont="1" applyFill="1" applyBorder="1" applyAlignment="1" applyProtection="1">
      <alignment horizontal="center" vertical="center"/>
      <protection locked="0"/>
    </xf>
    <xf numFmtId="167" fontId="8" fillId="7" borderId="4" xfId="0" applyNumberFormat="1" applyFont="1" applyFill="1" applyBorder="1" applyAlignment="1">
      <alignment horizontal="center" vertical="center"/>
    </xf>
    <xf numFmtId="167" fontId="4" fillId="2" borderId="4" xfId="0" applyNumberFormat="1" applyFont="1" applyFill="1" applyBorder="1" applyAlignment="1" applyProtection="1">
      <alignment horizontal="center" vertical="center"/>
      <protection locked="0"/>
    </xf>
    <xf numFmtId="2" fontId="8" fillId="2" borderId="8" xfId="0" applyNumberFormat="1" applyFont="1" applyFill="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0" fillId="8" borderId="4" xfId="0" applyFont="1" applyFill="1" applyBorder="1" applyAlignment="1">
      <alignment horizontal="center" vertical="center" wrapText="1"/>
    </xf>
    <xf numFmtId="0" fontId="10" fillId="8" borderId="4" xfId="0" applyFont="1" applyFill="1" applyBorder="1" applyAlignment="1" applyProtection="1">
      <alignment horizontal="center" vertical="center" wrapText="1"/>
      <protection locked="0"/>
    </xf>
    <xf numFmtId="0" fontId="30" fillId="8" borderId="4" xfId="0" applyFont="1" applyFill="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0" fontId="30"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166" fontId="9" fillId="0" borderId="4" xfId="0" applyNumberFormat="1" applyFont="1" applyBorder="1" applyAlignment="1" applyProtection="1">
      <alignment horizontal="center" vertical="center" wrapText="1"/>
      <protection locked="0"/>
    </xf>
    <xf numFmtId="167" fontId="9" fillId="10" borderId="4" xfId="0" applyNumberFormat="1" applyFont="1" applyFill="1" applyBorder="1" applyAlignment="1">
      <alignment horizontal="center" vertical="center"/>
    </xf>
    <xf numFmtId="2" fontId="9" fillId="0" borderId="4" xfId="0" applyNumberFormat="1" applyFont="1" applyBorder="1" applyAlignment="1" applyProtection="1">
      <alignment horizontal="center" vertical="center"/>
      <protection locked="0"/>
    </xf>
    <xf numFmtId="167" fontId="9" fillId="2" borderId="4" xfId="0" applyNumberFormat="1" applyFont="1" applyFill="1" applyBorder="1" applyAlignment="1">
      <alignment horizontal="center" vertical="center"/>
    </xf>
    <xf numFmtId="0" fontId="9" fillId="2" borderId="4" xfId="0" applyFont="1" applyFill="1" applyBorder="1" applyAlignment="1">
      <alignment horizontal="center" vertical="center"/>
    </xf>
    <xf numFmtId="2" fontId="9" fillId="0" borderId="5" xfId="0" applyNumberFormat="1" applyFont="1" applyBorder="1" applyAlignment="1" applyProtection="1">
      <alignment horizontal="center" vertical="center"/>
      <protection locked="0"/>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6" fontId="12" fillId="10"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8" fontId="12" fillId="10" borderId="4" xfId="0" applyNumberFormat="1" applyFont="1" applyFill="1" applyBorder="1" applyAlignment="1">
      <alignment horizontal="center" vertical="center"/>
    </xf>
    <xf numFmtId="166" fontId="12" fillId="0" borderId="4" xfId="0" applyNumberFormat="1" applyFont="1" applyBorder="1" applyAlignment="1" applyProtection="1">
      <alignment horizontal="center" vertical="center" wrapText="1"/>
      <protection locked="0"/>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2" fontId="12" fillId="10" borderId="4" xfId="0" applyNumberFormat="1" applyFont="1" applyFill="1" applyBorder="1" applyAlignment="1">
      <alignment horizontal="center" vertical="center"/>
    </xf>
    <xf numFmtId="166" fontId="9" fillId="10" borderId="4" xfId="0" applyNumberFormat="1" applyFont="1" applyFill="1" applyBorder="1" applyAlignment="1">
      <alignment horizontal="center" vertical="center"/>
    </xf>
    <xf numFmtId="1" fontId="9" fillId="10" borderId="4" xfId="0" applyNumberFormat="1" applyFont="1" applyFill="1" applyBorder="1" applyAlignment="1">
      <alignment horizontal="center" vertical="center"/>
    </xf>
    <xf numFmtId="2" fontId="9" fillId="10"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2" fontId="9" fillId="0" borderId="19" xfId="0" applyNumberFormat="1"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166" fontId="9" fillId="0" borderId="5" xfId="0" applyNumberFormat="1" applyFont="1" applyBorder="1" applyAlignment="1" applyProtection="1">
      <alignment horizontal="center" vertical="center" wrapText="1"/>
      <protection locked="0"/>
    </xf>
    <xf numFmtId="167"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0" fontId="30" fillId="0" borderId="14" xfId="0" applyFont="1" applyBorder="1" applyAlignment="1" applyProtection="1">
      <alignment horizontal="center" vertical="center"/>
      <protection locked="0"/>
    </xf>
    <xf numFmtId="2" fontId="9" fillId="0" borderId="20" xfId="0" applyNumberFormat="1" applyFont="1" applyBorder="1" applyAlignment="1" applyProtection="1">
      <alignment horizontal="center" vertical="center"/>
      <protection locked="0"/>
    </xf>
    <xf numFmtId="0" fontId="30" fillId="0" borderId="17"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166" fontId="30" fillId="0" borderId="4" xfId="0" applyNumberFormat="1" applyFont="1" applyBorder="1" applyAlignment="1" applyProtection="1">
      <alignment horizontal="center" vertical="center"/>
      <protection locked="0"/>
    </xf>
    <xf numFmtId="2" fontId="30" fillId="0" borderId="4" xfId="0" applyNumberFormat="1" applyFont="1" applyBorder="1" applyAlignment="1" applyProtection="1">
      <alignment horizontal="center" vertical="center"/>
      <protection locked="0"/>
    </xf>
    <xf numFmtId="0" fontId="30" fillId="0" borderId="4" xfId="0" applyFont="1" applyBorder="1" applyAlignment="1" applyProtection="1">
      <alignment horizontal="center" vertical="center" wrapText="1"/>
      <protection locked="0"/>
    </xf>
    <xf numFmtId="168" fontId="9" fillId="8" borderId="4" xfId="0" applyNumberFormat="1" applyFont="1" applyFill="1" applyBorder="1" applyAlignment="1" applyProtection="1">
      <alignment horizontal="center" vertical="center"/>
      <protection locked="0"/>
    </xf>
    <xf numFmtId="0" fontId="12" fillId="8" borderId="4" xfId="0" applyFont="1" applyFill="1" applyBorder="1" applyAlignment="1" applyProtection="1">
      <alignment horizontal="center" vertical="center"/>
      <protection locked="0"/>
    </xf>
    <xf numFmtId="166" fontId="9" fillId="0" borderId="5" xfId="0" applyNumberFormat="1"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10" borderId="4" xfId="0"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8"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165" fontId="4" fillId="0" borderId="8"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4" xfId="0" applyNumberFormat="1" applyFont="1" applyBorder="1" applyAlignment="1" applyProtection="1">
      <alignment horizontal="center" vertical="center"/>
      <protection locked="0"/>
    </xf>
    <xf numFmtId="165" fontId="4" fillId="0" borderId="9"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165" fontId="4" fillId="0" borderId="17" xfId="0" applyNumberFormat="1" applyFont="1" applyBorder="1" applyAlignment="1" applyProtection="1">
      <alignment horizontal="center" vertical="center"/>
      <protection locked="0"/>
    </xf>
    <xf numFmtId="165" fontId="4" fillId="0" borderId="13"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vertical="center"/>
      <protection locked="0"/>
    </xf>
    <xf numFmtId="2" fontId="20" fillId="11" borderId="4" xfId="0" applyNumberFormat="1" applyFont="1" applyFill="1" applyBorder="1" applyAlignment="1" applyProtection="1">
      <alignment horizontal="center" vertical="center"/>
      <protection locked="0"/>
    </xf>
    <xf numFmtId="0" fontId="4" fillId="10" borderId="4" xfId="0" applyFont="1" applyFill="1" applyBorder="1" applyAlignment="1">
      <alignment horizontal="center" vertical="center"/>
    </xf>
    <xf numFmtId="0" fontId="4" fillId="0" borderId="4" xfId="0" applyFont="1" applyBorder="1" applyAlignment="1" applyProtection="1">
      <alignment horizontal="center" wrapText="1"/>
      <protection locked="0"/>
    </xf>
    <xf numFmtId="0" fontId="10" fillId="2" borderId="5" xfId="0" applyFont="1" applyFill="1" applyBorder="1" applyAlignment="1">
      <alignment horizontal="center" vertical="top" wrapText="1"/>
    </xf>
    <xf numFmtId="0" fontId="10" fillId="2" borderId="10" xfId="0" applyFont="1" applyFill="1" applyBorder="1" applyAlignment="1">
      <alignment horizontal="center" vertical="top" wrapText="1"/>
    </xf>
    <xf numFmtId="0" fontId="10" fillId="2" borderId="8" xfId="0" applyFont="1" applyFill="1" applyBorder="1" applyAlignment="1">
      <alignment horizontal="center" vertical="top" wrapText="1"/>
    </xf>
    <xf numFmtId="0" fontId="4" fillId="0" borderId="4" xfId="0" applyFont="1" applyBorder="1" applyAlignment="1" applyProtection="1">
      <alignment horizontal="center" vertical="center" wrapText="1"/>
      <protection locked="0"/>
    </xf>
    <xf numFmtId="0" fontId="10" fillId="6" borderId="0" xfId="0" applyFont="1" applyFill="1" applyAlignment="1" applyProtection="1">
      <alignment horizontal="center" vertical="center" wrapText="1"/>
      <protection locked="0"/>
    </xf>
    <xf numFmtId="0" fontId="26" fillId="0" borderId="0" xfId="0" applyFont="1" applyAlignment="1" applyProtection="1">
      <alignment horizontal="center" vertical="center"/>
      <protection locked="0"/>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0" xfId="0" applyFont="1" applyAlignment="1" applyProtection="1">
      <alignment horizontal="center" vertical="center"/>
      <protection locked="0"/>
    </xf>
    <xf numFmtId="14" fontId="30" fillId="0" borderId="5" xfId="0" applyNumberFormat="1" applyFont="1" applyBorder="1" applyAlignment="1" applyProtection="1">
      <alignment horizontal="center" vertical="top"/>
      <protection locked="0"/>
    </xf>
    <xf numFmtId="0" fontId="30" fillId="0" borderId="10" xfId="0" applyFont="1" applyBorder="1" applyAlignment="1" applyProtection="1">
      <alignment horizontal="center" vertical="top"/>
      <protection locked="0"/>
    </xf>
    <xf numFmtId="0" fontId="30" fillId="0" borderId="8" xfId="0" applyFont="1" applyBorder="1" applyAlignment="1" applyProtection="1">
      <alignment horizontal="center" vertical="top"/>
      <protection locked="0"/>
    </xf>
    <xf numFmtId="0" fontId="30" fillId="0" borderId="5" xfId="0" applyFont="1" applyBorder="1" applyAlignment="1" applyProtection="1">
      <alignment horizontal="center" vertical="top"/>
      <protection locked="0"/>
    </xf>
    <xf numFmtId="0" fontId="30" fillId="0" borderId="5" xfId="0" applyFont="1" applyBorder="1" applyAlignment="1" applyProtection="1">
      <alignment horizontal="center" vertical="top" wrapText="1"/>
      <protection locked="0"/>
    </xf>
    <xf numFmtId="0" fontId="30" fillId="0" borderId="10" xfId="0" applyFont="1" applyBorder="1" applyAlignment="1" applyProtection="1">
      <alignment horizontal="center" vertical="top" wrapText="1"/>
      <protection locked="0"/>
    </xf>
    <xf numFmtId="0" fontId="30" fillId="0" borderId="8" xfId="0" applyFont="1" applyBorder="1" applyAlignment="1" applyProtection="1">
      <alignment horizontal="center" vertical="top" wrapText="1"/>
      <protection locked="0"/>
    </xf>
    <xf numFmtId="0" fontId="18" fillId="0" borderId="11"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30" fillId="0" borderId="10" xfId="0" applyFont="1" applyBorder="1" applyAlignment="1" applyProtection="1">
      <alignment horizontal="center" vertical="center"/>
      <protection locked="0"/>
    </xf>
    <xf numFmtId="0" fontId="30" fillId="0" borderId="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14"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8" fillId="0" borderId="0" xfId="0" applyFont="1" applyAlignment="1" applyProtection="1">
      <alignment horizontal="center" vertical="center"/>
      <protection locked="0"/>
    </xf>
    <xf numFmtId="169" fontId="4" fillId="2" borderId="10" xfId="0" applyNumberFormat="1" applyFont="1" applyFill="1" applyBorder="1" applyAlignment="1">
      <alignment horizontal="center" vertical="top" wrapText="1"/>
    </xf>
    <xf numFmtId="169" fontId="4" fillId="2" borderId="8" xfId="0" applyNumberFormat="1"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8" xfId="0" applyFont="1" applyFill="1" applyBorder="1" applyAlignment="1">
      <alignment horizontal="center" vertical="top" wrapText="1"/>
    </xf>
    <xf numFmtId="0" fontId="8" fillId="9" borderId="4"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9" borderId="5" xfId="0" applyFont="1" applyFill="1" applyBorder="1" applyAlignment="1" applyProtection="1">
      <alignment horizontal="center" vertical="center" wrapText="1"/>
      <protection locked="0"/>
    </xf>
    <xf numFmtId="0" fontId="8" fillId="9" borderId="8" xfId="0" applyFont="1" applyFill="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6" fillId="0" borderId="18"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5" x14ac:dyDescent="0.25"/>
  <cols>
    <col min="1" max="1" width="1.1796875" customWidth="1"/>
    <col min="2" max="2" width="64.453125" customWidth="1"/>
    <col min="3" max="3" width="1.54296875" customWidth="1"/>
    <col min="4" max="4" width="5.54296875" customWidth="1"/>
    <col min="5" max="5" width="16" customWidth="1"/>
  </cols>
  <sheetData>
    <row r="1" spans="2:5" ht="13" x14ac:dyDescent="0.25">
      <c r="B1" s="1" t="s">
        <v>0</v>
      </c>
      <c r="C1" s="1"/>
      <c r="D1" s="5"/>
      <c r="E1" s="5"/>
    </row>
    <row r="2" spans="2:5" ht="13" x14ac:dyDescent="0.25">
      <c r="B2" s="1" t="s">
        <v>1</v>
      </c>
      <c r="C2" s="1"/>
      <c r="D2" s="5"/>
      <c r="E2" s="5"/>
    </row>
    <row r="3" spans="2:5" x14ac:dyDescent="0.25">
      <c r="B3" s="2"/>
      <c r="C3" s="2"/>
      <c r="D3" s="6"/>
      <c r="E3" s="6"/>
    </row>
    <row r="4" spans="2:5" ht="37.5" x14ac:dyDescent="0.25">
      <c r="B4" s="2" t="s">
        <v>2</v>
      </c>
      <c r="C4" s="2"/>
      <c r="D4" s="6"/>
      <c r="E4" s="6"/>
    </row>
    <row r="5" spans="2:5" x14ac:dyDescent="0.25">
      <c r="B5" s="2"/>
      <c r="C5" s="2"/>
      <c r="D5" s="6"/>
      <c r="E5" s="6"/>
    </row>
    <row r="6" spans="2:5" ht="13" x14ac:dyDescent="0.25">
      <c r="B6" s="1" t="s">
        <v>3</v>
      </c>
      <c r="C6" s="1"/>
      <c r="D6" s="5"/>
      <c r="E6" s="5" t="s">
        <v>4</v>
      </c>
    </row>
    <row r="7" spans="2:5" ht="13" thickBot="1" x14ac:dyDescent="0.3">
      <c r="B7" s="2"/>
      <c r="C7" s="2"/>
      <c r="D7" s="6"/>
      <c r="E7" s="6"/>
    </row>
    <row r="8" spans="2:5" ht="38" thickBot="1" x14ac:dyDescent="0.3">
      <c r="B8" s="3" t="s">
        <v>5</v>
      </c>
      <c r="C8" s="4"/>
      <c r="D8" s="7"/>
      <c r="E8" s="8">
        <v>1</v>
      </c>
    </row>
    <row r="9" spans="2:5" x14ac:dyDescent="0.25">
      <c r="B9" s="2"/>
      <c r="C9" s="2"/>
      <c r="D9" s="6"/>
      <c r="E9" s="6"/>
    </row>
    <row r="10" spans="2:5" x14ac:dyDescent="0.25">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2596-9505-46B1-9C72-7B9E673D2867}">
  <dimension ref="A3:AB27"/>
  <sheetViews>
    <sheetView zoomScale="80" zoomScaleNormal="80" workbookViewId="0">
      <selection activeCell="B2" sqref="B2"/>
    </sheetView>
  </sheetViews>
  <sheetFormatPr defaultColWidth="9.1796875" defaultRowHeight="15.5" x14ac:dyDescent="0.25"/>
  <cols>
    <col min="1" max="1" width="11.26953125" style="175" customWidth="1"/>
    <col min="2" max="2" width="11.453125" style="175" customWidth="1"/>
    <col min="3" max="3" width="14.26953125" style="175" customWidth="1"/>
    <col min="4" max="4" width="9.1796875" style="175"/>
    <col min="5" max="6" width="10.26953125" style="175" customWidth="1"/>
    <col min="7" max="7" width="10.54296875" style="175" customWidth="1"/>
    <col min="8" max="12" width="9.1796875" style="175"/>
    <col min="13" max="13" width="11.1796875" style="175" customWidth="1"/>
    <col min="14" max="14" width="11.453125" style="175" customWidth="1"/>
    <col min="15" max="15" width="9.1796875" style="175"/>
    <col min="16" max="16" width="10.54296875" style="175" customWidth="1"/>
    <col min="17" max="17" width="9.54296875" style="175" bestFit="1" customWidth="1"/>
    <col min="18" max="18" width="9.1796875" style="175"/>
    <col min="19" max="19" width="11.26953125" style="175" customWidth="1"/>
    <col min="20" max="20" width="11.7265625" style="175" customWidth="1"/>
    <col min="21" max="21" width="10" style="175" customWidth="1"/>
    <col min="22" max="22" width="11.7265625" style="175" customWidth="1"/>
    <col min="23" max="23" width="11.453125" style="175" customWidth="1"/>
    <col min="24" max="24" width="10.26953125" style="175" customWidth="1"/>
    <col min="25" max="25" width="9.7265625" style="175" customWidth="1"/>
    <col min="26" max="26" width="10" style="175" customWidth="1"/>
    <col min="27" max="16384" width="9.1796875" style="175"/>
  </cols>
  <sheetData>
    <row r="3" spans="1:28" x14ac:dyDescent="0.25">
      <c r="D3" s="248" t="s">
        <v>111</v>
      </c>
      <c r="E3" s="248"/>
      <c r="F3" s="248"/>
      <c r="G3" s="248"/>
      <c r="H3" s="248"/>
      <c r="I3" s="248"/>
      <c r="J3" s="248"/>
      <c r="K3" s="248"/>
      <c r="L3" s="248"/>
      <c r="M3" s="248"/>
      <c r="N3" s="248"/>
      <c r="O3" s="248"/>
      <c r="P3" s="248"/>
      <c r="Q3" s="248"/>
      <c r="R3" s="248"/>
      <c r="S3" s="248"/>
      <c r="T3" s="248"/>
      <c r="U3" s="248"/>
      <c r="V3" s="248"/>
      <c r="W3" s="248"/>
      <c r="X3" s="248"/>
      <c r="Y3" s="248"/>
      <c r="Z3" s="248"/>
      <c r="AA3" s="176"/>
    </row>
    <row r="5" spans="1:28" s="10" customFormat="1" ht="126" x14ac:dyDescent="0.25">
      <c r="A5" s="9" t="s">
        <v>8</v>
      </c>
      <c r="B5" s="9" t="s">
        <v>83</v>
      </c>
      <c r="C5" s="9" t="s">
        <v>9</v>
      </c>
      <c r="D5" s="46" t="s">
        <v>112</v>
      </c>
      <c r="E5" s="46" t="s">
        <v>145</v>
      </c>
      <c r="F5" s="46" t="s">
        <v>146</v>
      </c>
      <c r="G5" s="9" t="s">
        <v>113</v>
      </c>
      <c r="H5" s="9" t="s">
        <v>114</v>
      </c>
      <c r="I5" s="9" t="s">
        <v>115</v>
      </c>
      <c r="J5" s="9" t="s">
        <v>116</v>
      </c>
      <c r="K5" s="9" t="s">
        <v>117</v>
      </c>
      <c r="L5" s="9" t="s">
        <v>118</v>
      </c>
      <c r="M5" s="9" t="s">
        <v>119</v>
      </c>
      <c r="N5" s="9" t="s">
        <v>120</v>
      </c>
      <c r="O5" s="9" t="s">
        <v>121</v>
      </c>
      <c r="P5" s="9" t="s">
        <v>122</v>
      </c>
      <c r="Q5" s="9" t="s">
        <v>123</v>
      </c>
      <c r="R5" s="9" t="s">
        <v>124</v>
      </c>
      <c r="S5" s="9" t="s">
        <v>125</v>
      </c>
      <c r="T5" s="9" t="s">
        <v>27</v>
      </c>
      <c r="U5" s="177" t="s">
        <v>126</v>
      </c>
      <c r="V5" s="177" t="s">
        <v>127</v>
      </c>
      <c r="W5" s="178" t="s">
        <v>28</v>
      </c>
      <c r="X5" s="9" t="s">
        <v>147</v>
      </c>
      <c r="Y5" s="9" t="s">
        <v>128</v>
      </c>
      <c r="Z5" s="9" t="s">
        <v>129</v>
      </c>
      <c r="AA5" s="179" t="s">
        <v>130</v>
      </c>
      <c r="AB5" s="180" t="s">
        <v>131</v>
      </c>
    </row>
    <row r="6" spans="1:28" ht="16" thickBot="1" x14ac:dyDescent="0.3">
      <c r="A6" s="249">
        <v>46210</v>
      </c>
      <c r="B6" s="252">
        <v>7</v>
      </c>
      <c r="C6" s="253" t="s">
        <v>140</v>
      </c>
      <c r="D6" s="182">
        <v>1</v>
      </c>
      <c r="E6" s="183">
        <v>0.14000000000000001</v>
      </c>
      <c r="F6" s="184"/>
      <c r="G6" s="103">
        <v>0.83599999999999997</v>
      </c>
      <c r="H6" s="185">
        <f>Paėmimas!V9</f>
        <v>40</v>
      </c>
      <c r="I6" s="13">
        <v>1000</v>
      </c>
      <c r="J6" s="186">
        <v>-1</v>
      </c>
      <c r="K6" s="187">
        <f>SUM(I6:J6)</f>
        <v>999</v>
      </c>
      <c r="L6" s="188">
        <f>AA6*22.4</f>
        <v>29.060863999999988</v>
      </c>
      <c r="M6" s="76">
        <f>G6*129*(SQRT(E6*(273+H6)/(I6+J6)/L6))</f>
        <v>4.1898181061790636</v>
      </c>
      <c r="N6" s="76"/>
      <c r="O6" s="76">
        <f>AVERAGE(M6:M12)</f>
        <v>4.1898181061790636</v>
      </c>
      <c r="P6" s="189">
        <v>1</v>
      </c>
      <c r="Q6" s="190">
        <f>+(3.14*P6*P6/4)</f>
        <v>0.78500000000000003</v>
      </c>
      <c r="R6" s="191">
        <f>O6*Q6</f>
        <v>3.289007213350565</v>
      </c>
      <c r="S6" s="191">
        <f>+(I6+J6)/(273+H6)*0.269*R6</f>
        <v>2.8238281068719191</v>
      </c>
      <c r="T6" s="192">
        <f>H2O!I7</f>
        <v>5.0000000000000001E-3</v>
      </c>
      <c r="U6" s="193">
        <f>T6/(1.29*W6)</f>
        <v>4.2265197828811746E-2</v>
      </c>
      <c r="V6" s="194">
        <f>S6*1/(1+(U6*1.29/0.8038))</f>
        <v>2.6444536597096731</v>
      </c>
      <c r="W6" s="195">
        <f>H2O!H7</f>
        <v>9.1705923344947746E-2</v>
      </c>
      <c r="X6" s="196">
        <v>8.3000000000000004E-2</v>
      </c>
      <c r="Y6" s="197">
        <f>V6*X6</f>
        <v>0.21948965375590287</v>
      </c>
      <c r="Z6" s="198">
        <f>O6*X6</f>
        <v>0.34775490281286231</v>
      </c>
      <c r="AA6" s="199">
        <f>Aerodinamika!G27</f>
        <v>1.2973599999999996</v>
      </c>
      <c r="AB6" s="246" t="s">
        <v>132</v>
      </c>
    </row>
    <row r="7" spans="1:28" x14ac:dyDescent="0.25">
      <c r="A7" s="250"/>
      <c r="B7" s="250"/>
      <c r="C7" s="254"/>
      <c r="D7" s="182">
        <v>2</v>
      </c>
      <c r="E7" s="183">
        <v>0.14000000000000001</v>
      </c>
      <c r="F7" s="184"/>
      <c r="G7" s="200">
        <f>(G6)</f>
        <v>0.83599999999999997</v>
      </c>
      <c r="H7" s="185">
        <f t="shared" ref="H7:J7" si="0">(H6)</f>
        <v>40</v>
      </c>
      <c r="I7" s="201">
        <f t="shared" si="0"/>
        <v>1000</v>
      </c>
      <c r="J7" s="202">
        <f t="shared" si="0"/>
        <v>-1</v>
      </c>
      <c r="K7" s="187">
        <f t="shared" ref="K7:K12" si="1">SUM(I7:J7)</f>
        <v>999</v>
      </c>
      <c r="L7" s="188">
        <f>AA6*22.4</f>
        <v>29.060863999999988</v>
      </c>
      <c r="M7" s="76">
        <f t="shared" ref="M7:M12" si="2">G7*129*(SQRT(E7*(273+H7)/(I7+J7)/L7))</f>
        <v>4.1898181061790636</v>
      </c>
      <c r="N7" s="76"/>
      <c r="O7" s="203"/>
      <c r="P7" s="204">
        <v>0.5</v>
      </c>
      <c r="Q7" s="205">
        <f>+(P8*P7)</f>
        <v>0.25</v>
      </c>
      <c r="R7" s="191">
        <f>O6*Q7</f>
        <v>1.0474545265447659</v>
      </c>
      <c r="S7" s="191">
        <f>+(I6+J6)/(273+H6)*0.269*R7</f>
        <v>0.89930831429042013</v>
      </c>
      <c r="T7" s="192">
        <f>H2O!I7</f>
        <v>5.0000000000000001E-3</v>
      </c>
      <c r="U7" s="193">
        <f>T7/(1.29*W7)</f>
        <v>4.2265197828811746E-2</v>
      </c>
      <c r="V7" s="194">
        <f>S7*(1/(1+(U7*1.29/0.8038)))</f>
        <v>0.84218269417505509</v>
      </c>
      <c r="W7" s="195">
        <f>H2O!H7</f>
        <v>9.1705923344947746E-2</v>
      </c>
      <c r="X7" s="196">
        <v>8.3000000000000004E-2</v>
      </c>
      <c r="Y7" s="197">
        <f>V7*X7</f>
        <v>6.990116361652958E-2</v>
      </c>
      <c r="Z7" s="198">
        <f>O6*X7</f>
        <v>0.34775490281286231</v>
      </c>
      <c r="AB7" s="247"/>
    </row>
    <row r="8" spans="1:28" x14ac:dyDescent="0.25">
      <c r="A8" s="250"/>
      <c r="B8" s="250"/>
      <c r="C8" s="254"/>
      <c r="D8" s="206">
        <v>3</v>
      </c>
      <c r="E8" s="183">
        <v>0.14000000000000001</v>
      </c>
      <c r="F8" s="207"/>
      <c r="G8" s="200">
        <f>(G6)</f>
        <v>0.83599999999999997</v>
      </c>
      <c r="H8" s="185">
        <f t="shared" ref="H8:J8" si="3">(H6)</f>
        <v>40</v>
      </c>
      <c r="I8" s="201">
        <f t="shared" si="3"/>
        <v>1000</v>
      </c>
      <c r="J8" s="202">
        <f t="shared" si="3"/>
        <v>-1</v>
      </c>
      <c r="K8" s="208">
        <f t="shared" si="1"/>
        <v>999</v>
      </c>
      <c r="L8" s="188">
        <f>AA6*22.4</f>
        <v>29.060863999999988</v>
      </c>
      <c r="M8" s="209">
        <f t="shared" si="2"/>
        <v>4.1898181061790636</v>
      </c>
      <c r="N8" s="209"/>
      <c r="O8" s="210"/>
      <c r="P8" s="211">
        <v>0.5</v>
      </c>
      <c r="Q8" s="212"/>
      <c r="R8" s="181"/>
      <c r="S8" s="181"/>
    </row>
    <row r="9" spans="1:28" x14ac:dyDescent="0.25">
      <c r="A9" s="250"/>
      <c r="B9" s="250"/>
      <c r="C9" s="254"/>
      <c r="D9" s="182">
        <v>4</v>
      </c>
      <c r="E9" s="183">
        <v>0.14000000000000001</v>
      </c>
      <c r="F9" s="184"/>
      <c r="G9" s="200">
        <f>(G6)</f>
        <v>0.83599999999999997</v>
      </c>
      <c r="H9" s="185">
        <f t="shared" ref="H9:J9" si="4">(H6)</f>
        <v>40</v>
      </c>
      <c r="I9" s="201">
        <f t="shared" si="4"/>
        <v>1000</v>
      </c>
      <c r="J9" s="202">
        <f t="shared" si="4"/>
        <v>-1</v>
      </c>
      <c r="K9" s="187">
        <f t="shared" si="1"/>
        <v>999</v>
      </c>
      <c r="L9" s="188">
        <f>AA6*22.4</f>
        <v>29.060863999999988</v>
      </c>
      <c r="M9" s="209">
        <f t="shared" si="2"/>
        <v>4.1898181061790636</v>
      </c>
      <c r="N9" s="209"/>
      <c r="O9" s="213"/>
      <c r="P9" s="213"/>
      <c r="Q9" s="213"/>
      <c r="R9" s="213"/>
      <c r="S9" s="213"/>
      <c r="W9" s="214" t="s">
        <v>133</v>
      </c>
      <c r="AA9" s="214" t="s">
        <v>133</v>
      </c>
    </row>
    <row r="10" spans="1:28" x14ac:dyDescent="0.25">
      <c r="A10" s="250"/>
      <c r="B10" s="250"/>
      <c r="C10" s="254"/>
      <c r="D10" s="182">
        <v>5</v>
      </c>
      <c r="E10" s="183">
        <v>0.14000000000000001</v>
      </c>
      <c r="F10" s="184"/>
      <c r="G10" s="200">
        <f>(G6)</f>
        <v>0.83599999999999997</v>
      </c>
      <c r="H10" s="185">
        <f t="shared" ref="H10:J10" si="5">(H6)</f>
        <v>40</v>
      </c>
      <c r="I10" s="201">
        <f t="shared" si="5"/>
        <v>1000</v>
      </c>
      <c r="J10" s="202">
        <f t="shared" si="5"/>
        <v>-1</v>
      </c>
      <c r="K10" s="187">
        <f t="shared" si="1"/>
        <v>999</v>
      </c>
      <c r="L10" s="188">
        <f>AA6*22.4</f>
        <v>29.060863999999988</v>
      </c>
      <c r="M10" s="209">
        <f t="shared" si="2"/>
        <v>4.1898181061790636</v>
      </c>
      <c r="N10" s="209"/>
    </row>
    <row r="11" spans="1:28" x14ac:dyDescent="0.25">
      <c r="A11" s="250"/>
      <c r="B11" s="250"/>
      <c r="C11" s="254"/>
      <c r="D11" s="182">
        <v>6</v>
      </c>
      <c r="E11" s="183">
        <v>0.14000000000000001</v>
      </c>
      <c r="F11" s="184"/>
      <c r="G11" s="200">
        <f>(G6)</f>
        <v>0.83599999999999997</v>
      </c>
      <c r="H11" s="185">
        <f t="shared" ref="H11:J11" si="6">(H6)</f>
        <v>40</v>
      </c>
      <c r="I11" s="201">
        <f t="shared" si="6"/>
        <v>1000</v>
      </c>
      <c r="J11" s="202">
        <f t="shared" si="6"/>
        <v>-1</v>
      </c>
      <c r="K11" s="187">
        <f t="shared" si="1"/>
        <v>999</v>
      </c>
      <c r="L11" s="188">
        <f>AA6*22.4</f>
        <v>29.060863999999988</v>
      </c>
      <c r="M11" s="209">
        <f t="shared" si="2"/>
        <v>4.1898181061790636</v>
      </c>
      <c r="N11" s="209"/>
    </row>
    <row r="12" spans="1:28" x14ac:dyDescent="0.25">
      <c r="A12" s="251"/>
      <c r="B12" s="251"/>
      <c r="C12" s="255"/>
      <c r="D12" s="182">
        <v>7</v>
      </c>
      <c r="E12" s="183">
        <v>0.14000000000000001</v>
      </c>
      <c r="F12" s="184"/>
      <c r="G12" s="200">
        <f>(G6)</f>
        <v>0.83599999999999997</v>
      </c>
      <c r="H12" s="185">
        <f t="shared" ref="H12:J12" si="7">(H6)</f>
        <v>40</v>
      </c>
      <c r="I12" s="201">
        <f t="shared" si="7"/>
        <v>1000</v>
      </c>
      <c r="J12" s="202">
        <f t="shared" si="7"/>
        <v>-1</v>
      </c>
      <c r="K12" s="187">
        <f t="shared" si="1"/>
        <v>999</v>
      </c>
      <c r="L12" s="188">
        <f>AA6*22.4</f>
        <v>29.060863999999988</v>
      </c>
      <c r="M12" s="209">
        <f t="shared" si="2"/>
        <v>4.1898181061790636</v>
      </c>
      <c r="N12" s="209"/>
    </row>
    <row r="13" spans="1:28" x14ac:dyDescent="0.25">
      <c r="A13" s="213"/>
      <c r="B13" s="213"/>
      <c r="C13" s="213"/>
      <c r="D13" s="213"/>
      <c r="E13" s="183"/>
      <c r="F13" s="184"/>
      <c r="G13" s="215"/>
      <c r="H13" s="213"/>
      <c r="I13" s="213"/>
      <c r="J13" s="216"/>
      <c r="K13" s="213"/>
      <c r="L13" s="213"/>
      <c r="M13" s="213"/>
      <c r="N13" s="186"/>
      <c r="O13" s="175" t="s">
        <v>134</v>
      </c>
      <c r="P13" s="175" t="s">
        <v>135</v>
      </c>
    </row>
    <row r="14" spans="1:28" x14ac:dyDescent="0.25">
      <c r="D14" s="182" t="s">
        <v>136</v>
      </c>
      <c r="E14" s="183">
        <v>0</v>
      </c>
      <c r="F14" s="184"/>
      <c r="G14" s="200">
        <f>(G6)</f>
        <v>0.83599999999999997</v>
      </c>
      <c r="H14" s="185">
        <f>(H6)</f>
        <v>40</v>
      </c>
      <c r="I14" s="201">
        <f>(I6)</f>
        <v>1000</v>
      </c>
      <c r="J14" s="202">
        <f>(J6)</f>
        <v>-1</v>
      </c>
      <c r="K14" s="187">
        <f t="shared" ref="K14" si="8">SUM(I14:J14)</f>
        <v>999</v>
      </c>
      <c r="L14" s="188">
        <f>AA6*22.4</f>
        <v>29.060863999999988</v>
      </c>
      <c r="M14" s="209">
        <f t="shared" ref="M14" si="9">G14*129*(SQRT(E14*(273+H14)/(I14+J14)/L14))</f>
        <v>0</v>
      </c>
      <c r="N14" s="209"/>
      <c r="O14" s="256" t="s">
        <v>137</v>
      </c>
      <c r="P14" s="257"/>
      <c r="Q14" s="257"/>
    </row>
    <row r="15" spans="1:28" x14ac:dyDescent="0.25">
      <c r="A15" s="213"/>
      <c r="B15" s="213"/>
      <c r="C15" s="213"/>
      <c r="D15" s="213"/>
      <c r="E15" s="103"/>
      <c r="F15" s="103"/>
      <c r="G15" s="215"/>
      <c r="H15" s="213"/>
      <c r="I15" s="213"/>
      <c r="J15" s="213"/>
      <c r="K15" s="213"/>
      <c r="L15" s="213"/>
      <c r="M15" s="213"/>
      <c r="N15" s="186"/>
    </row>
    <row r="16" spans="1:28" x14ac:dyDescent="0.25">
      <c r="A16" s="217"/>
      <c r="B16" s="217"/>
      <c r="C16" s="217"/>
      <c r="D16" s="213"/>
      <c r="E16" s="103"/>
      <c r="F16" s="103"/>
      <c r="G16" s="215"/>
      <c r="H16" s="213"/>
      <c r="I16" s="213"/>
      <c r="J16" s="213"/>
      <c r="K16" s="213"/>
      <c r="L16" s="213"/>
      <c r="M16" s="213"/>
      <c r="N16" s="186"/>
      <c r="P16" s="175" t="s">
        <v>138</v>
      </c>
    </row>
    <row r="17" spans="1:28" x14ac:dyDescent="0.25">
      <c r="A17" s="213"/>
      <c r="B17" s="213"/>
      <c r="C17" s="213"/>
      <c r="D17" s="213"/>
      <c r="E17" s="13"/>
      <c r="F17" s="13"/>
      <c r="G17" s="213"/>
      <c r="H17" s="213"/>
      <c r="I17" s="213"/>
      <c r="J17" s="213"/>
      <c r="K17" s="213"/>
      <c r="L17" s="213"/>
      <c r="M17" s="213"/>
      <c r="N17" s="186"/>
    </row>
    <row r="18" spans="1:28" x14ac:dyDescent="0.25">
      <c r="A18" s="213"/>
      <c r="B18" s="213"/>
      <c r="C18" s="213"/>
      <c r="D18" s="258" t="s">
        <v>139</v>
      </c>
      <c r="E18" s="248"/>
      <c r="F18" s="248"/>
      <c r="G18" s="248"/>
      <c r="H18" s="248"/>
      <c r="I18" s="248"/>
      <c r="J18" s="248"/>
      <c r="K18" s="248"/>
      <c r="L18" s="248"/>
      <c r="M18" s="248"/>
      <c r="N18" s="248"/>
      <c r="O18" s="248"/>
      <c r="P18" s="248"/>
      <c r="Q18" s="248"/>
      <c r="R18" s="248"/>
      <c r="S18" s="248"/>
      <c r="T18" s="248"/>
      <c r="U18" s="248"/>
      <c r="V18" s="248"/>
      <c r="W18" s="248"/>
      <c r="X18" s="248"/>
      <c r="Y18" s="248"/>
    </row>
    <row r="19" spans="1:28" x14ac:dyDescent="0.25">
      <c r="A19" s="213"/>
      <c r="B19" s="213"/>
      <c r="C19" s="213"/>
      <c r="D19" s="213"/>
      <c r="E19" s="13"/>
      <c r="F19" s="13"/>
      <c r="G19" s="213"/>
      <c r="H19" s="213"/>
      <c r="I19" s="213"/>
      <c r="J19" s="213"/>
      <c r="K19" s="213"/>
      <c r="L19" s="213"/>
      <c r="M19" s="213"/>
      <c r="N19" s="186"/>
    </row>
    <row r="20" spans="1:28" s="10" customFormat="1" ht="126" x14ac:dyDescent="0.25">
      <c r="A20" s="9" t="s">
        <v>8</v>
      </c>
      <c r="B20" s="9" t="s">
        <v>83</v>
      </c>
      <c r="C20" s="9" t="s">
        <v>9</v>
      </c>
      <c r="D20" s="46" t="s">
        <v>112</v>
      </c>
      <c r="E20" s="46" t="s">
        <v>145</v>
      </c>
      <c r="F20" s="46" t="s">
        <v>146</v>
      </c>
      <c r="G20" s="9" t="s">
        <v>113</v>
      </c>
      <c r="H20" s="9" t="s">
        <v>114</v>
      </c>
      <c r="I20" s="9" t="s">
        <v>115</v>
      </c>
      <c r="J20" s="9" t="s">
        <v>116</v>
      </c>
      <c r="K20" s="9" t="s">
        <v>117</v>
      </c>
      <c r="L20" s="9" t="s">
        <v>118</v>
      </c>
      <c r="M20" s="9" t="s">
        <v>119</v>
      </c>
      <c r="N20" s="9" t="s">
        <v>120</v>
      </c>
      <c r="O20" s="9" t="s">
        <v>121</v>
      </c>
      <c r="P20" s="9" t="s">
        <v>122</v>
      </c>
      <c r="Q20" s="9" t="s">
        <v>123</v>
      </c>
      <c r="R20" s="9" t="s">
        <v>124</v>
      </c>
      <c r="S20" s="9" t="s">
        <v>125</v>
      </c>
      <c r="T20" s="9" t="s">
        <v>27</v>
      </c>
      <c r="U20" s="177" t="s">
        <v>126</v>
      </c>
      <c r="V20" s="177" t="s">
        <v>127</v>
      </c>
      <c r="W20" s="178" t="s">
        <v>28</v>
      </c>
      <c r="X20" s="9" t="s">
        <v>147</v>
      </c>
      <c r="Y20" s="9" t="s">
        <v>128</v>
      </c>
      <c r="Z20" s="9" t="s">
        <v>129</v>
      </c>
      <c r="AA20" s="179" t="s">
        <v>130</v>
      </c>
      <c r="AB20" s="180" t="s">
        <v>131</v>
      </c>
    </row>
    <row r="21" spans="1:28" ht="16" thickBot="1" x14ac:dyDescent="0.3">
      <c r="A21" s="259"/>
      <c r="B21" s="259"/>
      <c r="C21" s="259"/>
      <c r="D21" s="182">
        <v>3</v>
      </c>
      <c r="E21" s="184"/>
      <c r="F21" s="184"/>
      <c r="G21" s="103"/>
      <c r="H21" s="13">
        <v>17.899999999999999</v>
      </c>
      <c r="I21" s="13">
        <v>1007</v>
      </c>
      <c r="J21" s="13">
        <v>0.32</v>
      </c>
      <c r="K21" s="187">
        <f>SUM(I21:J21)</f>
        <v>1007.32</v>
      </c>
      <c r="L21" s="188">
        <f>AA21*22.4</f>
        <v>30.24</v>
      </c>
      <c r="M21" s="186">
        <v>12.51770397558823</v>
      </c>
      <c r="N21" s="186"/>
      <c r="O21" s="76">
        <f>AVERAGE(M21:M27)</f>
        <v>11.378198571789714</v>
      </c>
      <c r="P21" s="189">
        <v>0.3</v>
      </c>
      <c r="Q21" s="190">
        <f>+(3.14*P21*P21/4)</f>
        <v>7.0649999999999991E-2</v>
      </c>
      <c r="R21" s="191">
        <f>O21*Q21</f>
        <v>0.80386972909694321</v>
      </c>
      <c r="S21" s="191">
        <f>+(I21+J21)/(273+H21)*0.269*R21</f>
        <v>0.74879285298469567</v>
      </c>
      <c r="T21" s="48">
        <v>0</v>
      </c>
      <c r="U21" s="193">
        <f>T21/(1.29*W21)</f>
        <v>0</v>
      </c>
      <c r="V21" s="194">
        <f>S21*1/(1+(U21*1.29/0.8038))</f>
        <v>0.74879285298469567</v>
      </c>
      <c r="W21" s="218">
        <v>1</v>
      </c>
      <c r="X21" s="182">
        <v>8.3000000000000004E-2</v>
      </c>
      <c r="Y21" s="194">
        <f>V21*X21</f>
        <v>6.2149806797729745E-2</v>
      </c>
      <c r="Z21" s="194">
        <f>O21*X21</f>
        <v>0.94439048145854632</v>
      </c>
      <c r="AA21" s="219">
        <v>1.35</v>
      </c>
      <c r="AB21" s="246"/>
    </row>
    <row r="22" spans="1:28" x14ac:dyDescent="0.25">
      <c r="A22" s="260"/>
      <c r="B22" s="260"/>
      <c r="C22" s="260"/>
      <c r="D22" s="182">
        <v>15</v>
      </c>
      <c r="E22" s="184"/>
      <c r="F22" s="184"/>
      <c r="G22" s="103"/>
      <c r="H22" s="13">
        <v>17.899999999999999</v>
      </c>
      <c r="I22" s="13">
        <v>1007</v>
      </c>
      <c r="J22" s="13">
        <v>0.32</v>
      </c>
      <c r="K22" s="187">
        <f t="shared" ref="K22:K27" si="10">SUM(I22:J22)</f>
        <v>1007.32</v>
      </c>
      <c r="L22" s="188">
        <f>AA21*22.4</f>
        <v>30.24</v>
      </c>
      <c r="M22" s="186">
        <v>11.814194837363964</v>
      </c>
      <c r="N22" s="186"/>
      <c r="O22" s="203"/>
      <c r="P22" s="204">
        <v>0.35</v>
      </c>
      <c r="Q22" s="205">
        <f>+(P23*P22)</f>
        <v>0.13999999999999999</v>
      </c>
      <c r="R22" s="191">
        <f>O21*Q22</f>
        <v>1.5929478000505597</v>
      </c>
      <c r="S22" s="191">
        <f>+(I21+J21)/(273+H21)*0.269*R22</f>
        <v>1.4838074935294745</v>
      </c>
      <c r="T22" s="48">
        <v>0</v>
      </c>
      <c r="U22" s="193">
        <f>T22/(1.29*W22)</f>
        <v>0</v>
      </c>
      <c r="V22" s="194">
        <f>S22*(1/(1+(U22*1.29/0.8038)))</f>
        <v>1.4838074935294745</v>
      </c>
      <c r="W22" s="218">
        <v>1</v>
      </c>
      <c r="X22" s="182">
        <v>8.3000000000000004E-2</v>
      </c>
      <c r="Y22" s="194">
        <f>V22*X22</f>
        <v>0.12315602196294639</v>
      </c>
      <c r="Z22" s="194">
        <f>O21*X22</f>
        <v>0.94439048145854632</v>
      </c>
      <c r="AB22" s="247"/>
    </row>
    <row r="23" spans="1:28" x14ac:dyDescent="0.25">
      <c r="A23" s="260"/>
      <c r="B23" s="260"/>
      <c r="C23" s="260"/>
      <c r="D23" s="206">
        <v>27</v>
      </c>
      <c r="E23" s="207"/>
      <c r="F23" s="207"/>
      <c r="G23" s="220"/>
      <c r="H23" s="221">
        <v>17.899999999999999</v>
      </c>
      <c r="I23" s="13">
        <v>1007</v>
      </c>
      <c r="J23" s="221">
        <v>0.32</v>
      </c>
      <c r="K23" s="208">
        <f t="shared" si="10"/>
        <v>1007.32</v>
      </c>
      <c r="L23" s="188">
        <f>AA21*22.4</f>
        <v>30.24</v>
      </c>
      <c r="M23" s="189">
        <v>12.464997619490303</v>
      </c>
      <c r="N23" s="189"/>
      <c r="O23" s="210"/>
      <c r="P23" s="211">
        <v>0.4</v>
      </c>
      <c r="Q23" s="212"/>
      <c r="R23" s="181"/>
      <c r="S23" s="181"/>
    </row>
    <row r="24" spans="1:28" x14ac:dyDescent="0.25">
      <c r="A24" s="260"/>
      <c r="B24" s="260"/>
      <c r="C24" s="260"/>
      <c r="D24" s="182">
        <v>4</v>
      </c>
      <c r="E24" s="184"/>
      <c r="F24" s="184"/>
      <c r="G24" s="103"/>
      <c r="H24" s="221">
        <v>17.899999999999999</v>
      </c>
      <c r="I24" s="13">
        <v>1007</v>
      </c>
      <c r="J24" s="13">
        <v>0.32</v>
      </c>
      <c r="K24" s="187">
        <f t="shared" si="10"/>
        <v>1007.32</v>
      </c>
      <c r="L24" s="188">
        <f>AA21*22.4</f>
        <v>30.24</v>
      </c>
      <c r="M24" s="189">
        <v>11.243119139705524</v>
      </c>
      <c r="N24" s="189"/>
      <c r="O24" s="213"/>
      <c r="P24" s="213"/>
      <c r="Q24" s="213"/>
      <c r="R24" s="213"/>
      <c r="S24" s="213"/>
      <c r="W24" s="214" t="s">
        <v>133</v>
      </c>
      <c r="AA24" s="214" t="s">
        <v>133</v>
      </c>
    </row>
    <row r="25" spans="1:28" x14ac:dyDescent="0.25">
      <c r="A25" s="260"/>
      <c r="B25" s="260"/>
      <c r="C25" s="260"/>
      <c r="D25" s="182">
        <v>7</v>
      </c>
      <c r="E25" s="184"/>
      <c r="F25" s="184"/>
      <c r="G25" s="103"/>
      <c r="H25" s="221">
        <v>17.899999999999999</v>
      </c>
      <c r="I25" s="13">
        <v>1007</v>
      </c>
      <c r="J25" s="13">
        <v>0.32</v>
      </c>
      <c r="K25" s="187">
        <f t="shared" si="10"/>
        <v>1007.32</v>
      </c>
      <c r="L25" s="188">
        <f>AA21*22.4</f>
        <v>30.24</v>
      </c>
      <c r="M25" s="189">
        <v>10.263516615891321</v>
      </c>
      <c r="N25" s="189"/>
    </row>
    <row r="26" spans="1:28" x14ac:dyDescent="0.25">
      <c r="A26" s="260"/>
      <c r="B26" s="260"/>
      <c r="C26" s="260"/>
      <c r="D26" s="182">
        <v>7</v>
      </c>
      <c r="E26" s="184"/>
      <c r="F26" s="184"/>
      <c r="G26" s="103"/>
      <c r="H26" s="221">
        <v>17.899999999999999</v>
      </c>
      <c r="I26" s="13">
        <v>1007</v>
      </c>
      <c r="J26" s="13">
        <v>0.32</v>
      </c>
      <c r="K26" s="187">
        <f t="shared" si="10"/>
        <v>1007.32</v>
      </c>
      <c r="L26" s="188">
        <f>AA21*22.4</f>
        <v>30.24</v>
      </c>
      <c r="M26" s="189">
        <v>10.764467040088189</v>
      </c>
      <c r="N26" s="189"/>
    </row>
    <row r="27" spans="1:28" x14ac:dyDescent="0.25">
      <c r="A27" s="261"/>
      <c r="B27" s="261"/>
      <c r="C27" s="261"/>
      <c r="D27" s="182">
        <v>7</v>
      </c>
      <c r="E27" s="184"/>
      <c r="F27" s="184"/>
      <c r="G27" s="103"/>
      <c r="H27" s="13">
        <v>17.899999999999999</v>
      </c>
      <c r="I27" s="13">
        <v>1007</v>
      </c>
      <c r="J27" s="13">
        <v>0.32</v>
      </c>
      <c r="K27" s="187">
        <f t="shared" si="10"/>
        <v>1007.32</v>
      </c>
      <c r="L27" s="188">
        <f>AA21*22.4</f>
        <v>30.24</v>
      </c>
      <c r="M27" s="186">
        <v>10.57939077440046</v>
      </c>
      <c r="N27" s="186"/>
    </row>
  </sheetData>
  <sheetProtection algorithmName="SHA-512" hashValue="QkaaztIq0HMhmyzJPZ+8CA2pLbTsaXXR9C1VCZuR0HryzImioMePU5PILtjgGuQ5UdZBsX9mtx5SQAy0DZKfEw==" saltValue="nw49899FZgOhZu60Xt/bag==" spinCount="100000" sheet="1" formatCells="0" formatColumns="0" formatRows="0"/>
  <mergeCells count="11">
    <mergeCell ref="AB21:AB22"/>
    <mergeCell ref="D3:Z3"/>
    <mergeCell ref="A6:A12"/>
    <mergeCell ref="B6:B12"/>
    <mergeCell ref="C6:C12"/>
    <mergeCell ref="AB6:AB7"/>
    <mergeCell ref="O14:Q14"/>
    <mergeCell ref="D18:Y18"/>
    <mergeCell ref="A21:A27"/>
    <mergeCell ref="B21:B27"/>
    <mergeCell ref="C21:C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zoomScale="90" zoomScaleNormal="90" workbookViewId="0">
      <selection activeCell="Q20" sqref="Q20"/>
    </sheetView>
  </sheetViews>
  <sheetFormatPr defaultColWidth="9.1796875" defaultRowHeight="13" x14ac:dyDescent="0.3"/>
  <cols>
    <col min="1" max="1" width="12.453125" style="40" customWidth="1"/>
    <col min="2" max="2" width="8.1796875" style="40" customWidth="1"/>
    <col min="3" max="4" width="9.1796875" style="40"/>
    <col min="5" max="5" width="10.7265625" style="40" customWidth="1"/>
    <col min="6" max="6" width="9.1796875" style="40"/>
    <col min="7" max="7" width="11.26953125" style="40" customWidth="1"/>
    <col min="8" max="8" width="12" style="40" customWidth="1"/>
    <col min="9" max="9" width="10.81640625" style="40" customWidth="1"/>
    <col min="10" max="10" width="10.54296875" style="40" customWidth="1"/>
    <col min="11" max="16384" width="9.1796875" style="40"/>
  </cols>
  <sheetData>
    <row r="1" spans="1:12" ht="15" x14ac:dyDescent="0.3">
      <c r="A1" s="39"/>
      <c r="B1" s="10"/>
      <c r="C1" s="10"/>
      <c r="D1" s="10"/>
      <c r="E1" s="10"/>
      <c r="F1" s="10"/>
      <c r="G1" s="10"/>
      <c r="H1" s="10"/>
      <c r="I1" s="10"/>
    </row>
    <row r="2" spans="1:12" ht="15" x14ac:dyDescent="0.3">
      <c r="A2" s="41"/>
      <c r="B2" s="10"/>
      <c r="C2" s="10"/>
      <c r="D2" s="10"/>
      <c r="E2" s="10"/>
      <c r="F2" s="10"/>
      <c r="G2" s="10"/>
      <c r="H2" s="10"/>
      <c r="I2" s="10"/>
    </row>
    <row r="3" spans="1:12" ht="23.25" customHeight="1" x14ac:dyDescent="0.3">
      <c r="A3" s="262" t="s">
        <v>110</v>
      </c>
      <c r="B3" s="262"/>
      <c r="C3" s="262"/>
      <c r="D3" s="262"/>
      <c r="E3" s="262"/>
      <c r="F3" s="262"/>
      <c r="G3" s="262"/>
      <c r="H3" s="262"/>
      <c r="I3" s="262"/>
      <c r="J3" s="262"/>
    </row>
    <row r="4" spans="1:12" ht="14" x14ac:dyDescent="0.3">
      <c r="A4" s="10"/>
      <c r="B4" s="10"/>
      <c r="C4" s="10"/>
      <c r="D4" s="10"/>
      <c r="E4" s="10"/>
      <c r="F4" s="10"/>
      <c r="G4" s="10"/>
      <c r="H4" s="10"/>
      <c r="I4" s="10"/>
    </row>
    <row r="5" spans="1:12" ht="84" x14ac:dyDescent="0.3">
      <c r="A5" s="9"/>
      <c r="B5" s="9" t="s">
        <v>38</v>
      </c>
      <c r="C5" s="9" t="s">
        <v>23</v>
      </c>
      <c r="D5" s="9" t="s">
        <v>24</v>
      </c>
      <c r="E5" s="9" t="s">
        <v>22</v>
      </c>
      <c r="F5" s="9" t="s">
        <v>39</v>
      </c>
      <c r="G5" s="9" t="s">
        <v>40</v>
      </c>
      <c r="H5" s="9" t="s">
        <v>28</v>
      </c>
      <c r="I5" s="9" t="s">
        <v>27</v>
      </c>
      <c r="J5" s="46" t="s">
        <v>70</v>
      </c>
      <c r="K5" s="46" t="s">
        <v>106</v>
      </c>
      <c r="L5" s="46" t="s">
        <v>6</v>
      </c>
    </row>
    <row r="6" spans="1:12" ht="17.25" customHeight="1" x14ac:dyDescent="0.3">
      <c r="A6" s="42"/>
      <c r="B6" s="9"/>
      <c r="C6" s="9"/>
      <c r="D6" s="9"/>
      <c r="E6" s="9"/>
      <c r="F6" s="9"/>
      <c r="G6" s="9"/>
      <c r="H6" s="9"/>
      <c r="I6" s="9"/>
      <c r="J6" s="55"/>
      <c r="K6" s="47"/>
      <c r="L6" s="47"/>
    </row>
    <row r="7" spans="1:12" ht="33" customHeight="1" x14ac:dyDescent="0.3">
      <c r="A7" s="42" t="s">
        <v>26</v>
      </c>
      <c r="B7" s="160">
        <v>10</v>
      </c>
      <c r="C7" s="161">
        <v>10</v>
      </c>
      <c r="D7" s="222">
        <f>Greitis!I6</f>
        <v>1000</v>
      </c>
      <c r="E7" s="162">
        <v>25.2</v>
      </c>
      <c r="F7" s="163">
        <v>14</v>
      </c>
      <c r="G7" s="76">
        <f>+(D7-E7)*B7*C7*0.27/(273+F7)</f>
        <v>91.705923344947749</v>
      </c>
      <c r="H7" s="77">
        <f>G7/1000</f>
        <v>9.1705923344947746E-2</v>
      </c>
      <c r="I7" s="164">
        <v>5.0000000000000001E-3</v>
      </c>
      <c r="J7" s="199">
        <f>Aerodinamika!G27</f>
        <v>1.2973599999999996</v>
      </c>
      <c r="K7" s="155">
        <f>(100*((I7/(H7*J7))/0.8038))/(((I7/(H7*J7))/0.8038)+(1/J7))</f>
        <v>6.352173020933173</v>
      </c>
      <c r="L7" s="47"/>
    </row>
    <row r="8" spans="1:12" ht="15" x14ac:dyDescent="0.3">
      <c r="A8" s="13"/>
      <c r="B8" s="102"/>
      <c r="C8" s="103"/>
      <c r="D8" s="13"/>
      <c r="E8" s="13"/>
      <c r="F8" s="43"/>
      <c r="G8" s="104"/>
      <c r="H8" s="105"/>
      <c r="I8" s="48"/>
      <c r="J8" s="55"/>
      <c r="K8" s="47"/>
      <c r="L8" s="47"/>
    </row>
    <row r="9" spans="1:12" ht="15" x14ac:dyDescent="0.3">
      <c r="A9" s="13"/>
      <c r="B9" s="102"/>
      <c r="C9" s="103"/>
      <c r="D9" s="13"/>
      <c r="E9" s="13"/>
      <c r="F9" s="43"/>
      <c r="G9" s="104"/>
      <c r="H9" s="105"/>
      <c r="I9" s="48"/>
      <c r="J9" s="55"/>
      <c r="K9" s="47"/>
      <c r="L9" s="47"/>
    </row>
    <row r="10" spans="1:12" ht="42.75" customHeight="1" x14ac:dyDescent="0.3">
      <c r="A10" s="107"/>
      <c r="B10" s="102"/>
      <c r="C10" s="13"/>
      <c r="D10" s="13"/>
      <c r="E10" s="13"/>
      <c r="F10" s="43"/>
      <c r="G10" s="106"/>
      <c r="H10" s="108"/>
      <c r="I10" s="109"/>
      <c r="J10" s="55"/>
      <c r="K10" s="47"/>
      <c r="L10" s="47"/>
    </row>
    <row r="11" spans="1:12" ht="12.75" customHeight="1" x14ac:dyDescent="0.3">
      <c r="H11" s="263" t="s">
        <v>31</v>
      </c>
      <c r="I11" s="266" t="s">
        <v>32</v>
      </c>
    </row>
    <row r="12" spans="1:12" ht="12.75" customHeight="1" x14ac:dyDescent="0.3">
      <c r="H12" s="264"/>
      <c r="I12" s="267"/>
    </row>
    <row r="13" spans="1:12" ht="12.75" customHeight="1" x14ac:dyDescent="0.3">
      <c r="H13" s="264"/>
      <c r="I13" s="267"/>
    </row>
    <row r="14" spans="1:12" x14ac:dyDescent="0.3">
      <c r="H14" s="264"/>
      <c r="I14" s="267"/>
    </row>
    <row r="15" spans="1:12" x14ac:dyDescent="0.3">
      <c r="H15" s="264"/>
      <c r="I15" s="267"/>
    </row>
    <row r="16" spans="1:12" x14ac:dyDescent="0.3">
      <c r="H16" s="264"/>
      <c r="I16" s="267"/>
    </row>
    <row r="17" spans="8:9" x14ac:dyDescent="0.3">
      <c r="H17" s="264"/>
      <c r="I17" s="267"/>
    </row>
    <row r="18" spans="8:9" x14ac:dyDescent="0.3">
      <c r="H18" s="265"/>
      <c r="I18" s="267"/>
    </row>
    <row r="19" spans="8:9" ht="12.75" customHeight="1" x14ac:dyDescent="0.3">
      <c r="I19" s="267"/>
    </row>
    <row r="20" spans="8:9" ht="12.75" customHeight="1" x14ac:dyDescent="0.3">
      <c r="I20" s="268"/>
    </row>
    <row r="21" spans="8:9" ht="12.75" customHeight="1" x14ac:dyDescent="0.3">
      <c r="I21" s="59"/>
    </row>
    <row r="22" spans="8:9" ht="12.75" customHeight="1" x14ac:dyDescent="0.3"/>
    <row r="23" spans="8:9" ht="14" x14ac:dyDescent="0.3">
      <c r="I23" s="58"/>
    </row>
    <row r="24" spans="8:9" ht="14" x14ac:dyDescent="0.3">
      <c r="I24" s="58"/>
    </row>
    <row r="25" spans="8:9" ht="14" x14ac:dyDescent="0.3">
      <c r="I25" s="58"/>
    </row>
    <row r="26" spans="8:9" ht="14" x14ac:dyDescent="0.3">
      <c r="I26" s="58"/>
    </row>
  </sheetData>
  <sheetProtection algorithmName="SHA-512" hashValue="X1fjU9NgbdgNX2sie2pFa5m1Pr2PBOpDkS9vf+0OEWYVA0TbNhKVqapMfuUclj+WPwxY1gwx9hkE0s3LT1L9FA==" saltValue="AA4L/txh9w+73xZc65faBQ==" spinCount="100000" sheet="1" formatCells="0" formatColumns="0" formatRows="0"/>
  <mergeCells count="3">
    <mergeCell ref="A3:J3"/>
    <mergeCell ref="H11:H18"/>
    <mergeCell ref="I11: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AA77"/>
  <sheetViews>
    <sheetView tabSelected="1" topLeftCell="J1" zoomScale="70" zoomScaleNormal="70" workbookViewId="0">
      <pane ySplit="5" topLeftCell="A6" activePane="bottomLeft" state="frozen"/>
      <selection pane="bottomLeft" activeCell="AA5" sqref="AA5"/>
    </sheetView>
  </sheetViews>
  <sheetFormatPr defaultColWidth="9.1796875" defaultRowHeight="14" x14ac:dyDescent="0.3"/>
  <cols>
    <col min="1" max="2" width="13.26953125" style="14" customWidth="1"/>
    <col min="3" max="3" width="26.1796875" style="14" customWidth="1"/>
    <col min="4" max="4" width="11.1796875" style="14" customWidth="1"/>
    <col min="5" max="5" width="12.1796875" style="14" customWidth="1"/>
    <col min="6" max="6" width="13.7265625" style="14" customWidth="1"/>
    <col min="7" max="7" width="10.81640625" style="14" customWidth="1"/>
    <col min="8" max="8" width="9.81640625" style="14" customWidth="1"/>
    <col min="9" max="9" width="8.81640625" style="14" customWidth="1"/>
    <col min="10" max="10" width="10.54296875" style="14" customWidth="1"/>
    <col min="11" max="11" width="10.453125" style="14" customWidth="1"/>
    <col min="12" max="12" width="11.81640625" style="14" customWidth="1"/>
    <col min="13" max="13" width="9.81640625" style="14" customWidth="1"/>
    <col min="14" max="14" width="11.81640625" style="14" customWidth="1"/>
    <col min="15" max="15" width="12.81640625" style="14" customWidth="1"/>
    <col min="16" max="16" width="6.54296875" style="14" customWidth="1"/>
    <col min="17" max="17" width="7.7265625" style="14" customWidth="1"/>
    <col min="18" max="18" width="17.54296875" style="14" customWidth="1"/>
    <col min="19" max="19" width="15.453125" style="14" customWidth="1"/>
    <col min="20" max="20" width="10.453125" style="14" customWidth="1"/>
    <col min="21" max="21" width="11.1796875" style="14" customWidth="1"/>
    <col min="22" max="22" width="13.453125" style="14" customWidth="1"/>
    <col min="23" max="23" width="5" style="14" customWidth="1"/>
    <col min="24" max="24" width="11.54296875" style="14" customWidth="1"/>
    <col min="25" max="26" width="10.1796875" style="14" customWidth="1"/>
    <col min="27" max="27" width="11.1796875" style="14" customWidth="1"/>
    <col min="28" max="16384" width="9.1796875" style="14"/>
  </cols>
  <sheetData>
    <row r="1" spans="1:27" ht="30" customHeight="1" x14ac:dyDescent="0.3">
      <c r="C1" s="244" t="s">
        <v>18</v>
      </c>
      <c r="D1" s="244"/>
      <c r="E1" s="15"/>
      <c r="S1" s="16"/>
    </row>
    <row r="2" spans="1:27" ht="19.5" customHeight="1" x14ac:dyDescent="0.3">
      <c r="A2" s="245" t="s">
        <v>101</v>
      </c>
      <c r="B2" s="245"/>
      <c r="C2" s="245"/>
      <c r="D2" s="245"/>
      <c r="E2" s="245"/>
      <c r="F2" s="245"/>
      <c r="G2" s="245"/>
      <c r="H2" s="245"/>
      <c r="I2" s="245"/>
      <c r="J2" s="245"/>
      <c r="K2" s="245"/>
      <c r="L2" s="245"/>
      <c r="M2" s="245"/>
      <c r="N2" s="245"/>
      <c r="O2" s="245"/>
      <c r="P2" s="245"/>
      <c r="Q2" s="245"/>
      <c r="R2" s="245"/>
      <c r="S2" s="245"/>
    </row>
    <row r="3" spans="1:27" ht="19.5" customHeight="1" x14ac:dyDescent="0.3">
      <c r="A3" s="17"/>
      <c r="B3" s="17"/>
      <c r="C3" s="18"/>
      <c r="D3" s="18"/>
      <c r="E3" s="18"/>
      <c r="F3" s="18"/>
      <c r="G3" s="18"/>
      <c r="H3" s="18"/>
      <c r="I3" s="18"/>
      <c r="J3" s="18"/>
      <c r="K3" s="18"/>
      <c r="L3" s="18"/>
      <c r="M3" s="18"/>
      <c r="N3" s="18"/>
      <c r="O3" s="18"/>
      <c r="P3" s="18"/>
      <c r="Q3" s="18"/>
      <c r="R3" s="18"/>
      <c r="S3" s="18"/>
    </row>
    <row r="4" spans="1:27" ht="19.5" customHeight="1" x14ac:dyDescent="0.3">
      <c r="T4" s="28"/>
    </row>
    <row r="5" spans="1:27" ht="100.5" customHeight="1" x14ac:dyDescent="0.3">
      <c r="A5" s="11" t="s">
        <v>8</v>
      </c>
      <c r="B5" s="11" t="s">
        <v>50</v>
      </c>
      <c r="C5" s="11" t="s">
        <v>9</v>
      </c>
      <c r="D5" s="50" t="s">
        <v>51</v>
      </c>
      <c r="E5" s="50" t="s">
        <v>91</v>
      </c>
      <c r="F5" s="50" t="s">
        <v>52</v>
      </c>
      <c r="G5" s="50" t="s">
        <v>148</v>
      </c>
      <c r="H5" s="50" t="s">
        <v>53</v>
      </c>
      <c r="I5" s="50" t="s">
        <v>54</v>
      </c>
      <c r="J5" s="50" t="s">
        <v>55</v>
      </c>
      <c r="K5" s="50" t="s">
        <v>56</v>
      </c>
      <c r="L5" s="50" t="s">
        <v>57</v>
      </c>
      <c r="M5" s="50" t="s">
        <v>58</v>
      </c>
      <c r="N5" s="50" t="s">
        <v>59</v>
      </c>
      <c r="O5" s="50" t="s">
        <v>60</v>
      </c>
      <c r="P5" s="50" t="s">
        <v>61</v>
      </c>
      <c r="Q5" s="50" t="s">
        <v>62</v>
      </c>
      <c r="R5" s="50" t="s">
        <v>13</v>
      </c>
      <c r="S5" s="50" t="s">
        <v>6</v>
      </c>
      <c r="T5" s="165" t="s">
        <v>63</v>
      </c>
      <c r="U5" s="165" t="s">
        <v>64</v>
      </c>
      <c r="V5" s="12" t="s">
        <v>65</v>
      </c>
      <c r="X5" s="50" t="s">
        <v>145</v>
      </c>
      <c r="Y5" s="50" t="s">
        <v>148</v>
      </c>
      <c r="Z5" s="38" t="s">
        <v>16</v>
      </c>
      <c r="AA5" s="42" t="s">
        <v>113</v>
      </c>
    </row>
    <row r="6" spans="1:27" ht="15" x14ac:dyDescent="0.3">
      <c r="A6" s="87">
        <f>Greitis!A6</f>
        <v>46210</v>
      </c>
      <c r="B6" s="52">
        <v>1</v>
      </c>
      <c r="C6" s="240" t="str">
        <f>Greitis!C6</f>
        <v>UAB ,,Ekopartneris", L. Ivinskio g. 65, Kaunas. Katilinė. Taršos šaltinis  Nr. 001.</v>
      </c>
      <c r="D6" s="166">
        <v>1</v>
      </c>
      <c r="E6" s="167">
        <v>0.78500000000000003</v>
      </c>
      <c r="F6" s="173">
        <f>V9</f>
        <v>40</v>
      </c>
      <c r="G6" s="95">
        <f>Y6</f>
        <v>4.1898181061790636</v>
      </c>
      <c r="H6" s="222">
        <f>Greitis!I6</f>
        <v>1000</v>
      </c>
      <c r="I6" s="202">
        <f>Greitis!J6</f>
        <v>-1</v>
      </c>
      <c r="J6" s="170">
        <v>100</v>
      </c>
      <c r="K6" s="170">
        <v>7</v>
      </c>
      <c r="L6" s="60">
        <f>M6*N6/1000</f>
        <v>0.06</v>
      </c>
      <c r="M6" s="171">
        <v>6</v>
      </c>
      <c r="N6" s="169">
        <v>10</v>
      </c>
      <c r="O6" s="170">
        <v>10</v>
      </c>
      <c r="P6" s="86">
        <f>T9</f>
        <v>10</v>
      </c>
      <c r="Q6" s="86">
        <f>U9</f>
        <v>4</v>
      </c>
      <c r="R6" s="44" t="s">
        <v>107</v>
      </c>
      <c r="S6" s="45" t="s">
        <v>108</v>
      </c>
      <c r="T6" s="168">
        <v>10.02</v>
      </c>
      <c r="U6" s="168">
        <v>4.0999999999999996</v>
      </c>
      <c r="V6" s="170">
        <v>40.200000000000003</v>
      </c>
      <c r="X6" s="237">
        <f>Greitis!E6</f>
        <v>0.14000000000000001</v>
      </c>
      <c r="Y6" s="76">
        <f>AA6*129*(SQRT(X6*(273+F6)/(H6+I6)/Greitis!L6))</f>
        <v>4.1898181061790636</v>
      </c>
      <c r="Z6" s="95">
        <f>Aerodinamika!K6</f>
        <v>1.0363674089827732</v>
      </c>
      <c r="AA6" s="238">
        <f>Greitis!G6</f>
        <v>0.83599999999999997</v>
      </c>
    </row>
    <row r="7" spans="1:27" ht="15" x14ac:dyDescent="0.3">
      <c r="A7" s="37"/>
      <c r="B7" s="34"/>
      <c r="C7" s="241"/>
      <c r="D7" s="19"/>
      <c r="E7" s="20"/>
      <c r="F7" s="82">
        <f t="shared" ref="F7:H7" si="0">(F6)</f>
        <v>40</v>
      </c>
      <c r="G7" s="95">
        <f t="shared" ref="G7:G12" si="1">Y7</f>
        <v>4.1898181061790636</v>
      </c>
      <c r="H7" s="83">
        <f t="shared" si="0"/>
        <v>1000</v>
      </c>
      <c r="I7" s="86">
        <f t="shared" ref="I7" si="2">(I6)</f>
        <v>-1</v>
      </c>
      <c r="J7" s="170">
        <v>100</v>
      </c>
      <c r="K7" s="82">
        <f t="shared" ref="K7:M7" si="3">(K6)</f>
        <v>7</v>
      </c>
      <c r="L7" s="60">
        <f>M7*N7/1000</f>
        <v>0.06</v>
      </c>
      <c r="M7" s="83">
        <f t="shared" si="3"/>
        <v>6</v>
      </c>
      <c r="N7" s="169">
        <v>10</v>
      </c>
      <c r="O7" s="170">
        <v>10</v>
      </c>
      <c r="P7" s="86">
        <f t="shared" ref="P7" si="4">(P6)</f>
        <v>10</v>
      </c>
      <c r="Q7" s="86">
        <f t="shared" ref="Q7" si="5">(Q6)</f>
        <v>4</v>
      </c>
      <c r="R7" s="23"/>
      <c r="S7" s="53"/>
      <c r="T7" s="168">
        <v>9.98</v>
      </c>
      <c r="U7" s="168">
        <v>3.9</v>
      </c>
      <c r="V7" s="170">
        <v>39.799999999999997</v>
      </c>
      <c r="X7" s="237">
        <f>Greitis!E7</f>
        <v>0.14000000000000001</v>
      </c>
      <c r="Y7" s="76">
        <f>AA7*129*(SQRT(X7*(273+F7)/(H7+I7)/Greitis!L7))</f>
        <v>4.1898181061790636</v>
      </c>
      <c r="Z7" s="95">
        <f>Aerodinamika!K7</f>
        <v>1.0363674089827732</v>
      </c>
      <c r="AA7" s="238">
        <f>Greitis!G7</f>
        <v>0.83599999999999997</v>
      </c>
    </row>
    <row r="8" spans="1:27" ht="15" x14ac:dyDescent="0.3">
      <c r="A8" s="37"/>
      <c r="B8" s="34"/>
      <c r="C8" s="241"/>
      <c r="D8" s="19"/>
      <c r="E8" s="20"/>
      <c r="F8" s="82">
        <f>(F6)</f>
        <v>40</v>
      </c>
      <c r="G8" s="95">
        <f t="shared" si="1"/>
        <v>4.1898181061790636</v>
      </c>
      <c r="H8" s="83">
        <f>(H6)</f>
        <v>1000</v>
      </c>
      <c r="I8" s="86">
        <f t="shared" ref="I8:K8" si="6">(I6)</f>
        <v>-1</v>
      </c>
      <c r="J8" s="170">
        <v>100</v>
      </c>
      <c r="K8" s="82">
        <f t="shared" si="6"/>
        <v>7</v>
      </c>
      <c r="L8" s="60">
        <f>M8*N8/1000</f>
        <v>0.06</v>
      </c>
      <c r="M8" s="83">
        <f t="shared" ref="M8" si="7">(M6)</f>
        <v>6</v>
      </c>
      <c r="N8" s="169">
        <v>10</v>
      </c>
      <c r="O8" s="170">
        <v>10</v>
      </c>
      <c r="P8" s="86">
        <f t="shared" ref="P8:Q8" si="8">(P6)</f>
        <v>10</v>
      </c>
      <c r="Q8" s="86">
        <f t="shared" si="8"/>
        <v>4</v>
      </c>
      <c r="R8" s="23"/>
      <c r="S8" s="53"/>
      <c r="T8" s="168">
        <v>10</v>
      </c>
      <c r="U8" s="168">
        <v>4</v>
      </c>
      <c r="V8" s="170">
        <v>40</v>
      </c>
      <c r="X8" s="237">
        <f>Greitis!E8</f>
        <v>0.14000000000000001</v>
      </c>
      <c r="Y8" s="76">
        <f>AA8*129*(SQRT(X8*(273+F8)/(H8+I8)/Greitis!L8))</f>
        <v>4.1898181061790636</v>
      </c>
      <c r="Z8" s="95">
        <f>Aerodinamika!K8</f>
        <v>1.0363674089827732</v>
      </c>
      <c r="AA8" s="238">
        <f>Greitis!G8</f>
        <v>0.83599999999999997</v>
      </c>
    </row>
    <row r="9" spans="1:27" ht="15" x14ac:dyDescent="0.3">
      <c r="A9" s="51"/>
      <c r="B9" s="51"/>
      <c r="C9" s="241"/>
      <c r="D9" s="51"/>
      <c r="E9" s="51"/>
      <c r="F9" s="82">
        <f>(F6)</f>
        <v>40</v>
      </c>
      <c r="G9" s="95">
        <f t="shared" si="1"/>
        <v>4.1898181061790636</v>
      </c>
      <c r="H9" s="83">
        <f>(H6)</f>
        <v>1000</v>
      </c>
      <c r="I9" s="86">
        <f t="shared" ref="I9:K9" si="9">(I6)</f>
        <v>-1</v>
      </c>
      <c r="J9" s="170">
        <v>100</v>
      </c>
      <c r="K9" s="82">
        <f t="shared" si="9"/>
        <v>7</v>
      </c>
      <c r="L9" s="60">
        <f t="shared" ref="L9:L12" si="10">M9*N9/1000</f>
        <v>0.06</v>
      </c>
      <c r="M9" s="83">
        <f t="shared" ref="M9" si="11">(M6)</f>
        <v>6</v>
      </c>
      <c r="N9" s="169">
        <v>10</v>
      </c>
      <c r="O9" s="170">
        <v>10</v>
      </c>
      <c r="P9" s="86">
        <f t="shared" ref="P9:Q9" si="12">(P6)</f>
        <v>10</v>
      </c>
      <c r="Q9" s="86">
        <f t="shared" si="12"/>
        <v>4</v>
      </c>
      <c r="R9" s="51"/>
      <c r="S9" s="51"/>
      <c r="T9" s="95">
        <f>AVERAGE(T6:T8)</f>
        <v>10</v>
      </c>
      <c r="U9" s="95">
        <f>AVERAGE(U6:U8)</f>
        <v>4</v>
      </c>
      <c r="V9" s="172">
        <f>AVERAGE(V6:V8)</f>
        <v>40</v>
      </c>
      <c r="X9" s="237">
        <f>Greitis!E9</f>
        <v>0.14000000000000001</v>
      </c>
      <c r="Y9" s="76">
        <f>AA9*129*(SQRT(X9*(273+F9)/(H9+I9)/Greitis!L9))</f>
        <v>4.1898181061790636</v>
      </c>
      <c r="Z9" s="95">
        <f>Aerodinamika!K9</f>
        <v>1.0363674089827732</v>
      </c>
      <c r="AA9" s="238">
        <f>Greitis!G9</f>
        <v>0.83599999999999997</v>
      </c>
    </row>
    <row r="10" spans="1:27" ht="15" customHeight="1" x14ac:dyDescent="0.3">
      <c r="A10" s="51"/>
      <c r="B10" s="51"/>
      <c r="C10" s="241"/>
      <c r="D10" s="51"/>
      <c r="E10" s="51"/>
      <c r="F10" s="82">
        <f>(F6)</f>
        <v>40</v>
      </c>
      <c r="G10" s="95">
        <f t="shared" si="1"/>
        <v>4.1898181061790636</v>
      </c>
      <c r="H10" s="83">
        <f>(H6)</f>
        <v>1000</v>
      </c>
      <c r="I10" s="86">
        <f t="shared" ref="I10:K10" si="13">(I6)</f>
        <v>-1</v>
      </c>
      <c r="J10" s="170">
        <v>100</v>
      </c>
      <c r="K10" s="82">
        <f t="shared" si="13"/>
        <v>7</v>
      </c>
      <c r="L10" s="60">
        <f t="shared" si="10"/>
        <v>0.06</v>
      </c>
      <c r="M10" s="83">
        <f t="shared" ref="M10" si="14">(M6)</f>
        <v>6</v>
      </c>
      <c r="N10" s="169">
        <v>10</v>
      </c>
      <c r="O10" s="170">
        <v>10</v>
      </c>
      <c r="P10" s="86">
        <f t="shared" ref="P10:Q10" si="15">(P6)</f>
        <v>10</v>
      </c>
      <c r="Q10" s="86">
        <f t="shared" si="15"/>
        <v>4</v>
      </c>
      <c r="R10" s="51"/>
      <c r="S10" s="51"/>
      <c r="T10" s="243" t="s">
        <v>33</v>
      </c>
      <c r="U10" s="243" t="s">
        <v>34</v>
      </c>
      <c r="V10" s="239" t="s">
        <v>41</v>
      </c>
      <c r="X10" s="237">
        <f>Greitis!E10</f>
        <v>0.14000000000000001</v>
      </c>
      <c r="Y10" s="76">
        <f>AA10*129*(SQRT(X10*(273+F10)/(H10+I10)/Greitis!L10))</f>
        <v>4.1898181061790636</v>
      </c>
      <c r="Z10" s="95">
        <f>Aerodinamika!K10</f>
        <v>1.0363674089827732</v>
      </c>
      <c r="AA10" s="238">
        <f>Greitis!G10</f>
        <v>0.83599999999999997</v>
      </c>
    </row>
    <row r="11" spans="1:27" ht="15" x14ac:dyDescent="0.3">
      <c r="A11" s="51"/>
      <c r="B11" s="51"/>
      <c r="C11" s="241"/>
      <c r="D11" s="51"/>
      <c r="E11" s="51"/>
      <c r="F11" s="82">
        <f>(F6)</f>
        <v>40</v>
      </c>
      <c r="G11" s="95">
        <f t="shared" si="1"/>
        <v>4.1898181061790636</v>
      </c>
      <c r="H11" s="83">
        <f>(H6)</f>
        <v>1000</v>
      </c>
      <c r="I11" s="86">
        <f t="shared" ref="I11:K11" si="16">(I6)</f>
        <v>-1</v>
      </c>
      <c r="J11" s="170">
        <v>100</v>
      </c>
      <c r="K11" s="82">
        <f t="shared" si="16"/>
        <v>7</v>
      </c>
      <c r="L11" s="60">
        <f t="shared" si="10"/>
        <v>0.06</v>
      </c>
      <c r="M11" s="83">
        <f t="shared" ref="M11" si="17">(M6)</f>
        <v>6</v>
      </c>
      <c r="N11" s="169">
        <v>10</v>
      </c>
      <c r="O11" s="170">
        <v>10</v>
      </c>
      <c r="P11" s="86">
        <f t="shared" ref="P11:Q11" si="18">(P6)</f>
        <v>10</v>
      </c>
      <c r="Q11" s="86">
        <f t="shared" si="18"/>
        <v>4</v>
      </c>
      <c r="R11" s="51"/>
      <c r="S11" s="51"/>
      <c r="T11" s="243"/>
      <c r="U11" s="243"/>
      <c r="V11" s="239"/>
      <c r="X11" s="237">
        <f>Greitis!E11</f>
        <v>0.14000000000000001</v>
      </c>
      <c r="Y11" s="76">
        <f>AA11*129*(SQRT(X11*(273+F11)/(H11+I11)/Greitis!L11))</f>
        <v>4.1898181061790636</v>
      </c>
      <c r="Z11" s="95">
        <f>Aerodinamika!K11</f>
        <v>1.0363674089827732</v>
      </c>
      <c r="AA11" s="238">
        <f>Greitis!G11</f>
        <v>0.83599999999999997</v>
      </c>
    </row>
    <row r="12" spans="1:27" ht="15" customHeight="1" x14ac:dyDescent="0.3">
      <c r="A12" s="36"/>
      <c r="B12" s="36"/>
      <c r="C12" s="242"/>
      <c r="D12" s="36"/>
      <c r="E12" s="36"/>
      <c r="F12" s="82">
        <f>(F6)</f>
        <v>40</v>
      </c>
      <c r="G12" s="95">
        <f t="shared" si="1"/>
        <v>4.1898181061790636</v>
      </c>
      <c r="H12" s="83">
        <f>(H6)</f>
        <v>1000</v>
      </c>
      <c r="I12" s="86">
        <f t="shared" ref="I12:K12" si="19">(I6)</f>
        <v>-1</v>
      </c>
      <c r="J12" s="170">
        <v>100</v>
      </c>
      <c r="K12" s="82">
        <f t="shared" si="19"/>
        <v>7</v>
      </c>
      <c r="L12" s="60">
        <f t="shared" si="10"/>
        <v>0.06</v>
      </c>
      <c r="M12" s="83">
        <f t="shared" ref="M12" si="20">(M6)</f>
        <v>6</v>
      </c>
      <c r="N12" s="169">
        <v>10</v>
      </c>
      <c r="O12" s="170">
        <v>10</v>
      </c>
      <c r="P12" s="86">
        <f t="shared" ref="P12:Q12" si="21">(P6)</f>
        <v>10</v>
      </c>
      <c r="Q12" s="86">
        <f t="shared" si="21"/>
        <v>4</v>
      </c>
      <c r="R12" s="36"/>
      <c r="S12" s="36"/>
      <c r="T12" s="243"/>
      <c r="U12" s="243"/>
      <c r="V12" s="239"/>
      <c r="X12" s="237">
        <f>Greitis!E12</f>
        <v>0.14000000000000001</v>
      </c>
      <c r="Y12" s="76">
        <f>AA12*129*(SQRT(X12*(273+F12)/(H12+I12)/Greitis!L12))</f>
        <v>4.1898181061790636</v>
      </c>
      <c r="Z12" s="95">
        <f>Aerodinamika!K12</f>
        <v>1.0363674089827732</v>
      </c>
      <c r="AA12" s="238">
        <f>Greitis!G12</f>
        <v>0.83599999999999997</v>
      </c>
    </row>
    <row r="13" spans="1:27" x14ac:dyDescent="0.3">
      <c r="L13" s="85">
        <f>SUM(L6:L12)</f>
        <v>0.42</v>
      </c>
      <c r="M13" s="153">
        <f>SUM(M6:M12)</f>
        <v>42</v>
      </c>
      <c r="N13" s="154">
        <f>AVERAGE(N6:N12)</f>
        <v>10</v>
      </c>
    </row>
    <row r="14" spans="1:27" ht="30.75" customHeight="1" x14ac:dyDescent="0.3">
      <c r="L14" s="79" t="s">
        <v>30</v>
      </c>
      <c r="M14" s="49" t="s">
        <v>99</v>
      </c>
      <c r="N14" s="49" t="s">
        <v>141</v>
      </c>
    </row>
    <row r="15" spans="1:27" x14ac:dyDescent="0.3">
      <c r="A15" s="14" t="s">
        <v>14</v>
      </c>
    </row>
    <row r="17" spans="1:27" ht="15" x14ac:dyDescent="0.3">
      <c r="A17" s="87">
        <f t="shared" ref="A17:F17" si="22">(A6)</f>
        <v>46210</v>
      </c>
      <c r="B17" s="88">
        <f t="shared" si="22"/>
        <v>1</v>
      </c>
      <c r="C17" s="240" t="str">
        <f t="shared" si="22"/>
        <v>UAB ,,Ekopartneris", L. Ivinskio g. 65, Kaunas. Katilinė. Taršos šaltinis  Nr. 001.</v>
      </c>
      <c r="D17" s="89">
        <f t="shared" si="22"/>
        <v>1</v>
      </c>
      <c r="E17" s="90">
        <f t="shared" si="22"/>
        <v>0.78500000000000003</v>
      </c>
      <c r="F17" s="82">
        <f t="shared" si="22"/>
        <v>40</v>
      </c>
      <c r="G17" s="95">
        <f>Y17</f>
        <v>4.1898181061790636</v>
      </c>
      <c r="H17" s="83">
        <f>(H6)</f>
        <v>1000</v>
      </c>
      <c r="I17" s="86">
        <f>(I6)</f>
        <v>-1</v>
      </c>
      <c r="J17" s="170">
        <v>100</v>
      </c>
      <c r="K17" s="82">
        <f>(K6)</f>
        <v>7</v>
      </c>
      <c r="L17" s="60">
        <f>M17*N17/1000</f>
        <v>0.06</v>
      </c>
      <c r="M17" s="83">
        <f>(M6)</f>
        <v>6</v>
      </c>
      <c r="N17" s="169">
        <v>10</v>
      </c>
      <c r="O17" s="170">
        <v>10</v>
      </c>
      <c r="P17" s="86">
        <f>(P6)</f>
        <v>10</v>
      </c>
      <c r="Q17" s="86">
        <f>(Q6)</f>
        <v>4</v>
      </c>
      <c r="R17" s="87" t="str">
        <f>(R6)</f>
        <v>S.Č., 2026-05-02</v>
      </c>
      <c r="S17" s="56" t="s">
        <v>109</v>
      </c>
      <c r="X17" s="237">
        <f>Greitis!E6</f>
        <v>0.14000000000000001</v>
      </c>
      <c r="Y17" s="76">
        <f>AA17*129*(SQRT(X17*(273+F17)/(H17+I17)/Greitis!L6))</f>
        <v>4.1898181061790636</v>
      </c>
      <c r="Z17" s="95">
        <f>Aerodinamika!K17</f>
        <v>1.0363674089827732</v>
      </c>
      <c r="AA17" s="238">
        <f>Greitis!G6</f>
        <v>0.83599999999999997</v>
      </c>
    </row>
    <row r="18" spans="1:27" ht="15" x14ac:dyDescent="0.3">
      <c r="A18" s="37"/>
      <c r="B18" s="34"/>
      <c r="C18" s="241"/>
      <c r="D18" s="19"/>
      <c r="E18" s="20"/>
      <c r="F18" s="82">
        <f>(F6)</f>
        <v>40</v>
      </c>
      <c r="G18" s="95">
        <f t="shared" ref="G18:G23" si="23">Y18</f>
        <v>4.1898181061790636</v>
      </c>
      <c r="H18" s="83">
        <f>(H6)</f>
        <v>1000</v>
      </c>
      <c r="I18" s="86">
        <f>(I6)</f>
        <v>-1</v>
      </c>
      <c r="J18" s="170">
        <v>100</v>
      </c>
      <c r="K18" s="82">
        <f>(K17)</f>
        <v>7</v>
      </c>
      <c r="L18" s="60">
        <f>M18*N18/1000</f>
        <v>0.06</v>
      </c>
      <c r="M18" s="83">
        <f>(M6)</f>
        <v>6</v>
      </c>
      <c r="N18" s="169">
        <v>10</v>
      </c>
      <c r="O18" s="170">
        <v>10</v>
      </c>
      <c r="P18" s="86">
        <f>(P6)</f>
        <v>10</v>
      </c>
      <c r="Q18" s="86">
        <f>(Q6)</f>
        <v>4</v>
      </c>
      <c r="R18" s="23"/>
      <c r="S18" s="53"/>
      <c r="X18" s="237">
        <f>Greitis!E7</f>
        <v>0.14000000000000001</v>
      </c>
      <c r="Y18" s="76">
        <f>AA18*129*(SQRT(X18*(273+F18)/(H18+I18)/Greitis!L7))</f>
        <v>4.1898181061790636</v>
      </c>
      <c r="Z18" s="95">
        <f>Aerodinamika!K18</f>
        <v>1.0363674089827732</v>
      </c>
      <c r="AA18" s="238">
        <f>Greitis!G7</f>
        <v>0.83599999999999997</v>
      </c>
    </row>
    <row r="19" spans="1:27" ht="15" x14ac:dyDescent="0.3">
      <c r="A19" s="37"/>
      <c r="B19" s="34"/>
      <c r="C19" s="241"/>
      <c r="D19" s="19"/>
      <c r="E19" s="20"/>
      <c r="F19" s="82">
        <f>(F6)</f>
        <v>40</v>
      </c>
      <c r="G19" s="95">
        <f t="shared" si="23"/>
        <v>4.1898181061790636</v>
      </c>
      <c r="H19" s="83">
        <f>(H6)</f>
        <v>1000</v>
      </c>
      <c r="I19" s="86">
        <f>(I6)</f>
        <v>-1</v>
      </c>
      <c r="J19" s="170">
        <v>100</v>
      </c>
      <c r="K19" s="82">
        <f>(K17)</f>
        <v>7</v>
      </c>
      <c r="L19" s="60">
        <f>M19*N19/1000</f>
        <v>0.06</v>
      </c>
      <c r="M19" s="83">
        <f>(M6)</f>
        <v>6</v>
      </c>
      <c r="N19" s="169">
        <v>10</v>
      </c>
      <c r="O19" s="170">
        <v>10</v>
      </c>
      <c r="P19" s="86">
        <f>(P6)</f>
        <v>10</v>
      </c>
      <c r="Q19" s="86">
        <f>(Q6)</f>
        <v>4</v>
      </c>
      <c r="R19" s="23"/>
      <c r="S19" s="53"/>
      <c r="X19" s="237">
        <f>Greitis!E8</f>
        <v>0.14000000000000001</v>
      </c>
      <c r="Y19" s="76">
        <f>AA19*129*(SQRT(X19*(273+F19)/(H19+I19)/Greitis!L8))</f>
        <v>4.1898181061790636</v>
      </c>
      <c r="Z19" s="95">
        <f>Aerodinamika!K19</f>
        <v>1.0363674089827732</v>
      </c>
      <c r="AA19" s="238">
        <f>Greitis!G8</f>
        <v>0.83599999999999997</v>
      </c>
    </row>
    <row r="20" spans="1:27" ht="15" x14ac:dyDescent="0.3">
      <c r="A20" s="51"/>
      <c r="B20" s="51"/>
      <c r="C20" s="241"/>
      <c r="D20" s="51"/>
      <c r="E20" s="51"/>
      <c r="F20" s="82">
        <f>(F6)</f>
        <v>40</v>
      </c>
      <c r="G20" s="95">
        <f t="shared" si="23"/>
        <v>4.1898181061790636</v>
      </c>
      <c r="H20" s="83">
        <f>(H6)</f>
        <v>1000</v>
      </c>
      <c r="I20" s="86">
        <f>(I6)</f>
        <v>-1</v>
      </c>
      <c r="J20" s="170">
        <v>100</v>
      </c>
      <c r="K20" s="82">
        <f>(K17)</f>
        <v>7</v>
      </c>
      <c r="L20" s="60">
        <f t="shared" ref="L20:L23" si="24">M20*N20/1000</f>
        <v>0.06</v>
      </c>
      <c r="M20" s="83">
        <f>(M6)</f>
        <v>6</v>
      </c>
      <c r="N20" s="169">
        <v>10</v>
      </c>
      <c r="O20" s="170">
        <v>10</v>
      </c>
      <c r="P20" s="86">
        <f>(P6)</f>
        <v>10</v>
      </c>
      <c r="Q20" s="86">
        <f>(Q6)</f>
        <v>4</v>
      </c>
      <c r="R20" s="51"/>
      <c r="S20" s="51"/>
      <c r="X20" s="237">
        <f>Greitis!E9</f>
        <v>0.14000000000000001</v>
      </c>
      <c r="Y20" s="76">
        <f>AA20*129*(SQRT(X20*(273+F20)/(H20+I20)/Greitis!L9))</f>
        <v>4.1898181061790636</v>
      </c>
      <c r="Z20" s="95">
        <f>Aerodinamika!K20</f>
        <v>1.0363674089827732</v>
      </c>
      <c r="AA20" s="238">
        <f>Greitis!G9</f>
        <v>0.83599999999999997</v>
      </c>
    </row>
    <row r="21" spans="1:27" ht="15" x14ac:dyDescent="0.3">
      <c r="A21" s="51"/>
      <c r="B21" s="51"/>
      <c r="C21" s="241"/>
      <c r="D21" s="51"/>
      <c r="E21" s="51"/>
      <c r="F21" s="82">
        <f>(F6)</f>
        <v>40</v>
      </c>
      <c r="G21" s="95">
        <f t="shared" si="23"/>
        <v>4.1898181061790636</v>
      </c>
      <c r="H21" s="83">
        <f>(H6)</f>
        <v>1000</v>
      </c>
      <c r="I21" s="86">
        <f>(I6)</f>
        <v>-1</v>
      </c>
      <c r="J21" s="170">
        <v>100</v>
      </c>
      <c r="K21" s="82">
        <f>(K17)</f>
        <v>7</v>
      </c>
      <c r="L21" s="60">
        <f t="shared" si="24"/>
        <v>0.06</v>
      </c>
      <c r="M21" s="83">
        <f>(M6)</f>
        <v>6</v>
      </c>
      <c r="N21" s="169">
        <v>10</v>
      </c>
      <c r="O21" s="170">
        <v>10</v>
      </c>
      <c r="P21" s="86">
        <f>(P6)</f>
        <v>10</v>
      </c>
      <c r="Q21" s="86">
        <f>(Q6)</f>
        <v>4</v>
      </c>
      <c r="R21" s="51"/>
      <c r="S21" s="51"/>
      <c r="X21" s="237">
        <f>Greitis!E10</f>
        <v>0.14000000000000001</v>
      </c>
      <c r="Y21" s="76">
        <f>AA21*129*(SQRT(X21*(273+F21)/(H21+I21)/Greitis!L10))</f>
        <v>4.1898181061790636</v>
      </c>
      <c r="Z21" s="95">
        <f>Aerodinamika!K21</f>
        <v>1.0363674089827732</v>
      </c>
      <c r="AA21" s="238">
        <f>Greitis!G10</f>
        <v>0.83599999999999997</v>
      </c>
    </row>
    <row r="22" spans="1:27" ht="15" x14ac:dyDescent="0.3">
      <c r="A22" s="51"/>
      <c r="B22" s="51"/>
      <c r="C22" s="241"/>
      <c r="D22" s="51"/>
      <c r="E22" s="51"/>
      <c r="F22" s="82">
        <f>(F6)</f>
        <v>40</v>
      </c>
      <c r="G22" s="95">
        <f t="shared" si="23"/>
        <v>4.1898181061790636</v>
      </c>
      <c r="H22" s="83">
        <f>(H6)</f>
        <v>1000</v>
      </c>
      <c r="I22" s="86">
        <f>(I6)</f>
        <v>-1</v>
      </c>
      <c r="J22" s="170">
        <v>100</v>
      </c>
      <c r="K22" s="82">
        <f>(K17)</f>
        <v>7</v>
      </c>
      <c r="L22" s="60">
        <f t="shared" si="24"/>
        <v>0.06</v>
      </c>
      <c r="M22" s="83">
        <f>(M6)</f>
        <v>6</v>
      </c>
      <c r="N22" s="169">
        <v>10</v>
      </c>
      <c r="O22" s="170">
        <v>10</v>
      </c>
      <c r="P22" s="86">
        <f>(P6)</f>
        <v>10</v>
      </c>
      <c r="Q22" s="86">
        <f>(Q6)</f>
        <v>4</v>
      </c>
      <c r="R22" s="51"/>
      <c r="S22" s="51"/>
      <c r="X22" s="237">
        <f>Greitis!E11</f>
        <v>0.14000000000000001</v>
      </c>
      <c r="Y22" s="76">
        <f>AA22*129*(SQRT(X22*(273+F22)/(H22+I22)/Greitis!L11))</f>
        <v>4.1898181061790636</v>
      </c>
      <c r="Z22" s="95">
        <f>Aerodinamika!K22</f>
        <v>1.0363674089827732</v>
      </c>
      <c r="AA22" s="238">
        <f>Greitis!G11</f>
        <v>0.83599999999999997</v>
      </c>
    </row>
    <row r="23" spans="1:27" ht="15" x14ac:dyDescent="0.3">
      <c r="A23" s="36"/>
      <c r="B23" s="36"/>
      <c r="C23" s="242"/>
      <c r="D23" s="36"/>
      <c r="E23" s="36"/>
      <c r="F23" s="82">
        <f>(F6)</f>
        <v>40</v>
      </c>
      <c r="G23" s="95">
        <f t="shared" si="23"/>
        <v>4.1898181061790636</v>
      </c>
      <c r="H23" s="83">
        <f>(H6)</f>
        <v>1000</v>
      </c>
      <c r="I23" s="86">
        <f>(I6)</f>
        <v>-1</v>
      </c>
      <c r="J23" s="170">
        <v>100</v>
      </c>
      <c r="K23" s="82">
        <f>(K17)</f>
        <v>7</v>
      </c>
      <c r="L23" s="60">
        <f t="shared" si="24"/>
        <v>0.06</v>
      </c>
      <c r="M23" s="83">
        <f>(M6)</f>
        <v>6</v>
      </c>
      <c r="N23" s="169">
        <v>10</v>
      </c>
      <c r="O23" s="170">
        <v>10</v>
      </c>
      <c r="P23" s="86">
        <f>(P6)</f>
        <v>10</v>
      </c>
      <c r="Q23" s="86">
        <f>(Q6)</f>
        <v>4</v>
      </c>
      <c r="R23" s="36"/>
      <c r="S23" s="36"/>
      <c r="X23" s="237">
        <f>Greitis!E12</f>
        <v>0.14000000000000001</v>
      </c>
      <c r="Y23" s="76">
        <f>AA23*129*(SQRT(X23*(273+F23)/(H23+I23)/Greitis!L12))</f>
        <v>4.1898181061790636</v>
      </c>
      <c r="Z23" s="95">
        <f>Aerodinamika!K23</f>
        <v>1.0363674089827732</v>
      </c>
      <c r="AA23" s="238">
        <f>Greitis!G12</f>
        <v>0.83599999999999997</v>
      </c>
    </row>
    <row r="24" spans="1:27" x14ac:dyDescent="0.3">
      <c r="L24" s="85">
        <f>SUM(L17:L23)</f>
        <v>0.42</v>
      </c>
      <c r="M24" s="153">
        <f>SUM(M17:M23)</f>
        <v>42</v>
      </c>
      <c r="N24" s="154">
        <f>AVERAGE(N17:N23)</f>
        <v>10</v>
      </c>
    </row>
    <row r="25" spans="1:27" ht="28" x14ac:dyDescent="0.3">
      <c r="L25" s="79" t="s">
        <v>30</v>
      </c>
      <c r="M25" s="49" t="s">
        <v>99</v>
      </c>
      <c r="N25" s="49" t="s">
        <v>141</v>
      </c>
    </row>
    <row r="27" spans="1:27" ht="21.75" customHeight="1" x14ac:dyDescent="0.3">
      <c r="L27" s="78"/>
      <c r="M27" s="154">
        <f>(M13+M24)</f>
        <v>84</v>
      </c>
      <c r="N27" s="154">
        <f>(N13+N24)/2</f>
        <v>10</v>
      </c>
      <c r="O27" s="118"/>
      <c r="P27" s="118"/>
      <c r="Q27" s="118"/>
    </row>
    <row r="28" spans="1:27" ht="48.75" customHeight="1" x14ac:dyDescent="0.3">
      <c r="L28" s="78"/>
      <c r="M28" s="49" t="s">
        <v>100</v>
      </c>
      <c r="N28" s="49" t="s">
        <v>142</v>
      </c>
    </row>
    <row r="37" ht="15" customHeight="1" x14ac:dyDescent="0.3"/>
    <row r="74" spans="1:2" x14ac:dyDescent="0.3">
      <c r="A74" s="25"/>
      <c r="B74" s="25"/>
    </row>
    <row r="75" spans="1:2" x14ac:dyDescent="0.3">
      <c r="A75" s="25"/>
      <c r="B75" s="25"/>
    </row>
    <row r="76" spans="1:2" x14ac:dyDescent="0.3">
      <c r="A76" s="25"/>
      <c r="B76" s="25"/>
    </row>
    <row r="77" spans="1:2" x14ac:dyDescent="0.3">
      <c r="A77" s="25"/>
      <c r="B77" s="25"/>
    </row>
  </sheetData>
  <sheetProtection algorithmName="SHA-512" hashValue="XsP/gRgLOuDZk+vkN4dKAsv/9zBwwViO2dPpnpHYe/Tue7My8bI8jsN5ulWWx4JfQ8I3F/VLgn52kXE2jnJw4Q==" saltValue="V+ITFIg4XvNHdFSiOdSufQ==" spinCount="100000" sheet="1" formatCells="0" formatColumns="0" formatRows="0"/>
  <mergeCells count="7">
    <mergeCell ref="V10:V12"/>
    <mergeCell ref="C17:C23"/>
    <mergeCell ref="T10:T12"/>
    <mergeCell ref="U10:U12"/>
    <mergeCell ref="C1:D1"/>
    <mergeCell ref="A2:S2"/>
    <mergeCell ref="C6:C12"/>
  </mergeCells>
  <phoneticPr fontId="7" type="noConversion"/>
  <pageMargins left="0.19685039370078741" right="0" top="0.74803149606299213" bottom="0.35433070866141736" header="0.31496062992125984" footer="0.31496062992125984"/>
  <pageSetup paperSize="9" scale="66"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259"/>
  <sheetViews>
    <sheetView zoomScale="80" zoomScaleNormal="80" workbookViewId="0">
      <pane ySplit="5" topLeftCell="A6" activePane="bottomLeft" state="frozen"/>
      <selection pane="bottomLeft" activeCell="I27" sqref="I27:I28"/>
    </sheetView>
  </sheetViews>
  <sheetFormatPr defaultColWidth="9.1796875" defaultRowHeight="14" outlineLevelCol="1" x14ac:dyDescent="0.3"/>
  <cols>
    <col min="1" max="1" width="11.26953125" style="14" customWidth="1"/>
    <col min="2" max="2" width="13.26953125" style="14" customWidth="1"/>
    <col min="3" max="3" width="20.81640625" style="14" customWidth="1"/>
    <col min="4" max="4" width="12.81640625" style="14" customWidth="1"/>
    <col min="5" max="5" width="13.54296875" style="14" customWidth="1"/>
    <col min="6" max="6" width="16.7265625" style="14" customWidth="1"/>
    <col min="7" max="7" width="13.54296875" style="14" customWidth="1"/>
    <col min="8" max="8" width="10.453125" style="14" customWidth="1"/>
    <col min="9" max="9" width="12.1796875" style="14" customWidth="1" outlineLevel="1"/>
    <col min="10" max="10" width="10" style="14" customWidth="1" outlineLevel="1"/>
    <col min="11" max="11" width="10.26953125" style="14" customWidth="1"/>
    <col min="12" max="12" width="11.54296875" style="14" customWidth="1"/>
    <col min="13" max="13" width="17" style="14" customWidth="1"/>
    <col min="14" max="14" width="15.453125" style="14" customWidth="1"/>
    <col min="15" max="16384" width="9.1796875" style="14"/>
  </cols>
  <sheetData>
    <row r="1" spans="1:17" ht="30.75" customHeight="1" x14ac:dyDescent="0.3">
      <c r="C1" s="244" t="s">
        <v>19</v>
      </c>
      <c r="D1" s="244"/>
      <c r="Q1" s="16"/>
    </row>
    <row r="2" spans="1:17" ht="19.5" customHeight="1" x14ac:dyDescent="0.3">
      <c r="C2" s="269" t="s">
        <v>102</v>
      </c>
      <c r="D2" s="269"/>
      <c r="E2" s="269"/>
      <c r="F2" s="269"/>
      <c r="G2" s="269"/>
      <c r="H2" s="269"/>
      <c r="I2" s="269"/>
      <c r="J2" s="269"/>
      <c r="K2" s="269"/>
      <c r="L2" s="269"/>
      <c r="M2" s="269"/>
      <c r="Q2" s="16"/>
    </row>
    <row r="3" spans="1:17" ht="12" customHeight="1" x14ac:dyDescent="0.3">
      <c r="C3" s="24"/>
      <c r="H3" s="25"/>
      <c r="Q3" s="16"/>
    </row>
    <row r="4" spans="1:17" ht="8.25" customHeight="1" x14ac:dyDescent="0.3"/>
    <row r="5" spans="1:17" ht="126.75" customHeight="1" x14ac:dyDescent="0.3">
      <c r="A5" s="123" t="s">
        <v>8</v>
      </c>
      <c r="B5" s="123" t="s">
        <v>66</v>
      </c>
      <c r="C5" s="123" t="s">
        <v>9</v>
      </c>
      <c r="D5" s="12" t="s">
        <v>67</v>
      </c>
      <c r="E5" s="12" t="s">
        <v>68</v>
      </c>
      <c r="F5" s="12" t="s">
        <v>69</v>
      </c>
      <c r="G5" s="12" t="s">
        <v>70</v>
      </c>
      <c r="H5" s="12" t="s">
        <v>71</v>
      </c>
      <c r="I5" s="12" t="s">
        <v>72</v>
      </c>
      <c r="J5" s="12" t="s">
        <v>73</v>
      </c>
      <c r="K5" s="38" t="s">
        <v>16</v>
      </c>
      <c r="L5" s="38" t="s">
        <v>17</v>
      </c>
      <c r="M5" s="12" t="s">
        <v>12</v>
      </c>
      <c r="N5" s="54" t="s">
        <v>6</v>
      </c>
    </row>
    <row r="6" spans="1:17" ht="15" customHeight="1" x14ac:dyDescent="0.3">
      <c r="A6" s="91">
        <f>Paėmimas!A6</f>
        <v>46210</v>
      </c>
      <c r="B6" s="92">
        <f>Paėmimas!B6</f>
        <v>1</v>
      </c>
      <c r="C6" s="240" t="str">
        <f>Paėmimas!C6</f>
        <v>UAB ,,Ekopartneris", L. Ivinskio g. 65, Kaunas. Katilinė. Taršos šaltinis  Nr. 001.</v>
      </c>
      <c r="D6" s="60">
        <f>Paėmimas!L6</f>
        <v>0.06</v>
      </c>
      <c r="E6" s="93">
        <f>D6*(273/(273+Paėmimas!O6)*(Paėmimas!H6-Paėmimas!J6)/1013)</f>
        <v>5.1423368994589762E-2</v>
      </c>
      <c r="F6" s="94">
        <f>SUM(E6:E12)</f>
        <v>0.35996358296212833</v>
      </c>
      <c r="G6" s="86">
        <f>((Paėmimas!Q6/100)*1.965)+((Paėmimas!P6/100)*1.429)+((1-(Paėmimas!Q6/100)-(Paėmimas!P6/100))*1.251)</f>
        <v>1.2973599999999998</v>
      </c>
      <c r="H6" s="60">
        <f>H2O!K7</f>
        <v>6.352173020933173</v>
      </c>
      <c r="I6" s="60">
        <f>(E6/(1-(H6/1000))*((273+Paėmimas!F6)/273)*(1013/(Paėmimas!H6+Paėmimas!I6)))</f>
        <v>6.0166352874731724E-2</v>
      </c>
      <c r="J6" s="60">
        <f>(I6/(Paėmimas!M6*60)/((3.142*((Paėmimas!K6/1000)*(Paėmimas!K6/1000))/4)))</f>
        <v>4.3421909348099064</v>
      </c>
      <c r="K6" s="95">
        <f>J6/Paėmimas!G6</f>
        <v>1.0363674089827732</v>
      </c>
      <c r="L6" s="96">
        <f>AVERAGE(K6:K12)</f>
        <v>1.0363674089827732</v>
      </c>
      <c r="M6" s="84" t="str">
        <f>Paėmimas!R6</f>
        <v>S.Č., 2026-05-02</v>
      </c>
      <c r="N6" s="97" t="str">
        <f>Paėmimas!S6</f>
        <v>1 linija, 1 filtras</v>
      </c>
    </row>
    <row r="7" spans="1:17" ht="15" customHeight="1" x14ac:dyDescent="0.3">
      <c r="A7" s="61"/>
      <c r="B7" s="23"/>
      <c r="C7" s="241"/>
      <c r="D7" s="60">
        <f>Paėmimas!L7</f>
        <v>0.06</v>
      </c>
      <c r="E7" s="93">
        <f>D7*(273/(273+Paėmimas!O7)*(Paėmimas!H7-Paėmimas!J7)/1013)</f>
        <v>5.1423368994589762E-2</v>
      </c>
      <c r="F7" s="62"/>
      <c r="G7" s="86">
        <f>((Paėmimas!Q7/100)*1.965)+((Paėmimas!P7/100)*1.429)+((1-(Paėmimas!Q7/100)-(Paėmimas!P7/100))*1.251)</f>
        <v>1.2973599999999998</v>
      </c>
      <c r="H7" s="60">
        <f>H2O!K7</f>
        <v>6.352173020933173</v>
      </c>
      <c r="I7" s="60">
        <f>(E7/(1-(H7/1000))*((273+Paėmimas!F7)/273)*(1013/(Paėmimas!H7+Paėmimas!I7)))</f>
        <v>6.0166352874731724E-2</v>
      </c>
      <c r="J7" s="60">
        <f>(I7/(Paėmimas!M7*60)/((3.142*((Paėmimas!K7/1000)*(Paėmimas!K7/1000))/4)))</f>
        <v>4.3421909348099064</v>
      </c>
      <c r="K7" s="95">
        <f>J7/Paėmimas!G7</f>
        <v>1.0363674089827732</v>
      </c>
      <c r="L7" s="19"/>
      <c r="M7" s="62"/>
      <c r="N7" s="34"/>
    </row>
    <row r="8" spans="1:17" ht="15" customHeight="1" x14ac:dyDescent="0.3">
      <c r="A8" s="61"/>
      <c r="B8" s="23"/>
      <c r="C8" s="241"/>
      <c r="D8" s="60">
        <f>Paėmimas!L8</f>
        <v>0.06</v>
      </c>
      <c r="E8" s="93">
        <f>D8*(273/(273+Paėmimas!O8)*(Paėmimas!H8-Paėmimas!J8)/1013)</f>
        <v>5.1423368994589762E-2</v>
      </c>
      <c r="F8" s="62"/>
      <c r="G8" s="86">
        <f>((Paėmimas!Q8/100)*1.965)+((Paėmimas!P8/100)*1.429)+((1-(Paėmimas!Q8/100)-(Paėmimas!P8/100))*1.251)</f>
        <v>1.2973599999999998</v>
      </c>
      <c r="H8" s="60">
        <f>H2O!K7</f>
        <v>6.352173020933173</v>
      </c>
      <c r="I8" s="60">
        <f>(E8/(1-(H8/1000))*((273+Paėmimas!F8)/273)*(1013/(Paėmimas!H8+Paėmimas!I8)))</f>
        <v>6.0166352874731724E-2</v>
      </c>
      <c r="J8" s="60">
        <f>(I8/(Paėmimas!M8*60)/((3.142*((Paėmimas!K8/1000)*(Paėmimas!K8/1000))/4)))</f>
        <v>4.3421909348099064</v>
      </c>
      <c r="K8" s="95">
        <f>J8/Paėmimas!G8</f>
        <v>1.0363674089827732</v>
      </c>
      <c r="L8" s="19"/>
      <c r="M8" s="62"/>
      <c r="N8" s="34"/>
    </row>
    <row r="9" spans="1:17" ht="15" customHeight="1" x14ac:dyDescent="0.3">
      <c r="A9" s="61"/>
      <c r="B9" s="23"/>
      <c r="C9" s="241"/>
      <c r="D9" s="60">
        <f>Paėmimas!L9</f>
        <v>0.06</v>
      </c>
      <c r="E9" s="93">
        <f>D9*(273/(273+Paėmimas!O9)*(Paėmimas!H9-Paėmimas!J9)/1013)</f>
        <v>5.1423368994589762E-2</v>
      </c>
      <c r="F9" s="62"/>
      <c r="G9" s="86">
        <f>((Paėmimas!Q9/100)*1.965)+((Paėmimas!P9/100)*1.429)+((1-(Paėmimas!Q9/100)-(Paėmimas!P9/100))*1.251)</f>
        <v>1.2973599999999998</v>
      </c>
      <c r="H9" s="60">
        <f>H2O!K7</f>
        <v>6.352173020933173</v>
      </c>
      <c r="I9" s="60">
        <f>(E9/(1-(H9/1000))*((273+Paėmimas!F9)/273)*(1013/(Paėmimas!H9+Paėmimas!I9)))</f>
        <v>6.0166352874731724E-2</v>
      </c>
      <c r="J9" s="60">
        <f>(I9/(Paėmimas!M9*60)/((3.142*((Paėmimas!K9/1000)*(Paėmimas!K9/1000))/4)))</f>
        <v>4.3421909348099064</v>
      </c>
      <c r="K9" s="95">
        <f>J9/Paėmimas!G9</f>
        <v>1.0363674089827732</v>
      </c>
      <c r="L9" s="19"/>
      <c r="M9" s="62"/>
      <c r="N9" s="34"/>
    </row>
    <row r="10" spans="1:17" ht="15" customHeight="1" x14ac:dyDescent="0.3">
      <c r="A10" s="61"/>
      <c r="B10" s="23"/>
      <c r="C10" s="241"/>
      <c r="D10" s="60">
        <f>Paėmimas!L10</f>
        <v>0.06</v>
      </c>
      <c r="E10" s="93">
        <f>D10*(273/(273+Paėmimas!O10)*(Paėmimas!H10-Paėmimas!J10)/1013)</f>
        <v>5.1423368994589762E-2</v>
      </c>
      <c r="F10" s="62"/>
      <c r="G10" s="86">
        <f>((Paėmimas!Q10/100)*1.965)+((Paėmimas!P10/100)*1.429)+((1-(Paėmimas!Q10/100)-(Paėmimas!P10/100))*1.251)</f>
        <v>1.2973599999999998</v>
      </c>
      <c r="H10" s="60">
        <f>H2O!K7</f>
        <v>6.352173020933173</v>
      </c>
      <c r="I10" s="60">
        <f>(E10/(1-(H10/1000))*((273+Paėmimas!F10)/273)*(1013/(Paėmimas!H10+Paėmimas!I10)))</f>
        <v>6.0166352874731724E-2</v>
      </c>
      <c r="J10" s="60">
        <f>(I10/(Paėmimas!M10*60)/((3.142*((Paėmimas!K10/1000)*(Paėmimas!K10/1000))/4)))</f>
        <v>4.3421909348099064</v>
      </c>
      <c r="K10" s="95">
        <f>J10/Paėmimas!G10</f>
        <v>1.0363674089827732</v>
      </c>
      <c r="L10" s="19"/>
      <c r="M10" s="62"/>
      <c r="N10" s="34"/>
    </row>
    <row r="11" spans="1:17" ht="15" customHeight="1" x14ac:dyDescent="0.3">
      <c r="A11" s="61"/>
      <c r="B11" s="23"/>
      <c r="C11" s="241"/>
      <c r="D11" s="60">
        <f>Paėmimas!L11</f>
        <v>0.06</v>
      </c>
      <c r="E11" s="93">
        <f>D11*(273/(273+Paėmimas!O11)*(Paėmimas!H11-Paėmimas!J11)/1013)</f>
        <v>5.1423368994589762E-2</v>
      </c>
      <c r="F11" s="62"/>
      <c r="G11" s="86">
        <f>((Paėmimas!Q11/100)*1.965)+((Paėmimas!P11/100)*1.429)+((1-(Paėmimas!Q11/100)-(Paėmimas!P11/100))*1.251)</f>
        <v>1.2973599999999998</v>
      </c>
      <c r="H11" s="60">
        <f>H2O!K7</f>
        <v>6.352173020933173</v>
      </c>
      <c r="I11" s="60">
        <f>(E11/(1-(H11/1000))*((273+Paėmimas!F11)/273)*(1013/(Paėmimas!H11+Paėmimas!I11)))</f>
        <v>6.0166352874731724E-2</v>
      </c>
      <c r="J11" s="60">
        <f>(I11/(Paėmimas!M11*60)/((3.142*((Paėmimas!K11/1000)*(Paėmimas!K11/1000))/4)))</f>
        <v>4.3421909348099064</v>
      </c>
      <c r="K11" s="95">
        <f>J11/Paėmimas!G11</f>
        <v>1.0363674089827732</v>
      </c>
      <c r="L11" s="19"/>
      <c r="M11" s="62"/>
      <c r="N11" s="34"/>
    </row>
    <row r="12" spans="1:17" ht="15" customHeight="1" x14ac:dyDescent="0.3">
      <c r="A12" s="63"/>
      <c r="B12" s="64"/>
      <c r="C12" s="241"/>
      <c r="D12" s="60">
        <f>Paėmimas!L12</f>
        <v>0.06</v>
      </c>
      <c r="E12" s="93">
        <f>D12*(273/(273+Paėmimas!O12)*(Paėmimas!H12-Paėmimas!J12)/1013)</f>
        <v>5.1423368994589762E-2</v>
      </c>
      <c r="F12" s="62"/>
      <c r="G12" s="86">
        <f>((Paėmimas!Q12/100)*1.965)+((Paėmimas!P12/100)*1.429)+((1-(Paėmimas!Q12/100)-(Paėmimas!P12/100))*1.251)</f>
        <v>1.2973599999999998</v>
      </c>
      <c r="H12" s="60">
        <f>H2O!K7</f>
        <v>6.352173020933173</v>
      </c>
      <c r="I12" s="60">
        <f>(E12/(1-(H12/1000))*((273+Paėmimas!F12)/273)*(1013/(Paėmimas!H12+Paėmimas!I12)))</f>
        <v>6.0166352874731724E-2</v>
      </c>
      <c r="J12" s="60">
        <f>(I12/(Paėmimas!M12*60)/((3.142*((Paėmimas!K12/1000)*(Paėmimas!K12/1000))/4)))</f>
        <v>4.3421909348099064</v>
      </c>
      <c r="K12" s="95">
        <f>J12/Paėmimas!G12</f>
        <v>1.0363674089827732</v>
      </c>
      <c r="L12" s="66"/>
      <c r="M12" s="65"/>
      <c r="N12" s="22"/>
    </row>
    <row r="13" spans="1:17" ht="17.25" customHeight="1" x14ac:dyDescent="0.3">
      <c r="C13" s="99"/>
      <c r="D13" s="99"/>
      <c r="E13" s="99"/>
      <c r="F13" s="99"/>
      <c r="G13" s="95">
        <f>AVERAGE(G6:G12)</f>
        <v>1.2973599999999996</v>
      </c>
      <c r="H13" s="99"/>
      <c r="I13" s="155">
        <f>SUM(I6:I12)</f>
        <v>0.42116447012312203</v>
      </c>
      <c r="J13" s="99"/>
    </row>
    <row r="14" spans="1:17" ht="34.5" customHeight="1" x14ac:dyDescent="0.3">
      <c r="C14" s="100"/>
      <c r="D14" s="100"/>
      <c r="E14" s="100"/>
      <c r="F14" s="100"/>
      <c r="G14" s="49" t="s">
        <v>29</v>
      </c>
      <c r="H14" s="100"/>
      <c r="I14" s="49" t="s">
        <v>143</v>
      </c>
      <c r="J14" s="100"/>
    </row>
    <row r="15" spans="1:17" ht="15" customHeight="1" x14ac:dyDescent="0.3">
      <c r="C15" s="100"/>
      <c r="D15" s="100"/>
      <c r="E15" s="100"/>
      <c r="F15" s="100"/>
      <c r="G15" s="57"/>
      <c r="H15" s="100"/>
      <c r="I15" s="100"/>
      <c r="J15" s="100"/>
    </row>
    <row r="17" spans="1:14" x14ac:dyDescent="0.3">
      <c r="A17" s="91">
        <f>Paėmimas!A17</f>
        <v>46210</v>
      </c>
      <c r="B17" s="92">
        <f>Paėmimas!B17</f>
        <v>1</v>
      </c>
      <c r="C17" s="240" t="str">
        <f>Paėmimas!C17</f>
        <v>UAB ,,Ekopartneris", L. Ivinskio g. 65, Kaunas. Katilinė. Taršos šaltinis  Nr. 001.</v>
      </c>
      <c r="D17" s="60">
        <f>Paėmimas!L17</f>
        <v>0.06</v>
      </c>
      <c r="E17" s="93">
        <f>D17*(273/(273+Paėmimas!O17)*(Paėmimas!H17-Paėmimas!J17)/1013)</f>
        <v>5.1423368994589762E-2</v>
      </c>
      <c r="F17" s="94">
        <f>SUM(E17:E23)</f>
        <v>0.35996358296212833</v>
      </c>
      <c r="G17" s="86">
        <f>((Paėmimas!Q17/100)*1.965)+((Paėmimas!P17/100)*1.429)+((1-(Paėmimas!Q17/100)-(Paėmimas!P17/100))*1.251)</f>
        <v>1.2973599999999998</v>
      </c>
      <c r="H17" s="60">
        <f>H2O!K7</f>
        <v>6.352173020933173</v>
      </c>
      <c r="I17" s="60">
        <f>(E17/(1-(H17/1000))*((273+Paėmimas!F17)/273)*(1013/(Paėmimas!H17+Paėmimas!I17)))</f>
        <v>6.0166352874731724E-2</v>
      </c>
      <c r="J17" s="60">
        <f>(I17/(Paėmimas!M17*60)/((3.142*((Paėmimas!K17/1000)*(Paėmimas!K17/1000))/4)))</f>
        <v>4.3421909348099064</v>
      </c>
      <c r="K17" s="95">
        <f>J17/Paėmimas!G17</f>
        <v>1.0363674089827732</v>
      </c>
      <c r="L17" s="96">
        <f>AVERAGE(K17:K23)</f>
        <v>1.0363674089827732</v>
      </c>
      <c r="M17" s="84" t="str">
        <f>Paėmimas!R17</f>
        <v>S.Č., 2026-05-02</v>
      </c>
      <c r="N17" s="97" t="str">
        <f>Paėmimas!S17</f>
        <v>1 linija, 2 filtras</v>
      </c>
    </row>
    <row r="18" spans="1:14" x14ac:dyDescent="0.3">
      <c r="A18" s="61"/>
      <c r="B18" s="23"/>
      <c r="C18" s="241"/>
      <c r="D18" s="60">
        <f>Paėmimas!L18</f>
        <v>0.06</v>
      </c>
      <c r="E18" s="93">
        <f>D18*(273/(273+Paėmimas!O18)*(Paėmimas!H18-Paėmimas!J18)/1013)</f>
        <v>5.1423368994589762E-2</v>
      </c>
      <c r="F18" s="62"/>
      <c r="G18" s="86">
        <f>((Paėmimas!Q18/100)*1.965)+((Paėmimas!P18/100)*1.429)+((1-(Paėmimas!Q18/100)-(Paėmimas!P18/100))*1.251)</f>
        <v>1.2973599999999998</v>
      </c>
      <c r="H18" s="60">
        <f>H2O!K7</f>
        <v>6.352173020933173</v>
      </c>
      <c r="I18" s="60">
        <f>(E18/(1-(H18/1000))*((273+Paėmimas!F18)/273)*(1013/(Paėmimas!H18+Paėmimas!I18)))</f>
        <v>6.0166352874731724E-2</v>
      </c>
      <c r="J18" s="60">
        <f>(I18/(Paėmimas!M18*60)/((3.142*((Paėmimas!K18/1000)*(Paėmimas!K18/1000))/4)))</f>
        <v>4.3421909348099064</v>
      </c>
      <c r="K18" s="95">
        <f>J18/Paėmimas!G18</f>
        <v>1.0363674089827732</v>
      </c>
      <c r="L18" s="19"/>
      <c r="M18" s="62"/>
      <c r="N18" s="34"/>
    </row>
    <row r="19" spans="1:14" x14ac:dyDescent="0.3">
      <c r="A19" s="61"/>
      <c r="B19" s="23"/>
      <c r="C19" s="241"/>
      <c r="D19" s="60">
        <f>Paėmimas!L19</f>
        <v>0.06</v>
      </c>
      <c r="E19" s="93">
        <f>D19*(273/(273+Paėmimas!O19)*(Paėmimas!H19-Paėmimas!J19)/1013)</f>
        <v>5.1423368994589762E-2</v>
      </c>
      <c r="F19" s="62"/>
      <c r="G19" s="86">
        <f>((Paėmimas!Q19/100)*1.965)+((Paėmimas!P19/100)*1.429)+((1-(Paėmimas!Q19/100)-(Paėmimas!P19/100))*1.251)</f>
        <v>1.2973599999999998</v>
      </c>
      <c r="H19" s="60">
        <f>H2O!K7</f>
        <v>6.352173020933173</v>
      </c>
      <c r="I19" s="60">
        <f>(E19/(1-(H19/1000))*((273+Paėmimas!F19)/273)*(1013/(Paėmimas!H19+Paėmimas!I19)))</f>
        <v>6.0166352874731724E-2</v>
      </c>
      <c r="J19" s="60">
        <f>(I19/(Paėmimas!M19*60)/((3.142*((Paėmimas!K19/1000)*(Paėmimas!K19/1000))/4)))</f>
        <v>4.3421909348099064</v>
      </c>
      <c r="K19" s="95">
        <f>J19/Paėmimas!G19</f>
        <v>1.0363674089827732</v>
      </c>
      <c r="L19" s="19"/>
      <c r="M19" s="62"/>
      <c r="N19" s="34"/>
    </row>
    <row r="20" spans="1:14" x14ac:dyDescent="0.3">
      <c r="A20" s="61"/>
      <c r="B20" s="23"/>
      <c r="C20" s="241"/>
      <c r="D20" s="60">
        <f>Paėmimas!L20</f>
        <v>0.06</v>
      </c>
      <c r="E20" s="93">
        <f>D20*(273/(273+Paėmimas!O20)*(Paėmimas!H20-Paėmimas!J20)/1013)</f>
        <v>5.1423368994589762E-2</v>
      </c>
      <c r="F20" s="62"/>
      <c r="G20" s="86">
        <f>((Paėmimas!Q20/100)*1.965)+((Paėmimas!P20/100)*1.429)+((1-(Paėmimas!Q20/100)-(Paėmimas!P20/100))*1.251)</f>
        <v>1.2973599999999998</v>
      </c>
      <c r="H20" s="60">
        <f>H2O!K7</f>
        <v>6.352173020933173</v>
      </c>
      <c r="I20" s="60">
        <f>(E20/(1-(H20/1000))*((273+Paėmimas!F20)/273)*(1013/(Paėmimas!H20+Paėmimas!I20)))</f>
        <v>6.0166352874731724E-2</v>
      </c>
      <c r="J20" s="60">
        <f>(I20/(Paėmimas!M20*60)/((3.142*((Paėmimas!K20/1000)*(Paėmimas!K20/1000))/4)))</f>
        <v>4.3421909348099064</v>
      </c>
      <c r="K20" s="95">
        <f>J20/Paėmimas!G20</f>
        <v>1.0363674089827732</v>
      </c>
      <c r="L20" s="19"/>
      <c r="M20" s="62"/>
      <c r="N20" s="34"/>
    </row>
    <row r="21" spans="1:14" x14ac:dyDescent="0.3">
      <c r="A21" s="61"/>
      <c r="B21" s="23"/>
      <c r="C21" s="241"/>
      <c r="D21" s="60">
        <f>Paėmimas!L21</f>
        <v>0.06</v>
      </c>
      <c r="E21" s="93">
        <f>D21*(273/(273+Paėmimas!O21)*(Paėmimas!H21-Paėmimas!J21)/1013)</f>
        <v>5.1423368994589762E-2</v>
      </c>
      <c r="F21" s="62"/>
      <c r="G21" s="86">
        <f>((Paėmimas!Q21/100)*1.965)+((Paėmimas!P21/100)*1.429)+((1-(Paėmimas!Q21/100)-(Paėmimas!P21/100))*1.251)</f>
        <v>1.2973599999999998</v>
      </c>
      <c r="H21" s="60">
        <f>H2O!K7</f>
        <v>6.352173020933173</v>
      </c>
      <c r="I21" s="60">
        <f>(E21/(1-(H21/1000))*((273+Paėmimas!F21)/273)*(1013/(Paėmimas!H21+Paėmimas!I21)))</f>
        <v>6.0166352874731724E-2</v>
      </c>
      <c r="J21" s="60">
        <f>(I21/(Paėmimas!M21*60)/((3.142*((Paėmimas!K21/1000)*(Paėmimas!K21/1000))/4)))</f>
        <v>4.3421909348099064</v>
      </c>
      <c r="K21" s="95">
        <f>J21/Paėmimas!G21</f>
        <v>1.0363674089827732</v>
      </c>
      <c r="L21" s="19"/>
      <c r="M21" s="62"/>
      <c r="N21" s="34"/>
    </row>
    <row r="22" spans="1:14" x14ac:dyDescent="0.3">
      <c r="A22" s="61"/>
      <c r="B22" s="23"/>
      <c r="C22" s="241"/>
      <c r="D22" s="60">
        <f>Paėmimas!L22</f>
        <v>0.06</v>
      </c>
      <c r="E22" s="93">
        <f>D22*(273/(273+Paėmimas!O22)*(Paėmimas!H22-Paėmimas!J22)/1013)</f>
        <v>5.1423368994589762E-2</v>
      </c>
      <c r="F22" s="62"/>
      <c r="G22" s="86">
        <f>((Paėmimas!Q22/100)*1.965)+((Paėmimas!P22/100)*1.429)+((1-(Paėmimas!Q22/100)-(Paėmimas!P22/100))*1.251)</f>
        <v>1.2973599999999998</v>
      </c>
      <c r="H22" s="60">
        <f>H2O!K7</f>
        <v>6.352173020933173</v>
      </c>
      <c r="I22" s="60">
        <f>(E22/(1-(H22/1000))*((273+Paėmimas!F22)/273)*(1013/(Paėmimas!H22+Paėmimas!I22)))</f>
        <v>6.0166352874731724E-2</v>
      </c>
      <c r="J22" s="60">
        <f>(I22/(Paėmimas!M22*60)/((3.142*((Paėmimas!K22/1000)*(Paėmimas!K22/1000))/4)))</f>
        <v>4.3421909348099064</v>
      </c>
      <c r="K22" s="95">
        <f>J22/Paėmimas!G22</f>
        <v>1.0363674089827732</v>
      </c>
      <c r="L22" s="19"/>
      <c r="M22" s="62"/>
      <c r="N22" s="34"/>
    </row>
    <row r="23" spans="1:14" x14ac:dyDescent="0.3">
      <c r="A23" s="63"/>
      <c r="B23" s="64"/>
      <c r="C23" s="241"/>
      <c r="D23" s="60">
        <f>Paėmimas!L23</f>
        <v>0.06</v>
      </c>
      <c r="E23" s="93">
        <f>D23*(273/(273+Paėmimas!O23)*(Paėmimas!H23-Paėmimas!J23)/1013)</f>
        <v>5.1423368994589762E-2</v>
      </c>
      <c r="F23" s="65"/>
      <c r="G23" s="86">
        <f>((Paėmimas!Q23/100)*1.965)+((Paėmimas!P23/100)*1.429)+((1-(Paėmimas!Q23/100)-(Paėmimas!P23/100))*1.251)</f>
        <v>1.2973599999999998</v>
      </c>
      <c r="H23" s="60">
        <f>H2O!K7</f>
        <v>6.352173020933173</v>
      </c>
      <c r="I23" s="60">
        <f>(E23/(1-(H23/1000))*((273+Paėmimas!F23)/273)*(1013/(Paėmimas!H23+Paėmimas!I23)))</f>
        <v>6.0166352874731724E-2</v>
      </c>
      <c r="J23" s="60">
        <f>(I23/(Paėmimas!M23*60)/((3.142*((Paėmimas!K23/1000)*(Paėmimas!K23/1000))/4)))</f>
        <v>4.3421909348099064</v>
      </c>
      <c r="K23" s="95">
        <f>J23/Paėmimas!G23</f>
        <v>1.0363674089827732</v>
      </c>
      <c r="L23" s="66"/>
      <c r="M23" s="65"/>
      <c r="N23" s="22"/>
    </row>
    <row r="24" spans="1:14" x14ac:dyDescent="0.3">
      <c r="C24" s="99"/>
      <c r="D24" s="99"/>
      <c r="E24" s="99"/>
      <c r="F24" s="98">
        <f>SUM(F6+F17)</f>
        <v>0.71992716592425665</v>
      </c>
      <c r="G24" s="95">
        <f>AVERAGE(G17:G23)</f>
        <v>1.2973599999999996</v>
      </c>
      <c r="H24" s="99"/>
      <c r="I24" s="155">
        <f>SUM(I17:I23)</f>
        <v>0.42116447012312203</v>
      </c>
      <c r="J24" s="99"/>
      <c r="L24" s="174">
        <f>(L6+L17)/2</f>
        <v>1.0363674089827732</v>
      </c>
    </row>
    <row r="25" spans="1:14" ht="56" x14ac:dyDescent="0.3">
      <c r="C25" s="100"/>
      <c r="D25" s="100"/>
      <c r="E25" s="100"/>
      <c r="F25" s="49" t="s">
        <v>37</v>
      </c>
      <c r="G25" s="49" t="s">
        <v>29</v>
      </c>
      <c r="H25" s="100"/>
      <c r="I25" s="49" t="s">
        <v>143</v>
      </c>
      <c r="J25" s="100"/>
      <c r="L25" s="49" t="s">
        <v>36</v>
      </c>
    </row>
    <row r="26" spans="1:14" x14ac:dyDescent="0.3">
      <c r="C26" s="101"/>
      <c r="D26" s="101"/>
      <c r="E26" s="101"/>
      <c r="F26" s="101"/>
      <c r="G26" s="101"/>
      <c r="H26" s="101"/>
      <c r="I26" s="101"/>
      <c r="J26" s="101"/>
    </row>
    <row r="27" spans="1:14" x14ac:dyDescent="0.3">
      <c r="C27" s="101"/>
      <c r="D27" s="101"/>
      <c r="E27" s="101"/>
      <c r="F27" s="101"/>
      <c r="G27" s="95">
        <f>(G13+G24)/2</f>
        <v>1.2973599999999996</v>
      </c>
      <c r="H27" s="101"/>
      <c r="I27" s="155">
        <f>SUM(I13+I24)</f>
        <v>0.84232894024624405</v>
      </c>
      <c r="J27" s="101"/>
    </row>
    <row r="28" spans="1:14" ht="55.5" customHeight="1" x14ac:dyDescent="0.3">
      <c r="C28" s="101"/>
      <c r="D28" s="101"/>
      <c r="E28" s="101"/>
      <c r="F28" s="101"/>
      <c r="G28" s="49" t="s">
        <v>35</v>
      </c>
      <c r="H28" s="101"/>
      <c r="I28" s="49" t="s">
        <v>144</v>
      </c>
      <c r="J28" s="101"/>
    </row>
    <row r="29" spans="1:14" x14ac:dyDescent="0.3">
      <c r="C29" s="101"/>
      <c r="D29" s="101"/>
      <c r="E29" s="101"/>
      <c r="F29" s="101"/>
      <c r="G29" s="101"/>
      <c r="H29" s="101"/>
      <c r="I29" s="101"/>
      <c r="J29" s="101"/>
    </row>
    <row r="30" spans="1:14" x14ac:dyDescent="0.3">
      <c r="C30" s="101"/>
      <c r="D30" s="101"/>
      <c r="E30" s="101"/>
      <c r="F30" s="101"/>
      <c r="G30" s="101"/>
      <c r="H30" s="101"/>
      <c r="I30" s="101"/>
      <c r="J30" s="101"/>
    </row>
    <row r="258" spans="3:4" x14ac:dyDescent="0.3">
      <c r="C258" s="26"/>
      <c r="D258" s="14" t="s">
        <v>10</v>
      </c>
    </row>
    <row r="259" spans="3:4" x14ac:dyDescent="0.3">
      <c r="C259" s="27"/>
      <c r="D259" s="14" t="s">
        <v>11</v>
      </c>
    </row>
  </sheetData>
  <sheetProtection algorithmName="SHA-512" hashValue="RqAoMRRpT3TMYAyOfqvM8yMy3fPhn47oScgV/ZOmXTuRg/JIywZWQETPVGroD+V5zrQSNqT96IRZxkcZCB96Gw==" saltValue="PkrBdmjumF3GH5bb/e3idg==" spinCount="100000" sheet="1" formatCells="0" formatColumns="0" formatRows="0"/>
  <mergeCells count="4">
    <mergeCell ref="C2:M2"/>
    <mergeCell ref="C1:D1"/>
    <mergeCell ref="C6:C12"/>
    <mergeCell ref="C17:C23"/>
  </mergeCells>
  <phoneticPr fontId="0" type="noConversion"/>
  <pageMargins left="0.39370078740157483" right="0" top="0.74803149606299213" bottom="0.19685039370078741" header="0.31496062992125984" footer="0.31496062992125984"/>
  <pageSetup paperSize="9" scale="68" fitToHeight="0" orientation="landscape" r:id="rId1"/>
  <headerFooter alignWithMargins="0">
    <oddFooter>&amp;CPuslapių &amp;P &amp;R&amp;"Times New Roman,Paryškintasis"E5-5_02         
2022-02-01, EV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zoomScale="110" zoomScaleNormal="110" workbookViewId="0">
      <selection activeCell="H12" sqref="H12"/>
    </sheetView>
  </sheetViews>
  <sheetFormatPr defaultColWidth="9.1796875" defaultRowHeight="14" x14ac:dyDescent="0.3"/>
  <cols>
    <col min="1" max="1" width="11.7265625" style="14" customWidth="1"/>
    <col min="2" max="2" width="13.453125" style="14" customWidth="1"/>
    <col min="3" max="3" width="24.54296875" style="14" customWidth="1"/>
    <col min="4" max="4" width="8.1796875" style="14" customWidth="1"/>
    <col min="5" max="5" width="11.54296875" style="14" customWidth="1"/>
    <col min="6" max="6" width="12.26953125" style="14" customWidth="1"/>
    <col min="7" max="7" width="11" style="14" customWidth="1"/>
    <col min="8" max="9" width="10.26953125" style="14" customWidth="1"/>
    <col min="10" max="10" width="11.1796875" style="14" customWidth="1"/>
    <col min="11" max="11" width="14.26953125" style="14" customWidth="1"/>
    <col min="12" max="12" width="11.26953125" style="14" customWidth="1"/>
    <col min="13" max="13" width="10.54296875" style="14" customWidth="1"/>
    <col min="14" max="14" width="17.7265625" style="14" customWidth="1"/>
    <col min="15" max="15" width="8.26953125" style="14" customWidth="1"/>
    <col min="16" max="16" width="12.81640625" style="14" customWidth="1"/>
    <col min="17" max="17" width="9.1796875" style="14"/>
    <col min="18" max="18" width="9.54296875" style="14" bestFit="1" customWidth="1"/>
    <col min="19" max="16384" width="9.1796875" style="14"/>
  </cols>
  <sheetData>
    <row r="1" spans="1:18" ht="27.75" customHeight="1" x14ac:dyDescent="0.3">
      <c r="C1" s="244" t="s">
        <v>20</v>
      </c>
      <c r="D1" s="244"/>
      <c r="R1" s="16"/>
    </row>
    <row r="2" spans="1:18" x14ac:dyDescent="0.3">
      <c r="A2" s="269" t="s">
        <v>103</v>
      </c>
      <c r="B2" s="269"/>
      <c r="C2" s="269"/>
      <c r="D2" s="269"/>
      <c r="E2" s="269"/>
      <c r="F2" s="269"/>
      <c r="G2" s="269"/>
      <c r="H2" s="269"/>
      <c r="I2" s="269"/>
      <c r="J2" s="269"/>
      <c r="K2" s="269"/>
      <c r="L2" s="269"/>
      <c r="M2" s="269"/>
      <c r="N2" s="269"/>
      <c r="O2" s="156"/>
    </row>
    <row r="3" spans="1:18" x14ac:dyDescent="0.3">
      <c r="F3" s="29"/>
      <c r="L3" s="16"/>
      <c r="M3" s="16"/>
    </row>
    <row r="4" spans="1:18" ht="12.75" customHeight="1" x14ac:dyDescent="0.3">
      <c r="L4" s="16"/>
      <c r="M4" s="16"/>
    </row>
    <row r="5" spans="1:18" ht="88.5" customHeight="1" x14ac:dyDescent="0.3">
      <c r="A5" s="123" t="s">
        <v>8</v>
      </c>
      <c r="B5" s="123" t="s">
        <v>50</v>
      </c>
      <c r="C5" s="12" t="s">
        <v>9</v>
      </c>
      <c r="D5" s="12" t="s">
        <v>7</v>
      </c>
      <c r="E5" s="145" t="s">
        <v>74</v>
      </c>
      <c r="F5" s="145" t="s">
        <v>75</v>
      </c>
      <c r="G5" s="145" t="s">
        <v>76</v>
      </c>
      <c r="H5" s="145" t="s">
        <v>77</v>
      </c>
      <c r="I5" s="145" t="s">
        <v>78</v>
      </c>
      <c r="J5" s="145" t="s">
        <v>79</v>
      </c>
      <c r="K5" s="110" t="s">
        <v>80</v>
      </c>
      <c r="L5" s="110" t="s">
        <v>81</v>
      </c>
      <c r="M5" s="146" t="s">
        <v>82</v>
      </c>
      <c r="N5" s="12" t="s">
        <v>12</v>
      </c>
      <c r="O5" s="12" t="s">
        <v>105</v>
      </c>
      <c r="P5" s="54" t="s">
        <v>6</v>
      </c>
    </row>
    <row r="6" spans="1:18" ht="17.25" customHeight="1" x14ac:dyDescent="0.3">
      <c r="A6" s="68">
        <f>Paėmimas!A6</f>
        <v>46210</v>
      </c>
      <c r="B6" s="69">
        <f>Svėrimas!A6</f>
        <v>1</v>
      </c>
      <c r="C6" s="270" t="str">
        <f>Paėmimas!C6</f>
        <v>UAB ,,Ekopartneris", L. Ivinskio g. 65, Kaunas. Katilinė. Taršos šaltinis  Nr. 001.</v>
      </c>
      <c r="D6" s="121">
        <f>Svėrimas!C6</f>
        <v>1</v>
      </c>
      <c r="E6" s="223">
        <f>Svėrimas!G6</f>
        <v>4.0517000000000003</v>
      </c>
      <c r="F6" s="224">
        <f>Svėrimas!L6</f>
        <v>4.0567000000000002</v>
      </c>
      <c r="G6" s="224">
        <f>Svėrimas!M9</f>
        <v>1.0000000000021103E-4</v>
      </c>
      <c r="H6" s="158">
        <f>Svėrimas!M11/O6</f>
        <v>4.9999999998107114E-5</v>
      </c>
      <c r="I6" s="224">
        <f>Svėrimas!M16</f>
        <v>0</v>
      </c>
      <c r="J6" s="159">
        <f>Aerodinamika!F6</f>
        <v>0.35996358296212833</v>
      </c>
      <c r="K6" s="124">
        <f>((F6-E6-G6+H6+I6)/J6)*1000</f>
        <v>13.751391069242073</v>
      </c>
      <c r="L6" s="125">
        <f>G6/((Paėmimas!L13+Paėmimas!L24)/O6)*1000</f>
        <v>0.23809523809574057</v>
      </c>
      <c r="M6" s="128">
        <f>(((F6-E6)+H6)+((F7-E7)+H7))/G6</f>
        <v>100.99999999974688</v>
      </c>
      <c r="N6" s="73" t="str">
        <f>Svėrimas!N6</f>
        <v>S.Č., 2025-05-03</v>
      </c>
      <c r="O6" s="52">
        <v>2</v>
      </c>
      <c r="P6" s="67" t="str">
        <f>Paėmimas!S6</f>
        <v>1 linija, 1 filtras</v>
      </c>
    </row>
    <row r="7" spans="1:18" ht="19.5" customHeight="1" x14ac:dyDescent="0.3">
      <c r="A7" s="68"/>
      <c r="B7" s="69"/>
      <c r="C7" s="270"/>
      <c r="D7" s="70">
        <f>Svėrimas!C7</f>
        <v>2</v>
      </c>
      <c r="E7" s="223">
        <f>Svėrimas!G7</f>
        <v>4.0517000000000003</v>
      </c>
      <c r="F7" s="225">
        <f>Svėrimas!L7</f>
        <v>4.0567000000000002</v>
      </c>
      <c r="G7" s="224">
        <f>Svėrimas!M9</f>
        <v>1.0000000000021103E-4</v>
      </c>
      <c r="H7" s="158">
        <f>Svėrimas!M11/O6</f>
        <v>4.9999999998107114E-5</v>
      </c>
      <c r="I7" s="224">
        <f>Svėrimas!M16</f>
        <v>0</v>
      </c>
      <c r="J7" s="93">
        <f>Aerodinamika!F17</f>
        <v>0.35996358296212833</v>
      </c>
      <c r="K7" s="122">
        <f>((F7-E7-G7+H7+I7)/J7)*1000</f>
        <v>13.751391069242073</v>
      </c>
      <c r="L7" s="126"/>
      <c r="M7" s="129"/>
      <c r="N7" s="73"/>
      <c r="O7" s="34"/>
      <c r="P7" s="67" t="str">
        <f>Paėmimas!S17</f>
        <v>1 linija, 2 filtras</v>
      </c>
    </row>
    <row r="8" spans="1:18" ht="22.5" customHeight="1" x14ac:dyDescent="0.3">
      <c r="A8" s="80"/>
      <c r="B8" s="67"/>
      <c r="C8" s="271"/>
      <c r="D8" s="70"/>
      <c r="E8" s="157"/>
      <c r="F8" s="71"/>
      <c r="G8" s="71"/>
      <c r="H8" s="71"/>
      <c r="I8" s="71"/>
      <c r="J8" s="93"/>
      <c r="K8" s="72"/>
      <c r="L8" s="127"/>
      <c r="M8" s="130"/>
      <c r="N8" s="81"/>
      <c r="O8" s="22"/>
      <c r="P8" s="74"/>
    </row>
  </sheetData>
  <sheetProtection algorithmName="SHA-512" hashValue="VJUb/YMtweZSO540u6xQe7LB/aH+5EPNRt5ZT+2V6d1ufjEplfpYieXvbL4IQ1IrHdx3uYftsbWrecu0WWeiJQ==" saltValue="tN4Jv9kHUs0OWlkIcM8mpQ=="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P18"/>
  <sheetViews>
    <sheetView zoomScale="110" zoomScaleNormal="110" workbookViewId="0">
      <pane ySplit="5" topLeftCell="A6" activePane="bottomLeft" state="frozen"/>
      <selection pane="bottomLeft" activeCell="J6" sqref="J6:L15"/>
    </sheetView>
  </sheetViews>
  <sheetFormatPr defaultColWidth="9.1796875" defaultRowHeight="14" x14ac:dyDescent="0.25"/>
  <cols>
    <col min="1" max="1" width="13.7265625" style="117" customWidth="1"/>
    <col min="2" max="2" width="25.1796875" style="117" customWidth="1"/>
    <col min="3" max="3" width="7.453125" style="117" customWidth="1"/>
    <col min="4" max="4" width="12.81640625" style="117" customWidth="1"/>
    <col min="5" max="5" width="11.1796875" style="117" customWidth="1"/>
    <col min="6" max="6" width="10.81640625" style="117" customWidth="1"/>
    <col min="7" max="7" width="10.453125" style="117" customWidth="1"/>
    <col min="8" max="8" width="18" style="117" customWidth="1"/>
    <col min="9" max="9" width="11.26953125" style="117" customWidth="1"/>
    <col min="10" max="10" width="10.81640625" style="117" customWidth="1"/>
    <col min="11" max="11" width="11" style="117" customWidth="1"/>
    <col min="12" max="12" width="11.1796875" style="117" customWidth="1"/>
    <col min="13" max="13" width="20.26953125" style="117" customWidth="1"/>
    <col min="14" max="14" width="16.81640625" style="117" customWidth="1"/>
    <col min="15" max="15" width="31.26953125" style="117" customWidth="1"/>
    <col min="16" max="16384" width="9.1796875" style="117"/>
  </cols>
  <sheetData>
    <row r="1" spans="1:16" ht="26.25" customHeight="1" x14ac:dyDescent="0.25">
      <c r="C1" s="244" t="s">
        <v>21</v>
      </c>
      <c r="D1" s="244"/>
      <c r="E1" s="244"/>
      <c r="F1" s="244"/>
    </row>
    <row r="2" spans="1:16" ht="19.5" customHeight="1" x14ac:dyDescent="0.25">
      <c r="A2" s="269" t="s">
        <v>104</v>
      </c>
      <c r="B2" s="269"/>
      <c r="C2" s="269"/>
      <c r="D2" s="269"/>
      <c r="E2" s="269"/>
      <c r="F2" s="269"/>
      <c r="G2" s="269"/>
      <c r="H2" s="269"/>
      <c r="I2" s="269"/>
      <c r="J2" s="269"/>
      <c r="K2" s="269"/>
      <c r="L2" s="269"/>
      <c r="M2" s="269"/>
      <c r="N2" s="269"/>
      <c r="O2" s="269"/>
    </row>
    <row r="4" spans="1:16" ht="60" customHeight="1" x14ac:dyDescent="0.25">
      <c r="A4" s="278" t="s">
        <v>83</v>
      </c>
      <c r="B4" s="278" t="s">
        <v>9</v>
      </c>
      <c r="C4" s="275" t="s">
        <v>84</v>
      </c>
      <c r="D4" s="275" t="s">
        <v>85</v>
      </c>
      <c r="E4" s="275" t="s">
        <v>86</v>
      </c>
      <c r="F4" s="275"/>
      <c r="G4" s="275"/>
      <c r="H4" s="275" t="s">
        <v>15</v>
      </c>
      <c r="I4" s="282" t="s">
        <v>87</v>
      </c>
      <c r="J4" s="277" t="s">
        <v>88</v>
      </c>
      <c r="K4" s="277"/>
      <c r="L4" s="277"/>
      <c r="M4" s="284" t="s">
        <v>89</v>
      </c>
      <c r="N4" s="277" t="s">
        <v>15</v>
      </c>
      <c r="O4" s="280" t="s">
        <v>6</v>
      </c>
    </row>
    <row r="5" spans="1:16" ht="14.25" customHeight="1" thickBot="1" x14ac:dyDescent="0.3">
      <c r="A5" s="279"/>
      <c r="B5" s="279"/>
      <c r="C5" s="276"/>
      <c r="D5" s="275"/>
      <c r="E5" s="147">
        <v>1</v>
      </c>
      <c r="F5" s="147">
        <v>2</v>
      </c>
      <c r="G5" s="147">
        <v>3</v>
      </c>
      <c r="H5" s="275"/>
      <c r="I5" s="283"/>
      <c r="J5" s="12">
        <v>1</v>
      </c>
      <c r="K5" s="12">
        <v>2</v>
      </c>
      <c r="L5" s="12">
        <v>3</v>
      </c>
      <c r="M5" s="285"/>
      <c r="N5" s="277"/>
      <c r="O5" s="281"/>
    </row>
    <row r="6" spans="1:16" ht="15" customHeight="1" x14ac:dyDescent="0.25">
      <c r="A6" s="133">
        <f>Paėmimas!B6</f>
        <v>1</v>
      </c>
      <c r="B6" s="272" t="str">
        <f>Paėmimas!C6</f>
        <v>UAB ,,Ekopartneris", L. Ivinskio g. 65, Kaunas. Katilinė. Taršos šaltinis  Nr. 001.</v>
      </c>
      <c r="C6" s="113">
        <v>1</v>
      </c>
      <c r="D6" s="131">
        <f>Paėmimas!A6</f>
        <v>46210</v>
      </c>
      <c r="E6" s="226">
        <v>4.0517000000000003</v>
      </c>
      <c r="F6" s="226">
        <v>4.0517000000000003</v>
      </c>
      <c r="G6" s="226">
        <v>4.0517000000000003</v>
      </c>
      <c r="H6" s="132" t="str">
        <f>Paėmimas!R6</f>
        <v>S.Č., 2026-05-02</v>
      </c>
      <c r="I6" s="30">
        <v>45780</v>
      </c>
      <c r="J6" s="226">
        <v>4.0567000000000002</v>
      </c>
      <c r="K6" s="226">
        <v>4.0567000000000002</v>
      </c>
      <c r="L6" s="226">
        <v>4.0567000000000002</v>
      </c>
      <c r="M6" s="223">
        <f>L6-G6</f>
        <v>4.9999999999998934E-3</v>
      </c>
      <c r="N6" s="32" t="s">
        <v>25</v>
      </c>
      <c r="O6" s="133" t="str">
        <f>Paėmimas!S6</f>
        <v>1 linija, 1 filtras</v>
      </c>
    </row>
    <row r="7" spans="1:16" ht="15" customHeight="1" x14ac:dyDescent="0.25">
      <c r="A7" s="34"/>
      <c r="B7" s="273"/>
      <c r="C7" s="33">
        <v>2</v>
      </c>
      <c r="D7" s="30"/>
      <c r="E7" s="226">
        <v>4.0517000000000003</v>
      </c>
      <c r="F7" s="226">
        <v>4.0517000000000003</v>
      </c>
      <c r="G7" s="226">
        <v>4.0517000000000003</v>
      </c>
      <c r="H7" s="31"/>
      <c r="I7" s="30"/>
      <c r="J7" s="226">
        <v>4.0567000000000002</v>
      </c>
      <c r="K7" s="226">
        <v>4.0567000000000002</v>
      </c>
      <c r="L7" s="226">
        <v>4.0567000000000002</v>
      </c>
      <c r="M7" s="232">
        <f>L7-G7</f>
        <v>4.9999999999998934E-3</v>
      </c>
      <c r="N7" s="32"/>
      <c r="O7" s="120" t="str">
        <f>Paėmimas!S17</f>
        <v>1 linija, 2 filtras</v>
      </c>
    </row>
    <row r="8" spans="1:16" ht="15" customHeight="1" x14ac:dyDescent="0.25">
      <c r="A8" s="34"/>
      <c r="B8" s="273"/>
      <c r="C8" s="33"/>
      <c r="D8" s="111"/>
      <c r="E8" s="227"/>
      <c r="F8" s="227"/>
      <c r="G8" s="227"/>
      <c r="H8" s="112"/>
      <c r="I8" s="111"/>
      <c r="J8" s="227"/>
      <c r="K8" s="227"/>
      <c r="L8" s="227"/>
      <c r="M8" s="232">
        <f>L8-G8</f>
        <v>0</v>
      </c>
      <c r="N8" s="112"/>
      <c r="O8" s="75"/>
    </row>
    <row r="9" spans="1:16" ht="17" x14ac:dyDescent="0.45">
      <c r="A9" s="34"/>
      <c r="B9" s="273"/>
      <c r="C9" s="33">
        <v>3</v>
      </c>
      <c r="D9" s="111"/>
      <c r="E9" s="227">
        <v>3.7018</v>
      </c>
      <c r="F9" s="227">
        <v>3.7018</v>
      </c>
      <c r="G9" s="227">
        <v>3.7018</v>
      </c>
      <c r="H9" s="112"/>
      <c r="I9" s="111"/>
      <c r="J9" s="227">
        <v>3.7019000000000002</v>
      </c>
      <c r="K9" s="227">
        <v>3.7019000000000002</v>
      </c>
      <c r="L9" s="227">
        <v>3.7019000000000002</v>
      </c>
      <c r="M9" s="232">
        <f>L9-G9</f>
        <v>1.0000000000021103E-4</v>
      </c>
      <c r="N9" s="112"/>
      <c r="O9" s="35" t="s">
        <v>92</v>
      </c>
      <c r="P9" s="119"/>
    </row>
    <row r="10" spans="1:16" x14ac:dyDescent="0.3">
      <c r="A10" s="34"/>
      <c r="B10" s="273"/>
      <c r="C10" s="33"/>
      <c r="D10" s="111"/>
      <c r="E10" s="227"/>
      <c r="F10" s="227"/>
      <c r="G10" s="228"/>
      <c r="H10" s="112"/>
      <c r="I10" s="111"/>
      <c r="J10" s="233"/>
      <c r="K10" s="227"/>
      <c r="L10" s="228"/>
      <c r="M10" s="232"/>
      <c r="N10" s="112"/>
      <c r="O10" s="148"/>
    </row>
    <row r="11" spans="1:16" ht="17" x14ac:dyDescent="0.45">
      <c r="A11" s="34"/>
      <c r="B11" s="273"/>
      <c r="C11" s="33">
        <v>41</v>
      </c>
      <c r="D11" s="111"/>
      <c r="E11" s="227">
        <v>56.4998</v>
      </c>
      <c r="F11" s="227">
        <v>56.4998</v>
      </c>
      <c r="G11" s="228">
        <v>56.4998</v>
      </c>
      <c r="H11" s="112"/>
      <c r="I11" s="111"/>
      <c r="J11" s="233">
        <v>56.499899999999997</v>
      </c>
      <c r="K11" s="227">
        <v>56.499899999999997</v>
      </c>
      <c r="L11" s="228">
        <v>56.499899999999997</v>
      </c>
      <c r="M11" s="232">
        <f>L11-G11</f>
        <v>9.9999999996214228E-5</v>
      </c>
      <c r="N11" s="112"/>
      <c r="O11" s="116" t="s">
        <v>93</v>
      </c>
    </row>
    <row r="12" spans="1:16" ht="30.75" customHeight="1" x14ac:dyDescent="0.45">
      <c r="A12" s="34"/>
      <c r="B12" s="273"/>
      <c r="C12" s="142" t="s">
        <v>46</v>
      </c>
      <c r="D12" s="111"/>
      <c r="E12" s="229">
        <v>49.838799999999999</v>
      </c>
      <c r="F12" s="229">
        <v>49.838799999999999</v>
      </c>
      <c r="G12" s="230">
        <v>49.838799999999999</v>
      </c>
      <c r="H12" s="112"/>
      <c r="I12" s="111"/>
      <c r="J12" s="234">
        <v>49.838799999999999</v>
      </c>
      <c r="K12" s="229">
        <v>49.838799999999999</v>
      </c>
      <c r="L12" s="230">
        <v>49.838799999999999</v>
      </c>
      <c r="M12" s="232">
        <f t="shared" ref="M12:M15" si="0">L12-G12</f>
        <v>0</v>
      </c>
      <c r="N12" s="112"/>
      <c r="O12" s="149" t="s">
        <v>94</v>
      </c>
    </row>
    <row r="13" spans="1:16" ht="17" x14ac:dyDescent="0.45">
      <c r="A13" s="34"/>
      <c r="B13" s="273"/>
      <c r="C13" s="143" t="s">
        <v>47</v>
      </c>
      <c r="D13" s="111"/>
      <c r="E13" s="227">
        <v>54.789299999999997</v>
      </c>
      <c r="F13" s="227">
        <v>54.789299999999997</v>
      </c>
      <c r="G13" s="227">
        <v>54.789299999999997</v>
      </c>
      <c r="H13" s="112"/>
      <c r="I13" s="111"/>
      <c r="J13" s="227">
        <v>54.789400000000001</v>
      </c>
      <c r="K13" s="227">
        <v>54.789400000000001</v>
      </c>
      <c r="L13" s="227">
        <v>54.789400000000001</v>
      </c>
      <c r="M13" s="232">
        <f t="shared" si="0"/>
        <v>1.0000000000331966E-4</v>
      </c>
      <c r="N13" s="112"/>
      <c r="O13" s="150" t="s">
        <v>95</v>
      </c>
    </row>
    <row r="14" spans="1:16" ht="17" x14ac:dyDescent="0.45">
      <c r="A14" s="34"/>
      <c r="B14" s="273"/>
      <c r="C14" s="143" t="s">
        <v>48</v>
      </c>
      <c r="D14" s="111"/>
      <c r="E14" s="227">
        <v>57.3979</v>
      </c>
      <c r="F14" s="227">
        <v>57.3979</v>
      </c>
      <c r="G14" s="227">
        <v>57.3979</v>
      </c>
      <c r="H14" s="112"/>
      <c r="I14" s="111"/>
      <c r="J14" s="227">
        <v>57.397799999999997</v>
      </c>
      <c r="K14" s="227">
        <v>57.397799999999997</v>
      </c>
      <c r="L14" s="227">
        <v>57.397799999999997</v>
      </c>
      <c r="M14" s="232">
        <f t="shared" si="0"/>
        <v>-1.0000000000331966E-4</v>
      </c>
      <c r="N14" s="112"/>
      <c r="O14" s="151" t="s">
        <v>96</v>
      </c>
    </row>
    <row r="15" spans="1:16" ht="17" x14ac:dyDescent="0.45">
      <c r="A15" s="34"/>
      <c r="B15" s="273"/>
      <c r="C15" s="144" t="s">
        <v>49</v>
      </c>
      <c r="D15" s="111"/>
      <c r="E15" s="226">
        <v>53.927900000000001</v>
      </c>
      <c r="F15" s="226">
        <v>53.927900000000001</v>
      </c>
      <c r="G15" s="231">
        <v>53.927900000000001</v>
      </c>
      <c r="H15" s="112"/>
      <c r="I15" s="111"/>
      <c r="J15" s="235">
        <v>53.927900000000001</v>
      </c>
      <c r="K15" s="226">
        <v>53.927900000000001</v>
      </c>
      <c r="L15" s="231">
        <v>53.927900000000001</v>
      </c>
      <c r="M15" s="232">
        <f t="shared" si="0"/>
        <v>0</v>
      </c>
      <c r="N15" s="112"/>
      <c r="O15" s="151" t="s">
        <v>97</v>
      </c>
    </row>
    <row r="16" spans="1:16" ht="32.25" customHeight="1" x14ac:dyDescent="0.45">
      <c r="A16" s="22"/>
      <c r="B16" s="274"/>
      <c r="C16" s="33"/>
      <c r="D16" s="114"/>
      <c r="E16" s="21"/>
      <c r="F16" s="21"/>
      <c r="G16" s="33"/>
      <c r="H16" s="115"/>
      <c r="I16" s="114"/>
      <c r="J16" s="233"/>
      <c r="K16" s="236"/>
      <c r="L16" s="228"/>
      <c r="M16" s="232">
        <f>AVERAGE(M13:M15)+M12</f>
        <v>0</v>
      </c>
      <c r="N16" s="115"/>
      <c r="O16" s="152" t="s">
        <v>98</v>
      </c>
    </row>
    <row r="17" spans="11:11" x14ac:dyDescent="0.25">
      <c r="K17" s="118"/>
    </row>
    <row r="18" spans="11:11" x14ac:dyDescent="0.25">
      <c r="K18" s="118"/>
    </row>
  </sheetData>
  <sheetProtection algorithmName="SHA-512" hashValue="gj1GO0mGT8svRxIReIn8d8DiNXlgaTvFA3mZurONUvJJL8vt+OW4S1mPMT/Sx8PH/XhkDzGHHo5PUw8jDQc1+g==" saltValue="+s3rYg9lzLZxWz62I/t8ug=="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J4:L4"/>
    <mergeCell ref="C1:F1"/>
    <mergeCell ref="A2:O2"/>
    <mergeCell ref="N4:N5"/>
    <mergeCell ref="A4:A5"/>
    <mergeCell ref="B4:B5"/>
    <mergeCell ref="O4:O5"/>
    <mergeCell ref="I4:I5"/>
    <mergeCell ref="M4:M5"/>
    <mergeCell ref="B6:B16"/>
    <mergeCell ref="C4:C5"/>
    <mergeCell ref="D4:D5"/>
    <mergeCell ref="E4:G4"/>
    <mergeCell ref="H4:H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0327-CFDD-498C-87C1-8E379F217A35}">
  <dimension ref="A3:D10"/>
  <sheetViews>
    <sheetView workbookViewId="0">
      <selection activeCell="C10" sqref="C10"/>
    </sheetView>
  </sheetViews>
  <sheetFormatPr defaultColWidth="9.1796875" defaultRowHeight="15.5" x14ac:dyDescent="0.25"/>
  <cols>
    <col min="1" max="1" width="14.7265625" style="134" customWidth="1"/>
    <col min="2" max="2" width="15.26953125" style="134" customWidth="1"/>
    <col min="3" max="3" width="13.453125" style="134" customWidth="1"/>
    <col min="4" max="4" width="21.26953125" style="134" customWidth="1"/>
    <col min="5" max="16384" width="9.1796875" style="134"/>
  </cols>
  <sheetData>
    <row r="3" spans="1:4" ht="32.25" customHeight="1" x14ac:dyDescent="0.25">
      <c r="A3" s="286" t="s">
        <v>42</v>
      </c>
      <c r="B3" s="286"/>
      <c r="C3" s="286"/>
      <c r="D3" s="286"/>
    </row>
    <row r="5" spans="1:4" ht="72.75" customHeight="1" x14ac:dyDescent="0.25">
      <c r="A5" s="135" t="s">
        <v>90</v>
      </c>
      <c r="B5" s="136" t="s">
        <v>43</v>
      </c>
      <c r="C5" s="136" t="s">
        <v>44</v>
      </c>
      <c r="D5" s="136" t="s">
        <v>45</v>
      </c>
    </row>
    <row r="6" spans="1:4" ht="20.25" customHeight="1" x14ac:dyDescent="0.25">
      <c r="A6" s="137">
        <f>(B6*C6*D6)/1000000</f>
        <v>1.944</v>
      </c>
      <c r="B6" s="138">
        <v>30</v>
      </c>
      <c r="C6" s="139">
        <v>5400</v>
      </c>
      <c r="D6" s="140">
        <v>12</v>
      </c>
    </row>
    <row r="10" spans="1:4" x14ac:dyDescent="0.25">
      <c r="C10" s="141"/>
    </row>
  </sheetData>
  <sheetProtection algorithmName="SHA-512" hashValue="4Z2E9szuFTaWWNWRU2u3opMvo03L8tMnQa/8G5MF/+ApnJN4lYB9X8CrY3qVeXgxYUwLgw4E3G31zN/33BdPHA==" saltValue="TYKCYs0aKODv8WsM9uknlw=="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Props1.xml><?xml version="1.0" encoding="utf-8"?>
<ds:datastoreItem xmlns:ds="http://schemas.openxmlformats.org/officeDocument/2006/customXml" ds:itemID="{D6FEC815-CF2F-44F8-953B-B52DB1EDE9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e7e53-5eb2-45cf-b2ab-34c867e554b8"/>
    <ds:schemaRef ds:uri="aa0d983d-359a-438c-9953-3af1a8ac0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5DD0A7-BC00-4D8E-8AD3-26E2A9FDEA54}">
  <ds:schemaRefs>
    <ds:schemaRef ds:uri="http://schemas.microsoft.com/sharepoint/v3/contenttype/forms"/>
  </ds:schemaRefs>
</ds:datastoreItem>
</file>

<file path=customXml/itemProps3.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8</vt:i4>
      </vt:variant>
      <vt:variant>
        <vt:lpstr>Įvardytieji diapazonai</vt:lpstr>
      </vt:variant>
      <vt:variant>
        <vt:i4>8</vt:i4>
      </vt:variant>
    </vt:vector>
  </HeadingPairs>
  <TitlesOfParts>
    <vt:vector size="16" baseType="lpstr">
      <vt:lpstr>Compatibility Report</vt:lpstr>
      <vt:lpstr>Greitis</vt:lpstr>
      <vt:lpstr>H2O</vt:lpstr>
      <vt:lpstr>Paėmimas</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Tomas Vilkickas</cp:lastModifiedBy>
  <cp:lastPrinted>2025-03-10T12:38:23Z</cp:lastPrinted>
  <dcterms:created xsi:type="dcterms:W3CDTF">2010-09-30T07:40:58Z</dcterms:created>
  <dcterms:modified xsi:type="dcterms:W3CDTF">2026-03-12T09:48:39Z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