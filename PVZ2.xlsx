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Šios_darbaknygės" defaultThemeVersion="124226"/>
  <mc:AlternateContent xmlns:mc="http://schemas.openxmlformats.org/markup-compatibility/2006">
    <mc:Choice Requires="x15">
      <x15ac:absPath xmlns:x15ac="http://schemas.microsoft.com/office/spreadsheetml/2010/11/ac" url="https://agentura2020.sharepoint.com/sites/VidurioLietuvosaplinkostyrimuskyrius/Bendrai naudojami dokumentai/EB7-014 Darbuotojų failai/Tomo/Python 3.14.3/Skaiciavimai/"/>
    </mc:Choice>
  </mc:AlternateContent>
  <xr:revisionPtr revIDLastSave="147" documentId="8_{8FD3B17B-922A-42A3-879B-A575A223ADA7}" xr6:coauthVersionLast="47" xr6:coauthVersionMax="47" xr10:uidLastSave="{8D4044E6-60E2-4BF7-BDD4-4F820AD5D73A}"/>
  <bookViews>
    <workbookView xWindow="-110" yWindow="-110" windowWidth="19420" windowHeight="10300" tabRatio="821" firstSheet="1" activeTab="2" xr2:uid="{B097D0E3-85A4-46F7-964F-ABE00A6941B9}"/>
  </bookViews>
  <sheets>
    <sheet name="Compatibility Report" sheetId="4" state="hidden" r:id="rId1"/>
    <sheet name="Greitis" sheetId="22" r:id="rId2"/>
    <sheet name="H2O" sheetId="20" r:id="rId3"/>
    <sheet name="Paėmimas" sheetId="11" r:id="rId4"/>
    <sheet name="Aerodinamika" sheetId="1" r:id="rId5"/>
    <sheet name="Koncentracija " sheetId="2" r:id="rId6"/>
    <sheet name="Svėrimas" sheetId="12" r:id="rId7"/>
    <sheet name="Koncentracijos ribinės vertės" sheetId="21" r:id="rId8"/>
  </sheets>
  <definedNames>
    <definedName name="_xlnm._FilterDatabase" localSheetId="6" hidden="1">Svėrimas!$C$4:$O$6</definedName>
    <definedName name="_xlnm.Print_Area" localSheetId="4">Aerodinamika!$C$1:$M$5</definedName>
    <definedName name="_xlnm.Print_Area" localSheetId="5">'Koncentracija '!$C$1:$N$5</definedName>
    <definedName name="_xlnm.Print_Area" localSheetId="3">Paėmimas!$A$1:$S$5</definedName>
    <definedName name="_xlnm.Print_Area" localSheetId="6">Svėrimas!$C$1:$O$11</definedName>
    <definedName name="_xlnm.Print_Titles" localSheetId="4">Aerodinamika!$1:$5</definedName>
    <definedName name="_xlnm.Print_Titles" localSheetId="5">'Koncentracija '!$2:$5</definedName>
    <definedName name="_xlnm.Print_Titles" localSheetId="3">Paėmimas!$1:$5</definedName>
    <definedName name="_xlnm.Print_Titles" localSheetId="6">Svėrimas!$3:$4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W32" i="22" l="1"/>
  <c r="W31" i="22"/>
  <c r="T32" i="22"/>
  <c r="T31" i="22"/>
  <c r="L6" i="2"/>
  <c r="X7" i="11"/>
  <c r="X8" i="11"/>
  <c r="X9" i="11"/>
  <c r="X10" i="11"/>
  <c r="X11" i="11"/>
  <c r="X12" i="11"/>
  <c r="X13" i="11"/>
  <c r="X14" i="11"/>
  <c r="X15" i="11"/>
  <c r="X16" i="11"/>
  <c r="X17" i="11"/>
  <c r="X18" i="11"/>
  <c r="X19" i="11"/>
  <c r="X20" i="11"/>
  <c r="X21" i="11"/>
  <c r="X22" i="11"/>
  <c r="X6" i="11"/>
  <c r="N23" i="11"/>
  <c r="C6" i="11"/>
  <c r="A6" i="11"/>
  <c r="I6" i="11"/>
  <c r="H6" i="11"/>
  <c r="D7" i="20"/>
  <c r="T7" i="22"/>
  <c r="T6" i="22"/>
  <c r="K47" i="22" l="1"/>
  <c r="K46" i="22"/>
  <c r="K45" i="22"/>
  <c r="K44" i="22"/>
  <c r="K43" i="22"/>
  <c r="K42" i="22"/>
  <c r="K41" i="22"/>
  <c r="K40" i="22"/>
  <c r="K39" i="22"/>
  <c r="K38" i="22"/>
  <c r="K37" i="22"/>
  <c r="K36" i="22"/>
  <c r="K35" i="22"/>
  <c r="K34" i="22"/>
  <c r="K33" i="22"/>
  <c r="U32" i="22"/>
  <c r="Q32" i="22"/>
  <c r="K32" i="22"/>
  <c r="U31" i="22"/>
  <c r="Q31" i="22"/>
  <c r="O31" i="22"/>
  <c r="R31" i="22" s="1"/>
  <c r="S31" i="22" s="1"/>
  <c r="V31" i="22" s="1"/>
  <c r="Y31" i="22" s="1"/>
  <c r="K31" i="22"/>
  <c r="J24" i="22"/>
  <c r="I24" i="22"/>
  <c r="G24" i="22"/>
  <c r="J22" i="22"/>
  <c r="I22" i="22"/>
  <c r="G22" i="22"/>
  <c r="J21" i="22"/>
  <c r="I21" i="22"/>
  <c r="G21" i="22"/>
  <c r="K20" i="22"/>
  <c r="J20" i="22"/>
  <c r="I20" i="22"/>
  <c r="G20" i="22"/>
  <c r="J19" i="22"/>
  <c r="K19" i="22" s="1"/>
  <c r="I19" i="22"/>
  <c r="G19" i="22"/>
  <c r="J18" i="22"/>
  <c r="I18" i="22"/>
  <c r="G18" i="22"/>
  <c r="J17" i="22"/>
  <c r="I17" i="22"/>
  <c r="G17" i="22"/>
  <c r="J16" i="22"/>
  <c r="I16" i="22"/>
  <c r="G16" i="22"/>
  <c r="J15" i="22"/>
  <c r="I15" i="22"/>
  <c r="G15" i="22"/>
  <c r="J14" i="22"/>
  <c r="K14" i="22" s="1"/>
  <c r="I14" i="22"/>
  <c r="G14" i="22"/>
  <c r="J13" i="22"/>
  <c r="K13" i="22" s="1"/>
  <c r="I13" i="22"/>
  <c r="G13" i="22"/>
  <c r="J12" i="22"/>
  <c r="I12" i="22"/>
  <c r="G12" i="22"/>
  <c r="J11" i="22"/>
  <c r="I11" i="22"/>
  <c r="K11" i="22" s="1"/>
  <c r="G11" i="22"/>
  <c r="J10" i="22"/>
  <c r="I10" i="22"/>
  <c r="G10" i="22"/>
  <c r="J9" i="22"/>
  <c r="I9" i="22"/>
  <c r="G9" i="22"/>
  <c r="J8" i="22"/>
  <c r="K8" i="22" s="1"/>
  <c r="I8" i="22"/>
  <c r="G8" i="22"/>
  <c r="Q7" i="22"/>
  <c r="J7" i="22"/>
  <c r="I7" i="22"/>
  <c r="K7" i="22" s="1"/>
  <c r="G7" i="22"/>
  <c r="Q6" i="22"/>
  <c r="K6" i="22"/>
  <c r="K17" i="22" l="1"/>
  <c r="K24" i="22"/>
  <c r="K10" i="22"/>
  <c r="K12" i="22"/>
  <c r="K16" i="22"/>
  <c r="K18" i="22"/>
  <c r="K22" i="22"/>
  <c r="K9" i="22"/>
  <c r="K21" i="22"/>
  <c r="Z32" i="22"/>
  <c r="R32" i="22"/>
  <c r="S32" i="22" s="1"/>
  <c r="V32" i="22" s="1"/>
  <c r="Y32" i="22" s="1"/>
  <c r="K15" i="22"/>
  <c r="Z31" i="22"/>
  <c r="A6" i="12"/>
  <c r="G7" i="20"/>
  <c r="H7" i="20" s="1"/>
  <c r="A6" i="21"/>
  <c r="W6" i="22" l="1"/>
  <c r="U6" i="22" s="1"/>
  <c r="W7" i="22"/>
  <c r="U7" i="22" s="1"/>
  <c r="M12" i="12"/>
  <c r="M16" i="12" s="1"/>
  <c r="M13" i="12"/>
  <c r="M14" i="12"/>
  <c r="M15" i="12"/>
  <c r="B6" i="12"/>
  <c r="D6" i="12"/>
  <c r="H6" i="12"/>
  <c r="M6" i="12"/>
  <c r="O6" i="12"/>
  <c r="M7" i="12"/>
  <c r="M8" i="12"/>
  <c r="M9" i="12"/>
  <c r="M11" i="12"/>
  <c r="H6" i="2" s="1"/>
  <c r="V9" i="11"/>
  <c r="U9" i="11"/>
  <c r="Q6" i="11" s="1"/>
  <c r="T9" i="11"/>
  <c r="P6" i="11" s="1"/>
  <c r="F6" i="11" l="1"/>
  <c r="H6" i="22"/>
  <c r="I6" i="2"/>
  <c r="H7" i="11"/>
  <c r="H8" i="11" s="1"/>
  <c r="H9" i="11" s="1"/>
  <c r="H10" i="11" s="1"/>
  <c r="H11" i="11" s="1"/>
  <c r="H12" i="11" s="1"/>
  <c r="H13" i="11" s="1"/>
  <c r="H14" i="11" s="1"/>
  <c r="H15" i="11" s="1"/>
  <c r="H16" i="11" s="1"/>
  <c r="H17" i="11" s="1"/>
  <c r="H18" i="11" s="1"/>
  <c r="H19" i="11" s="1"/>
  <c r="H20" i="11" s="1"/>
  <c r="H21" i="11" s="1"/>
  <c r="H22" i="11" s="1"/>
  <c r="I7" i="11"/>
  <c r="I8" i="11" s="1"/>
  <c r="I9" i="11" s="1"/>
  <c r="I10" i="11" s="1"/>
  <c r="I11" i="11" s="1"/>
  <c r="I12" i="11" s="1"/>
  <c r="I13" i="11" s="1"/>
  <c r="I14" i="11" s="1"/>
  <c r="I15" i="11" s="1"/>
  <c r="I16" i="11" s="1"/>
  <c r="I17" i="11" s="1"/>
  <c r="I18" i="11" s="1"/>
  <c r="I19" i="11" s="1"/>
  <c r="I20" i="11" s="1"/>
  <c r="I21" i="11" s="1"/>
  <c r="I22" i="11" s="1"/>
  <c r="K7" i="11"/>
  <c r="K8" i="11" s="1"/>
  <c r="K9" i="11" s="1"/>
  <c r="K10" i="11" s="1"/>
  <c r="K11" i="11" s="1"/>
  <c r="K12" i="11" s="1"/>
  <c r="K13" i="11" s="1"/>
  <c r="K14" i="11" s="1"/>
  <c r="K15" i="11" s="1"/>
  <c r="K16" i="11" s="1"/>
  <c r="K17" i="11" s="1"/>
  <c r="K18" i="11" s="1"/>
  <c r="K19" i="11" s="1"/>
  <c r="K20" i="11" s="1"/>
  <c r="K21" i="11" s="1"/>
  <c r="K22" i="11" s="1"/>
  <c r="M7" i="11"/>
  <c r="P7" i="11"/>
  <c r="P8" i="11" s="1"/>
  <c r="P9" i="11" s="1"/>
  <c r="P10" i="11" s="1"/>
  <c r="P11" i="11" s="1"/>
  <c r="P12" i="11" s="1"/>
  <c r="P13" i="11" s="1"/>
  <c r="P14" i="11" s="1"/>
  <c r="P15" i="11" s="1"/>
  <c r="P16" i="11" s="1"/>
  <c r="P17" i="11" s="1"/>
  <c r="P18" i="11" s="1"/>
  <c r="P19" i="11" s="1"/>
  <c r="P20" i="11" s="1"/>
  <c r="P21" i="11" s="1"/>
  <c r="P22" i="11" s="1"/>
  <c r="Q7" i="11"/>
  <c r="A6" i="1"/>
  <c r="F7" i="11" l="1"/>
  <c r="H24" i="22"/>
  <c r="H14" i="22"/>
  <c r="H13" i="22"/>
  <c r="H22" i="22"/>
  <c r="H19" i="22"/>
  <c r="H21" i="22"/>
  <c r="H17" i="22"/>
  <c r="H18" i="22"/>
  <c r="H20" i="22"/>
  <c r="H12" i="22"/>
  <c r="H9" i="22"/>
  <c r="H7" i="22"/>
  <c r="H8" i="22"/>
  <c r="H10" i="22"/>
  <c r="H11" i="22"/>
  <c r="H15" i="22"/>
  <c r="H16" i="22"/>
  <c r="G7" i="1"/>
  <c r="Q8" i="11"/>
  <c r="L7" i="11"/>
  <c r="D7" i="1" s="1"/>
  <c r="E7" i="1" s="1"/>
  <c r="M8" i="11"/>
  <c r="F8" i="11" l="1"/>
  <c r="Q9" i="11"/>
  <c r="G8" i="1"/>
  <c r="L8" i="11"/>
  <c r="D8" i="1" s="1"/>
  <c r="E8" i="1" s="1"/>
  <c r="M9" i="11"/>
  <c r="F9" i="11" l="1"/>
  <c r="Q10" i="11"/>
  <c r="G9" i="1"/>
  <c r="M10" i="11"/>
  <c r="L9" i="11"/>
  <c r="D9" i="1" s="1"/>
  <c r="E9" i="1" s="1"/>
  <c r="F10" i="11" l="1"/>
  <c r="Q11" i="11"/>
  <c r="G10" i="1"/>
  <c r="L10" i="11"/>
  <c r="D10" i="1" s="1"/>
  <c r="E10" i="1" s="1"/>
  <c r="M11" i="11"/>
  <c r="P6" i="2"/>
  <c r="N6" i="1"/>
  <c r="F11" i="11" l="1"/>
  <c r="Q12" i="11"/>
  <c r="G11" i="1"/>
  <c r="M12" i="11"/>
  <c r="L11" i="11"/>
  <c r="D11" i="1" s="1"/>
  <c r="E11" i="1" s="1"/>
  <c r="F12" i="11" l="1"/>
  <c r="Q13" i="11"/>
  <c r="G12" i="1"/>
  <c r="L12" i="11"/>
  <c r="D12" i="1" s="1"/>
  <c r="E12" i="1" s="1"/>
  <c r="M13" i="11"/>
  <c r="F13" i="11" l="1"/>
  <c r="Q14" i="11"/>
  <c r="G13" i="1"/>
  <c r="M14" i="11"/>
  <c r="L13" i="11"/>
  <c r="D13" i="1" s="1"/>
  <c r="E13" i="1" s="1"/>
  <c r="B6" i="1"/>
  <c r="C6" i="1"/>
  <c r="F14" i="11" l="1"/>
  <c r="Q15" i="11"/>
  <c r="G14" i="1"/>
  <c r="L14" i="11"/>
  <c r="D14" i="1" s="1"/>
  <c r="E14" i="1" s="1"/>
  <c r="M15" i="11"/>
  <c r="F15" i="11" l="1"/>
  <c r="Q16" i="11"/>
  <c r="G15" i="1"/>
  <c r="L15" i="11"/>
  <c r="D15" i="1" s="1"/>
  <c r="E15" i="1" s="1"/>
  <c r="M16" i="11"/>
  <c r="B6" i="2"/>
  <c r="N6" i="2"/>
  <c r="C6" i="2"/>
  <c r="M6" i="1"/>
  <c r="A6" i="2"/>
  <c r="F6" i="2"/>
  <c r="E6" i="2"/>
  <c r="D6" i="2"/>
  <c r="L6" i="11"/>
  <c r="F16" i="11" l="1"/>
  <c r="Q17" i="11"/>
  <c r="Q18" i="11" s="1"/>
  <c r="G16" i="1"/>
  <c r="L16" i="11"/>
  <c r="D16" i="1" s="1"/>
  <c r="E16" i="1" s="1"/>
  <c r="M17" i="11"/>
  <c r="M18" i="11" s="1"/>
  <c r="G6" i="2"/>
  <c r="M6" i="2" s="1"/>
  <c r="D6" i="1"/>
  <c r="F17" i="11" l="1"/>
  <c r="G18" i="1"/>
  <c r="Q19" i="11"/>
  <c r="M19" i="11"/>
  <c r="L18" i="11"/>
  <c r="D18" i="1" s="1"/>
  <c r="E18" i="1" s="1"/>
  <c r="G17" i="1"/>
  <c r="L17" i="11"/>
  <c r="D17" i="1" s="1"/>
  <c r="E17" i="1" s="1"/>
  <c r="E6" i="1"/>
  <c r="F18" i="11" l="1"/>
  <c r="G19" i="1"/>
  <c r="Q20" i="11"/>
  <c r="M20" i="11"/>
  <c r="L19" i="11"/>
  <c r="D19" i="1" s="1"/>
  <c r="E19" i="1" s="1"/>
  <c r="F19" i="11" l="1"/>
  <c r="G20" i="1"/>
  <c r="Q21" i="11"/>
  <c r="L20" i="11"/>
  <c r="D20" i="1" s="1"/>
  <c r="E20" i="1" s="1"/>
  <c r="M21" i="11"/>
  <c r="F20" i="11" l="1"/>
  <c r="Q22" i="11"/>
  <c r="G22" i="1" s="1"/>
  <c r="G21" i="1"/>
  <c r="M22" i="11"/>
  <c r="L21" i="11"/>
  <c r="D21" i="1" s="1"/>
  <c r="E21" i="1" s="1"/>
  <c r="F21" i="11" l="1"/>
  <c r="G23" i="1"/>
  <c r="L22" i="11"/>
  <c r="D22" i="1" s="1"/>
  <c r="E22" i="1" s="1"/>
  <c r="M23" i="11"/>
  <c r="J7" i="20" l="1"/>
  <c r="K7" i="20" s="1"/>
  <c r="H21" i="1" s="1"/>
  <c r="I21" i="1" s="1"/>
  <c r="J21" i="1" s="1"/>
  <c r="AA31" i="22"/>
  <c r="F22" i="11"/>
  <c r="AA6" i="22"/>
  <c r="L15" i="22" s="1"/>
  <c r="F6" i="1"/>
  <c r="J6" i="2" s="1"/>
  <c r="K6" i="2" s="1"/>
  <c r="L23" i="11"/>
  <c r="H13" i="1" l="1"/>
  <c r="I13" i="1" s="1"/>
  <c r="J13" i="1" s="1"/>
  <c r="H11" i="1"/>
  <c r="I11" i="1" s="1"/>
  <c r="J11" i="1" s="1"/>
  <c r="H6" i="1"/>
  <c r="I6" i="1" s="1"/>
  <c r="J6" i="1" s="1"/>
  <c r="H19" i="1"/>
  <c r="I19" i="1" s="1"/>
  <c r="J19" i="1" s="1"/>
  <c r="H15" i="1"/>
  <c r="I15" i="1" s="1"/>
  <c r="J15" i="1" s="1"/>
  <c r="H16" i="1"/>
  <c r="I16" i="1" s="1"/>
  <c r="J16" i="1" s="1"/>
  <c r="H9" i="1"/>
  <c r="I9" i="1" s="1"/>
  <c r="J9" i="1" s="1"/>
  <c r="H7" i="1"/>
  <c r="I7" i="1" s="1"/>
  <c r="J7" i="1" s="1"/>
  <c r="H20" i="1"/>
  <c r="I20" i="1" s="1"/>
  <c r="J20" i="1" s="1"/>
  <c r="H14" i="1"/>
  <c r="I14" i="1" s="1"/>
  <c r="J14" i="1" s="1"/>
  <c r="H17" i="1"/>
  <c r="I17" i="1" s="1"/>
  <c r="J17" i="1" s="1"/>
  <c r="H22" i="1"/>
  <c r="H8" i="1"/>
  <c r="I8" i="1" s="1"/>
  <c r="J8" i="1" s="1"/>
  <c r="H10" i="1"/>
  <c r="I10" i="1" s="1"/>
  <c r="J10" i="1" s="1"/>
  <c r="H12" i="1"/>
  <c r="I12" i="1" s="1"/>
  <c r="J12" i="1" s="1"/>
  <c r="H18" i="1"/>
  <c r="I18" i="1" s="1"/>
  <c r="J18" i="1" s="1"/>
  <c r="L47" i="22"/>
  <c r="L43" i="22"/>
  <c r="L39" i="22"/>
  <c r="L35" i="22"/>
  <c r="L32" i="22"/>
  <c r="L38" i="22"/>
  <c r="L34" i="22"/>
  <c r="L41" i="22"/>
  <c r="L37" i="22"/>
  <c r="L33" i="22"/>
  <c r="L31" i="22"/>
  <c r="L44" i="22"/>
  <c r="L40" i="22"/>
  <c r="L36" i="22"/>
  <c r="L42" i="22"/>
  <c r="L46" i="22"/>
  <c r="L45" i="22"/>
  <c r="L9" i="22"/>
  <c r="L10" i="22"/>
  <c r="I22" i="1"/>
  <c r="J22" i="1" s="1"/>
  <c r="L6" i="22"/>
  <c r="M15" i="22"/>
  <c r="G15" i="11"/>
  <c r="K15" i="1" s="1"/>
  <c r="Y15" i="11" s="1"/>
  <c r="L22" i="22"/>
  <c r="M22" i="22" s="1"/>
  <c r="L14" i="22"/>
  <c r="L12" i="22"/>
  <c r="L11" i="22"/>
  <c r="L20" i="22"/>
  <c r="L18" i="22"/>
  <c r="L7" i="22"/>
  <c r="L19" i="22"/>
  <c r="L21" i="22"/>
  <c r="L16" i="22"/>
  <c r="L8" i="22"/>
  <c r="L24" i="22"/>
  <c r="M24" i="22" s="1"/>
  <c r="L17" i="22"/>
  <c r="L13" i="22"/>
  <c r="I23" i="1" l="1"/>
  <c r="G22" i="11"/>
  <c r="M18" i="22"/>
  <c r="G18" i="11"/>
  <c r="K18" i="1" s="1"/>
  <c r="Y18" i="11" s="1"/>
  <c r="M16" i="22"/>
  <c r="G16" i="11"/>
  <c r="K16" i="1" s="1"/>
  <c r="Y16" i="11" s="1"/>
  <c r="M11" i="22"/>
  <c r="G11" i="11"/>
  <c r="K11" i="1" s="1"/>
  <c r="Y11" i="11" s="1"/>
  <c r="M9" i="22"/>
  <c r="G9" i="11"/>
  <c r="K9" i="1" s="1"/>
  <c r="Y9" i="11" s="1"/>
  <c r="M10" i="22"/>
  <c r="G10" i="11"/>
  <c r="K10" i="1" s="1"/>
  <c r="Y10" i="11" s="1"/>
  <c r="M8" i="22"/>
  <c r="G8" i="11"/>
  <c r="K8" i="1" s="1"/>
  <c r="Y8" i="11" s="1"/>
  <c r="M20" i="22"/>
  <c r="G20" i="11"/>
  <c r="K20" i="1" s="1"/>
  <c r="Y20" i="11" s="1"/>
  <c r="M21" i="22"/>
  <c r="G21" i="11"/>
  <c r="K21" i="1" s="1"/>
  <c r="Y21" i="11" s="1"/>
  <c r="M12" i="22"/>
  <c r="G12" i="11"/>
  <c r="K12" i="1" s="1"/>
  <c r="Y12" i="11" s="1"/>
  <c r="M13" i="22"/>
  <c r="G13" i="11"/>
  <c r="K13" i="1" s="1"/>
  <c r="Y13" i="11" s="1"/>
  <c r="M19" i="22"/>
  <c r="G19" i="11"/>
  <c r="K19" i="1" s="1"/>
  <c r="Y19" i="11" s="1"/>
  <c r="M14" i="22"/>
  <c r="G14" i="11"/>
  <c r="K14" i="1" s="1"/>
  <c r="Y14" i="11" s="1"/>
  <c r="M6" i="22"/>
  <c r="G6" i="11"/>
  <c r="K6" i="1" s="1"/>
  <c r="Y6" i="11" s="1"/>
  <c r="M17" i="22"/>
  <c r="G17" i="11"/>
  <c r="K17" i="1" s="1"/>
  <c r="Y17" i="11" s="1"/>
  <c r="M7" i="22"/>
  <c r="G7" i="11"/>
  <c r="K7" i="1" s="1"/>
  <c r="Y7" i="11" s="1"/>
  <c r="K22" i="1"/>
  <c r="Y22" i="11" s="1"/>
  <c r="O6" i="22" l="1"/>
  <c r="L6" i="1"/>
  <c r="R7" i="22" l="1"/>
  <c r="S7" i="22" s="1"/>
  <c r="V7" i="22" s="1"/>
  <c r="Y7" i="22" s="1"/>
  <c r="R6" i="22"/>
  <c r="S6" i="22" s="1"/>
  <c r="V6" i="22" s="1"/>
  <c r="Y6" i="22" s="1"/>
  <c r="Z6" i="22"/>
  <c r="Z7" i="22"/>
</calcChain>
</file>

<file path=xl/sharedStrings.xml><?xml version="1.0" encoding="utf-8"?>
<sst xmlns="http://schemas.openxmlformats.org/spreadsheetml/2006/main" count="196" uniqueCount="141">
  <si>
    <t>Compatibility Report for Izo dulkes.xls</t>
  </si>
  <si>
    <t>Run on 2010.09.30 22:52</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</si>
  <si>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</si>
  <si>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</si>
  <si>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</si>
  <si>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</si>
  <si>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Pastabos</t>
  </si>
  <si>
    <t xml:space="preserve">Filtro Nr. </t>
  </si>
  <si>
    <t>Matavimo data</t>
  </si>
  <si>
    <t>Objekto pavadinimas, adresas, taršos šaltinio Nr.</t>
  </si>
  <si>
    <t>Įvestiniai duomenys</t>
  </si>
  <si>
    <t>Suskaičiuoti duomenys</t>
  </si>
  <si>
    <t>Skaičiavimus atlikusio asmens inicialai, data</t>
  </si>
  <si>
    <t>Darbuotojo inicialai, data</t>
  </si>
  <si>
    <t>Atsakingo asmens inicialai, data</t>
  </si>
  <si>
    <t>Izokine-tiškumas (0,95-1,15)</t>
  </si>
  <si>
    <t xml:space="preserve"> Izokine-tiškumo vidurkis  (0,95-1,15)</t>
  </si>
  <si>
    <t>EFSVPATD/3-3-1
AAA Aplinkos tyrimų departamentas</t>
  </si>
  <si>
    <t>EFSVPATD/3-3-2
AAA Aplinkos tyrimų departamentas</t>
  </si>
  <si>
    <t>EFSVPATD/3-3-3
AAA Aplinkos tyrimų departamentas</t>
  </si>
  <si>
    <t>FSVPATD/3-3-4
AAA Aplinkos tyrimų departamentas</t>
  </si>
  <si>
    <t>Išretėjimas, -hPa</t>
  </si>
  <si>
    <t>Paėmimo greitis, l/min</t>
  </si>
  <si>
    <t>Atmosf. Slėgis, hPa</t>
  </si>
  <si>
    <t>Vandens kondensato masė m H2O, kg</t>
  </si>
  <si>
    <t>Prasiurbtas dujų tūris normaliosiomis sąlygomis Vmn, Nm3</t>
  </si>
  <si>
    <t>Vidurkis qn, (kg/m3)</t>
  </si>
  <si>
    <t>Suma Vm, m3</t>
  </si>
  <si>
    <t>Pratraukto dujų tūrio suma H2O, Nm3. Įrašyti į "Dujų tūris pagal ISO" W stulpelį</t>
  </si>
  <si>
    <t>Išmatuotas vandens kiekis 10ltr*10 min.  Įrašyti iš "Dujų tūris pagal ISO" T stulpelio</t>
  </si>
  <si>
    <t>O2iš, (%) vidurkis</t>
  </si>
  <si>
    <t>CO2iš, (%) vidurkis</t>
  </si>
  <si>
    <t xml:space="preserve"> Ėminių ėmimo laikas t, min.</t>
  </si>
  <si>
    <t>Temp. prie aspirato-riaus, Vtr oC</t>
  </si>
  <si>
    <t>Dujų tūris normaliom sąlygom, Vn   l.</t>
  </si>
  <si>
    <t xml:space="preserve"> tor vidurkis, °C</t>
  </si>
  <si>
    <t>Patikrinimas, ar planuojamas surinkti dulkių kiekis suderinamas su tuščiojo ėminio verte ir ar filtras nebus per daug apkrautas</t>
  </si>
  <si>
    <t>Mažiausia ėminio ėmimo trukmė t, 30 min</t>
  </si>
  <si>
    <t>Tikėtina dulkių koncentracija cexs, mg/Nm3;</t>
  </si>
  <si>
    <t>Planuojamas dujų tūrio siurbimo greitis matavimo metu ortakio sąlygomis Vo, l/min.</t>
  </si>
  <si>
    <t>00</t>
  </si>
  <si>
    <t>01</t>
  </si>
  <si>
    <t>02</t>
  </si>
  <si>
    <t>03</t>
  </si>
  <si>
    <t>Ėminių   registracijos Nr. T-107-2026-E-</t>
  </si>
  <si>
    <t>Ortakio skersmuo d (m)</t>
  </si>
  <si>
    <r>
      <t>Temperatūra ortakyje t</t>
    </r>
    <r>
      <rPr>
        <b/>
        <vertAlign val="subscript"/>
        <sz val="11"/>
        <rFont val="Times New Roman"/>
        <family val="1"/>
        <charset val="186"/>
      </rPr>
      <t>or</t>
    </r>
    <r>
      <rPr>
        <b/>
        <sz val="11"/>
        <rFont val="Times New Roman"/>
        <family val="1"/>
        <charset val="186"/>
      </rPr>
      <t xml:space="preserve"> (°C)</t>
    </r>
  </si>
  <si>
    <t>Atmosfe-rinis slėgis  P (hPa)</t>
  </si>
  <si>
    <r>
      <t>Statinis slėgis ortakyje  ΔP</t>
    </r>
    <r>
      <rPr>
        <b/>
        <vertAlign val="subscript"/>
        <sz val="11"/>
        <rFont val="Times New Roman"/>
        <family val="1"/>
        <charset val="186"/>
      </rPr>
      <t>or</t>
    </r>
    <r>
      <rPr>
        <b/>
        <sz val="11"/>
        <rFont val="Times New Roman"/>
        <family val="1"/>
        <charset val="186"/>
      </rPr>
      <t xml:space="preserve"> (hPa)</t>
    </r>
  </si>
  <si>
    <r>
      <t>Slėgis prieš rotametrą ΔP</t>
    </r>
    <r>
      <rPr>
        <b/>
        <vertAlign val="subscript"/>
        <sz val="11"/>
        <rFont val="Times New Roman"/>
        <family val="1"/>
        <charset val="186"/>
      </rPr>
      <t>r</t>
    </r>
    <r>
      <rPr>
        <b/>
        <sz val="11"/>
        <rFont val="Times New Roman"/>
        <family val="1"/>
        <charset val="186"/>
      </rPr>
      <t xml:space="preserve"> (±hPa)</t>
    </r>
  </si>
  <si>
    <r>
      <t>Antgalio diametras d</t>
    </r>
    <r>
      <rPr>
        <b/>
        <vertAlign val="subscript"/>
        <sz val="11"/>
        <rFont val="Times New Roman"/>
        <family val="1"/>
        <charset val="186"/>
      </rPr>
      <t>a</t>
    </r>
    <r>
      <rPr>
        <b/>
        <sz val="11"/>
        <rFont val="Times New Roman"/>
        <family val="1"/>
        <charset val="186"/>
      </rPr>
      <t xml:space="preserve"> (mm)</t>
    </r>
  </si>
  <si>
    <r>
      <t>Prasiurbtas  dujų tūris V</t>
    </r>
    <r>
      <rPr>
        <b/>
        <vertAlign val="subscript"/>
        <sz val="11"/>
        <rFont val="Times New Roman"/>
        <family val="1"/>
        <charset val="186"/>
      </rPr>
      <t>m</t>
    </r>
    <r>
      <rPr>
        <b/>
        <sz val="11"/>
        <rFont val="Times New Roman"/>
        <family val="1"/>
        <charset val="186"/>
      </rPr>
      <t xml:space="preserve"> (m3)</t>
    </r>
  </si>
  <si>
    <t xml:space="preserve">Siurbimo laikas t (min) </t>
  </si>
  <si>
    <t xml:space="preserve">Siurbimo greitis Vo (l/min) </t>
  </si>
  <si>
    <r>
      <t>Siurbiamų dujų temperatūra prieš rotametrą t</t>
    </r>
    <r>
      <rPr>
        <b/>
        <vertAlign val="subscript"/>
        <sz val="11"/>
        <rFont val="Times New Roman"/>
        <family val="1"/>
        <charset val="186"/>
      </rPr>
      <t>r</t>
    </r>
    <r>
      <rPr>
        <b/>
        <sz val="11"/>
        <rFont val="Times New Roman"/>
        <family val="1"/>
        <charset val="186"/>
      </rPr>
      <t xml:space="preserve"> (°C)</t>
    </r>
  </si>
  <si>
    <r>
      <t>O</t>
    </r>
    <r>
      <rPr>
        <b/>
        <vertAlign val="subscript"/>
        <sz val="11"/>
        <rFont val="Times New Roman"/>
        <family val="1"/>
        <charset val="186"/>
      </rPr>
      <t>2iš</t>
    </r>
    <r>
      <rPr>
        <b/>
        <sz val="11"/>
        <rFont val="Times New Roman"/>
        <family val="1"/>
        <charset val="186"/>
      </rPr>
      <t xml:space="preserve"> (%) (ore 21 %)</t>
    </r>
  </si>
  <si>
    <r>
      <t>CO</t>
    </r>
    <r>
      <rPr>
        <b/>
        <vertAlign val="subscript"/>
        <sz val="11"/>
        <rFont val="Times New Roman"/>
        <family val="1"/>
        <charset val="186"/>
      </rPr>
      <t>2iš</t>
    </r>
    <r>
      <rPr>
        <b/>
        <sz val="11"/>
        <rFont val="Times New Roman"/>
        <family val="1"/>
        <charset val="186"/>
      </rPr>
      <t xml:space="preserve"> (%) (ore 0,04 %)</t>
    </r>
  </si>
  <si>
    <t>Išmatuota O2 koncentracija (%)</t>
  </si>
  <si>
    <t>Išmatuota CO2 koncentracija (%)</t>
  </si>
  <si>
    <t>Temperatūra ortakyje tor (°C)</t>
  </si>
  <si>
    <t>Ėminių  registracijos Nr. T-107-2026-E-</t>
  </si>
  <si>
    <t>Prasiurbtas  dujų tūris Vm (m3)</t>
  </si>
  <si>
    <t>Prasiurbtas dujų tūris normaliosiomis sąlygomis Vmn (Nm3)</t>
  </si>
  <si>
    <t>Prasiurbto dujų tūrio normaliosiomis sąlygomis suma Vmn(sum) (Nm3)</t>
  </si>
  <si>
    <t>Sausų dujų tankis normaliosioms sąlygomis qn (kg/m3)</t>
  </si>
  <si>
    <t>Drėgmės kiekis X (%)</t>
  </si>
  <si>
    <r>
      <t>Pratrauktas drėgnų dujų tūris realiomis sąlygomis V</t>
    </r>
    <r>
      <rPr>
        <b/>
        <vertAlign val="subscript"/>
        <sz val="11"/>
        <rFont val="Times New Roman"/>
        <family val="1"/>
        <charset val="186"/>
      </rPr>
      <t xml:space="preserve">mk </t>
    </r>
    <r>
      <rPr>
        <b/>
        <sz val="11"/>
        <rFont val="Times New Roman"/>
        <family val="1"/>
        <charset val="186"/>
      </rPr>
      <t>(m</t>
    </r>
    <r>
      <rPr>
        <b/>
        <vertAlign val="superscript"/>
        <sz val="11"/>
        <rFont val="Times New Roman"/>
        <family val="1"/>
        <charset val="186"/>
      </rPr>
      <t>3</t>
    </r>
    <r>
      <rPr>
        <b/>
        <sz val="11"/>
        <rFont val="Times New Roman"/>
        <family val="1"/>
        <charset val="186"/>
      </rPr>
      <t>)</t>
    </r>
  </si>
  <si>
    <r>
      <t xml:space="preserve">Dujų srauto greitis antgalyje v </t>
    </r>
    <r>
      <rPr>
        <b/>
        <vertAlign val="subscript"/>
        <sz val="11"/>
        <rFont val="Times New Roman"/>
        <family val="1"/>
        <charset val="186"/>
      </rPr>
      <t>antg.</t>
    </r>
    <r>
      <rPr>
        <b/>
        <sz val="11"/>
        <rFont val="Times New Roman"/>
        <family val="1"/>
        <charset val="186"/>
      </rPr>
      <t xml:space="preserve"> (m/s)</t>
    </r>
  </si>
  <si>
    <r>
      <t>Filtro svoris prieš KD ėmimą m</t>
    </r>
    <r>
      <rPr>
        <b/>
        <vertAlign val="subscript"/>
        <sz val="10"/>
        <rFont val="Times New Roman"/>
        <family val="1"/>
        <charset val="186"/>
      </rPr>
      <t>pr</t>
    </r>
    <r>
      <rPr>
        <b/>
        <sz val="10"/>
        <rFont val="Times New Roman"/>
        <family val="1"/>
        <charset val="186"/>
      </rPr>
      <t xml:space="preserve"> (g)</t>
    </r>
  </si>
  <si>
    <r>
      <t xml:space="preserve"> Filtro svoris po KD ėmimo m</t>
    </r>
    <r>
      <rPr>
        <b/>
        <vertAlign val="subscript"/>
        <sz val="10"/>
        <rFont val="Times New Roman"/>
        <family val="1"/>
        <charset val="186"/>
      </rPr>
      <t>po</t>
    </r>
    <r>
      <rPr>
        <b/>
        <sz val="10"/>
        <rFont val="Times New Roman"/>
        <family val="1"/>
        <charset val="186"/>
      </rPr>
      <t xml:space="preserve"> (g)</t>
    </r>
  </si>
  <si>
    <r>
      <t>Tuščiojo ėminio KD svoris m</t>
    </r>
    <r>
      <rPr>
        <b/>
        <vertAlign val="subscript"/>
        <sz val="10"/>
        <rFont val="Times New Roman"/>
        <family val="1"/>
        <charset val="186"/>
      </rPr>
      <t>t</t>
    </r>
    <r>
      <rPr>
        <b/>
        <sz val="10"/>
        <rFont val="Times New Roman"/>
        <family val="1"/>
        <charset val="186"/>
      </rPr>
      <t xml:space="preserve"> (g)</t>
    </r>
  </si>
  <si>
    <r>
      <t>Nuosėdų kiekis m</t>
    </r>
    <r>
      <rPr>
        <b/>
        <vertAlign val="subscript"/>
        <sz val="10"/>
        <rFont val="Times New Roman"/>
        <family val="1"/>
        <charset val="186"/>
      </rPr>
      <t>n</t>
    </r>
    <r>
      <rPr>
        <b/>
        <sz val="10"/>
        <rFont val="Times New Roman"/>
        <family val="1"/>
        <charset val="186"/>
      </rPr>
      <t xml:space="preserve"> (g)</t>
    </r>
  </si>
  <si>
    <r>
      <t>Indų svorių pokytis m</t>
    </r>
    <r>
      <rPr>
        <b/>
        <vertAlign val="subscript"/>
        <sz val="10"/>
        <rFont val="Times New Roman"/>
        <family val="1"/>
        <charset val="186"/>
      </rPr>
      <t>It</t>
    </r>
    <r>
      <rPr>
        <b/>
        <sz val="10"/>
        <rFont val="Times New Roman"/>
        <family val="1"/>
        <charset val="186"/>
      </rPr>
      <t xml:space="preserve"> (g)</t>
    </r>
  </si>
  <si>
    <r>
      <t>Sausų dujų tūris n.s. Vmn</t>
    </r>
    <r>
      <rPr>
        <b/>
        <vertAlign val="subscript"/>
        <sz val="10"/>
        <rFont val="Times New Roman"/>
        <family val="1"/>
        <charset val="186"/>
      </rPr>
      <t xml:space="preserve"> </t>
    </r>
    <r>
      <rPr>
        <b/>
        <sz val="10"/>
        <rFont val="Times New Roman"/>
        <family val="1"/>
        <charset val="186"/>
      </rPr>
      <t>(Nm</t>
    </r>
    <r>
      <rPr>
        <b/>
        <vertAlign val="superscript"/>
        <sz val="10"/>
        <rFont val="Times New Roman"/>
        <family val="1"/>
        <charset val="186"/>
      </rPr>
      <t>3</t>
    </r>
    <r>
      <rPr>
        <b/>
        <sz val="10"/>
        <rFont val="Times New Roman"/>
        <family val="1"/>
        <charset val="186"/>
      </rPr>
      <t>)</t>
    </r>
  </si>
  <si>
    <r>
      <t>Kietų dalelių koncentracija c</t>
    </r>
    <r>
      <rPr>
        <b/>
        <vertAlign val="subscript"/>
        <sz val="10"/>
        <rFont val="Times New Roman"/>
        <family val="1"/>
        <charset val="186"/>
      </rPr>
      <t>1</t>
    </r>
    <r>
      <rPr>
        <b/>
        <sz val="10"/>
        <rFont val="Times New Roman"/>
        <family val="1"/>
        <charset val="186"/>
      </rPr>
      <t xml:space="preserve">  (neįvert. O2</t>
    </r>
    <r>
      <rPr>
        <b/>
        <vertAlign val="subscript"/>
        <sz val="10"/>
        <rFont val="Times New Roman"/>
        <family val="1"/>
        <charset val="186"/>
      </rPr>
      <t xml:space="preserve">) </t>
    </r>
    <r>
      <rPr>
        <b/>
        <sz val="10"/>
        <rFont val="Times New Roman"/>
        <family val="1"/>
        <charset val="186"/>
      </rPr>
      <t>(mg/Nm</t>
    </r>
    <r>
      <rPr>
        <b/>
        <vertAlign val="superscript"/>
        <sz val="10"/>
        <rFont val="Times New Roman"/>
        <family val="1"/>
        <charset val="186"/>
      </rPr>
      <t>3</t>
    </r>
    <r>
      <rPr>
        <b/>
        <sz val="10"/>
        <rFont val="Times New Roman"/>
        <family val="1"/>
        <charset val="186"/>
      </rPr>
      <t>)</t>
    </r>
  </si>
  <si>
    <r>
      <t>Tuščiojo filtro vertė m</t>
    </r>
    <r>
      <rPr>
        <b/>
        <i/>
        <sz val="10"/>
        <rFont val="Times New Roman"/>
        <family val="1"/>
        <charset val="186"/>
      </rPr>
      <t>ft</t>
    </r>
    <r>
      <rPr>
        <b/>
        <sz val="10"/>
        <rFont val="Times New Roman"/>
        <family val="1"/>
        <charset val="186"/>
      </rPr>
      <t xml:space="preserve"> (mg/m3) (</t>
    </r>
    <r>
      <rPr>
        <b/>
        <sz val="10"/>
        <color rgb="FFFF0000"/>
        <rFont val="Times New Roman"/>
        <family val="1"/>
        <charset val="186"/>
      </rPr>
      <t>&lt; 2 mg/m3</t>
    </r>
    <r>
      <rPr>
        <b/>
        <sz val="10"/>
        <rFont val="Times New Roman"/>
        <family val="1"/>
        <charset val="186"/>
      </rPr>
      <t>)</t>
    </r>
  </si>
  <si>
    <r>
      <t>Surinktų dulkių ir tuščiojo ėminio santykis mFtk (</t>
    </r>
    <r>
      <rPr>
        <b/>
        <sz val="10"/>
        <color rgb="FFFF0000"/>
        <rFont val="Times New Roman"/>
        <family val="1"/>
        <charset val="186"/>
      </rPr>
      <t>&gt;5</t>
    </r>
    <r>
      <rPr>
        <b/>
        <sz val="10"/>
        <rFont val="Times New Roman"/>
        <family val="1"/>
        <charset val="186"/>
      </rPr>
      <t>)</t>
    </r>
  </si>
  <si>
    <t>Ėminių registracijos Nr. T-107-2026-E-</t>
  </si>
  <si>
    <t xml:space="preserve">Filtro/ indo Nr. </t>
  </si>
  <si>
    <t>Tuščio filtro/indo svėrimo data</t>
  </si>
  <si>
    <r>
      <t>Filtro/indo svoris prieš KD ėmimą m</t>
    </r>
    <r>
      <rPr>
        <b/>
        <vertAlign val="subscript"/>
        <sz val="11"/>
        <rFont val="Times New Roman"/>
        <family val="1"/>
      </rPr>
      <t>pr</t>
    </r>
    <r>
      <rPr>
        <b/>
        <sz val="11"/>
        <rFont val="Times New Roman"/>
        <family val="1"/>
        <charset val="186"/>
      </rPr>
      <t xml:space="preserve"> (g)</t>
    </r>
  </si>
  <si>
    <t xml:space="preserve"> Filtro/indo su ėminiu svėrimo data</t>
  </si>
  <si>
    <r>
      <t xml:space="preserve"> Filtro/indo svoris po KD ėmimo m</t>
    </r>
    <r>
      <rPr>
        <b/>
        <vertAlign val="subscript"/>
        <sz val="11"/>
        <rFont val="Times New Roman"/>
        <family val="1"/>
      </rPr>
      <t>po</t>
    </r>
    <r>
      <rPr>
        <b/>
        <sz val="11"/>
        <rFont val="Times New Roman"/>
        <family val="1"/>
        <charset val="186"/>
      </rPr>
      <t xml:space="preserve"> (g)</t>
    </r>
  </si>
  <si>
    <r>
      <t>Kietųjų dalelių svoris  m</t>
    </r>
    <r>
      <rPr>
        <b/>
        <vertAlign val="subscript"/>
        <sz val="11"/>
        <rFont val="Times New Roman"/>
        <family val="1"/>
      </rPr>
      <t>f</t>
    </r>
    <r>
      <rPr>
        <b/>
        <sz val="11"/>
        <rFont val="Times New Roman"/>
        <family val="1"/>
      </rPr>
      <t>/Svorių pokytis (g) (</t>
    </r>
    <r>
      <rPr>
        <b/>
        <sz val="11"/>
        <color rgb="FFFF0000"/>
        <rFont val="Times New Roman"/>
        <family val="1"/>
        <charset val="186"/>
      </rPr>
      <t>&lt;2,20 g</t>
    </r>
    <r>
      <rPr>
        <b/>
        <sz val="11"/>
        <rFont val="Times New Roman"/>
        <family val="1"/>
      </rPr>
      <t xml:space="preserve"> </t>
    </r>
    <r>
      <rPr>
        <b/>
        <sz val="10"/>
        <rFont val="Times New Roman"/>
        <family val="1"/>
      </rPr>
      <t>filtro talpumas)</t>
    </r>
  </si>
  <si>
    <r>
      <t>Planuojama surinkti dulkių masė m, g (</t>
    </r>
    <r>
      <rPr>
        <sz val="12"/>
        <color rgb="FFFF0000"/>
        <rFont val="Times New Roman"/>
        <family val="1"/>
        <charset val="186"/>
      </rPr>
      <t>&lt;2,20 g</t>
    </r>
    <r>
      <rPr>
        <sz val="12"/>
        <rFont val="Times New Roman"/>
        <family val="1"/>
        <charset val="186"/>
      </rPr>
      <t>)</t>
    </r>
  </si>
  <si>
    <t>Skerspjūvio plotas A  (m2)</t>
  </si>
  <si>
    <r>
      <t>Tuščiasis ėminys (m</t>
    </r>
    <r>
      <rPr>
        <vertAlign val="subscript"/>
        <sz val="11"/>
        <rFont val="Times New Roman"/>
        <family val="1"/>
      </rPr>
      <t>t)</t>
    </r>
  </si>
  <si>
    <r>
      <t>Išplautos nuosėdos (m</t>
    </r>
    <r>
      <rPr>
        <vertAlign val="subscript"/>
        <sz val="11"/>
        <rFont val="Times New Roman"/>
        <family val="1"/>
      </rPr>
      <t>n)</t>
    </r>
  </si>
  <si>
    <r>
      <t>Išvalytos ėminių sistemos tuščiasis ėminys (m</t>
    </r>
    <r>
      <rPr>
        <vertAlign val="subscript"/>
        <sz val="11"/>
        <rFont val="Times New Roman"/>
        <family val="1"/>
      </rPr>
      <t>It)</t>
    </r>
  </si>
  <si>
    <r>
      <t>Tušti indai svorio kontrolei (m</t>
    </r>
    <r>
      <rPr>
        <vertAlign val="subscript"/>
        <sz val="11"/>
        <rFont val="Times New Roman"/>
        <family val="1"/>
      </rPr>
      <t>It1)</t>
    </r>
  </si>
  <si>
    <r>
      <t>Tušti indai svorio kontrolei (m</t>
    </r>
    <r>
      <rPr>
        <vertAlign val="subscript"/>
        <sz val="11"/>
        <rFont val="Times New Roman"/>
        <family val="1"/>
      </rPr>
      <t>It2)</t>
    </r>
  </si>
  <si>
    <r>
      <t>Tušti indai svorio kontrolei (m</t>
    </r>
    <r>
      <rPr>
        <vertAlign val="subscript"/>
        <sz val="11"/>
        <rFont val="Times New Roman"/>
        <family val="1"/>
      </rPr>
      <t>It3)</t>
    </r>
  </si>
  <si>
    <r>
      <t>Tuščių indų ir išvalytos ėminių sistemos tuščiojo ėminio svorio pokytis (m</t>
    </r>
    <r>
      <rPr>
        <vertAlign val="subscript"/>
        <sz val="11"/>
        <rFont val="Times New Roman"/>
        <family val="1"/>
      </rPr>
      <t>Itp)</t>
    </r>
  </si>
  <si>
    <t>Suma t, min</t>
  </si>
  <si>
    <t>Skaičiuoklė kietųjų dalelių koncentracijai nustatyti. Pradinių duomenų nustatymas</t>
  </si>
  <si>
    <t>Skaičiuoklė kietųjų dalelių koncentracijai nustatyti. Izokinetiškumo nustatymas</t>
  </si>
  <si>
    <t>Skaičiuoklė kietųjų dalelių koncentracijai nustatyti. Kietųjų dalelių koncentracijos nustatymas</t>
  </si>
  <si>
    <t>Skaičiuoklė kietųjų dalelių koncentracijai nustatyti. Svėrimas</t>
  </si>
  <si>
    <t>Drėgmės kiekis X (%) (izokinetinei sistemai)</t>
  </si>
  <si>
    <t>Filtrų skaičius Fsk (vnt.)</t>
  </si>
  <si>
    <t>1 linija, 1 filtras</t>
  </si>
  <si>
    <t>Skaičiuoklė kietųjų dalelių koncentracijai nustatyti. H2O skaičiavimas</t>
  </si>
  <si>
    <t>Debitas pagal matuotą diferencinį slėgį</t>
  </si>
  <si>
    <t>Matavimo taškai ortakyje nuo vidinės sienelės, cm</t>
  </si>
  <si>
    <t>Pito vamzdelio koeficientas, K</t>
  </si>
  <si>
    <t>Temperatūra ortakyje t, oC</t>
  </si>
  <si>
    <t>Atmosferinis slėgis P,  hPa</t>
  </si>
  <si>
    <t>Statinis slėgis ortakyje ± ΔP, hPa</t>
  </si>
  <si>
    <t>Dujų slėgis kamine Pk= P+ ΔP, hPa</t>
  </si>
  <si>
    <t>Dujų mol. masė Ms= qn *22.4, kg/
kmol</t>
  </si>
  <si>
    <t>Dujų srauto greitis matavimo taškuose, 1 linija, wi = K*129 *√t *√Pdi/ √Pk/√Ms,  m/s</t>
  </si>
  <si>
    <t>Dujų srauto greitis matavimo taškuose, 2 linija wi = K*129 *√t *√Pdi/ √Pk/√Ms,  m/s</t>
  </si>
  <si>
    <t>Vidutinis dujų srauto greitis ortakyje w, m/s</t>
  </si>
  <si>
    <t>Ortakio diametras, matmenys,  m</t>
  </si>
  <si>
    <t>Ortakio skerspjūvio plotas F, m2</t>
  </si>
  <si>
    <t>Dujų tūrio debitas realiomis sąlygomis Vk = wvid × F, m3/s</t>
  </si>
  <si>
    <t>Dujų tūrio debitas normaliosiomis sąlygomis Vdr n.s =Vk *0,269*(P±ΔP)/(273+t), m3/s</t>
  </si>
  <si>
    <t xml:space="preserve">Vandens garų konc. dujose    x=mH2O/Vmn*qn, kg/kg                                                                                                                                                                                                         
                                                                                                                                                      </t>
  </si>
  <si>
    <t>Sausų dujų tūrio debitas normaliosioms sąlygomis Vn= Vdr n.s *((1/(1+(x*qn/0.8038)))</t>
  </si>
  <si>
    <t>Išplėstinė neapibrėžtis (dujų tūrio debitas) Uv</t>
  </si>
  <si>
    <t>Išplėstinė neapibrėžtis (dujų srauto greitis) Uw</t>
  </si>
  <si>
    <t>Sausų dujų tankis normaliosioms sąlygomis qn, (kg/m3)</t>
  </si>
  <si>
    <t xml:space="preserve">Skaičiavimus atliko (inicialai, data) </t>
  </si>
  <si>
    <t>Iš Aerodinamika</t>
  </si>
  <si>
    <t xml:space="preserve">   </t>
  </si>
  <si>
    <t xml:space="preserve">                                                                                                                                                                                                                                                                                                                                                                                                                                                                                                                                                                                                                                                                                                                                                                                                                                                                                                                                                                                                                                                                                                                                                                                                                                                                                                                                                        </t>
  </si>
  <si>
    <t>RPU**</t>
  </si>
  <si>
    <t>vidurinis taškas 2 matavimas</t>
  </si>
  <si>
    <t xml:space="preserve">                     </t>
  </si>
  <si>
    <t>Debitas pagal matuotą dujų greitį</t>
  </si>
  <si>
    <t xml:space="preserve">Vidurkis Vo (l/min) </t>
  </si>
  <si>
    <t>Suma Vmk (m3)</t>
  </si>
  <si>
    <t>Išmatuotas diferencinis slėgis taškuose    1 linija, Pdi, hPa</t>
  </si>
  <si>
    <t>Išmatuotas diferencinis slėgis  taškuose    2 linija, Pdi, hPa</t>
  </si>
  <si>
    <t>Išplėstinės neapibrėžties koef. A</t>
  </si>
  <si>
    <t>Srauto greitis ortakyje wor (m/s)</t>
  </si>
  <si>
    <t>Išmatuotas diferencinis slėgis taškuose, Pdi, hPa</t>
  </si>
  <si>
    <t>XX</t>
  </si>
  <si>
    <t>XXXX-XX-XX</t>
  </si>
  <si>
    <t>X</t>
  </si>
  <si>
    <t>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</si>
</sst>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
    <numFmt numFmtId="166" formatCode="0.000"/>
    <numFmt numFmtId="167" formatCode="0.0"/>
    <numFmt numFmtId="168" formatCode="0.000000"/>
    <numFmt numFmtId="169" formatCode="0.0;[Red]0.0"/>
    <numFmt numFmtId="170" formatCode="yyyy\-mm\-dd;@"/>
    <numFmt numFmtId="171" formatCode="0;[Red]0"/>
    <numFmt numFmtId="172" formatCode="yyyy\-mm\-dd"/>
  </numFmts>
  <fonts count="32" x14ac:knownFonts="1">
    <font>
      <sz val="10"/>
      <name val="Arial"/>
      <charset val="186"/>
    </font>
    <font>
      <sz val="10"/>
      <name val="Arial"/>
      <family val="2"/>
      <charset val="186"/>
    </font>
    <font>
      <b/>
      <sz val="10"/>
      <name val="Arial"/>
      <family val="2"/>
      <charset val="186"/>
    </font>
    <font>
      <sz val="10"/>
      <name val="Times New Roman"/>
      <family val="1"/>
      <charset val="186"/>
    </font>
    <font>
      <sz val="11"/>
      <name val="Times New Roman"/>
      <family val="1"/>
      <charset val="186"/>
    </font>
    <font>
      <sz val="10"/>
      <name val="Arial"/>
      <family val="2"/>
      <charset val="186"/>
    </font>
    <font>
      <sz val="8"/>
      <name val="Arial"/>
      <family val="2"/>
      <charset val="186"/>
    </font>
    <font>
      <sz val="8"/>
      <name val="Arial"/>
      <family val="2"/>
      <charset val="186"/>
    </font>
    <font>
      <b/>
      <sz val="11"/>
      <name val="Times New Roman"/>
      <family val="1"/>
      <charset val="186"/>
    </font>
    <font>
      <b/>
      <sz val="12"/>
      <name val="Times New Roman"/>
      <family val="1"/>
      <charset val="186"/>
    </font>
    <font>
      <sz val="11"/>
      <color theme="1"/>
      <name val="Times New Roman"/>
      <family val="1"/>
      <charset val="186"/>
    </font>
    <font>
      <b/>
      <sz val="11"/>
      <color theme="1"/>
      <name val="Times New Roman"/>
      <family val="1"/>
      <charset val="186"/>
    </font>
    <font>
      <b/>
      <sz val="12"/>
      <color theme="1"/>
      <name val="Times New Roman"/>
      <family val="1"/>
      <charset val="186"/>
    </font>
    <font>
      <b/>
      <sz val="10"/>
      <name val="Times New Roman"/>
      <family val="1"/>
      <charset val="186"/>
    </font>
    <font>
      <b/>
      <i/>
      <sz val="10"/>
      <name val="Times New Roman"/>
      <family val="1"/>
      <charset val="186"/>
    </font>
    <font>
      <b/>
      <sz val="10"/>
      <color rgb="FFFF0000"/>
      <name val="Times New Roman"/>
      <family val="1"/>
      <charset val="186"/>
    </font>
    <font>
      <sz val="12"/>
      <name val="Times New Roman"/>
      <family val="1"/>
      <charset val="186"/>
    </font>
    <font>
      <sz val="12"/>
      <color rgb="FFFF0000"/>
      <name val="Times New Roman"/>
      <family val="1"/>
      <charset val="186"/>
    </font>
    <font>
      <sz val="12"/>
      <name val="Times New Roman"/>
      <family val="2"/>
      <charset val="186"/>
    </font>
    <font>
      <b/>
      <sz val="11"/>
      <color rgb="FFFF0000"/>
      <name val="Times New Roman"/>
      <family val="1"/>
      <charset val="186"/>
    </font>
    <font>
      <b/>
      <vertAlign val="subscript"/>
      <sz val="11"/>
      <name val="Times New Roman"/>
      <family val="1"/>
      <charset val="186"/>
    </font>
    <font>
      <b/>
      <vertAlign val="superscript"/>
      <sz val="11"/>
      <name val="Times New Roman"/>
      <family val="1"/>
      <charset val="186"/>
    </font>
    <font>
      <b/>
      <vertAlign val="subscript"/>
      <sz val="10"/>
      <name val="Times New Roman"/>
      <family val="1"/>
      <charset val="186"/>
    </font>
    <font>
      <b/>
      <vertAlign val="superscript"/>
      <sz val="10"/>
      <name val="Times New Roman"/>
      <family val="1"/>
      <charset val="186"/>
    </font>
    <font>
      <b/>
      <vertAlign val="subscript"/>
      <sz val="11"/>
      <name val="Times New Roman"/>
      <family val="1"/>
    </font>
    <font>
      <b/>
      <sz val="11"/>
      <name val="Times New Roman"/>
      <family val="1"/>
    </font>
    <font>
      <b/>
      <sz val="10"/>
      <name val="Times New Roman"/>
      <family val="1"/>
    </font>
    <font>
      <vertAlign val="subscript"/>
      <sz val="11"/>
      <name val="Times New Roman"/>
      <family val="1"/>
    </font>
    <font>
      <sz val="11"/>
      <name val="Times New Roman"/>
      <family val="1"/>
    </font>
    <font>
      <sz val="12"/>
      <color theme="1"/>
      <name val="Times New Roman"/>
      <family val="1"/>
      <charset val="186"/>
    </font>
    <font>
      <b/>
      <sz val="12"/>
      <color theme="1"/>
      <name val="Times New Roman"/>
      <family val="1"/>
    </font>
    <font>
      <b/>
      <sz val="12"/>
      <name val="Times New Roman"/>
      <family val="1"/>
    </font>
  </fonts>
  <fills count="12">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000000"/>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s>
  <borders count="20">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s>
  <cellStyleXfs count="4">
    <xf numFmtId="0" fontId="0" fillId="0" borderId="0"/>
    <xf numFmtId="0" fontId="1" fillId="0" borderId="0"/>
    <xf numFmtId="9" fontId="5" fillId="0" borderId="0" applyFont="0" applyFill="0" applyBorder="0" applyAlignment="0" applyProtection="0"/>
    <xf numFmtId="9" fontId="1" fillId="0" borderId="0" applyFont="0" applyFill="0" applyBorder="0" applyAlignment="0" applyProtection="0"/>
  </cellStyleXfs>
  <cellXfs count="305">
    <xf numFmtId="0" fontId="0" fillId="0" borderId="0" xfId="0"/>
    <xf numFmtId="0" fontId="2"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0" fillId="0" borderId="4"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8" fillId="0" borderId="5" xfId="1"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protection locked="0"/>
    </xf>
    <xf numFmtId="0" fontId="4" fillId="0" borderId="0" xfId="0" applyFont="1" applyProtection="1">
      <protection locked="0"/>
    </xf>
    <xf numFmtId="0" fontId="10" fillId="0" borderId="0" xfId="0" applyFont="1" applyAlignment="1" applyProtection="1">
      <alignment horizontal="center" vertical="center" wrapText="1"/>
      <protection locked="0"/>
    </xf>
    <xf numFmtId="0" fontId="4" fillId="0" borderId="0" xfId="0" applyFont="1" applyAlignment="1" applyProtection="1">
      <alignment horizontal="right"/>
      <protection locked="0"/>
    </xf>
    <xf numFmtId="2" fontId="4" fillId="0" borderId="10" xfId="0" applyNumberFormat="1" applyFont="1" applyBorder="1" applyAlignment="1" applyProtection="1">
      <alignment horizontal="center" vertical="center"/>
      <protection locked="0"/>
    </xf>
    <xf numFmtId="165" fontId="4" fillId="0" borderId="10"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0" xfId="0" applyFont="1" applyBorder="1" applyAlignment="1" applyProtection="1">
      <alignment horizontal="center" vertical="center" wrapText="1"/>
      <protection locked="0"/>
    </xf>
    <xf numFmtId="0" fontId="10" fillId="0" borderId="0" xfId="0" applyFont="1" applyAlignment="1" applyProtection="1">
      <alignment horizontal="center" wrapText="1"/>
      <protection locked="0"/>
    </xf>
    <xf numFmtId="0" fontId="4" fillId="0" borderId="0" xfId="1" applyFont="1" applyProtection="1">
      <protection locked="0"/>
    </xf>
    <xf numFmtId="0" fontId="4" fillId="3" borderId="0" xfId="0" applyFont="1" applyFill="1" applyProtection="1">
      <protection locked="0"/>
    </xf>
    <xf numFmtId="0" fontId="4" fillId="4" borderId="0" xfId="0" applyFont="1" applyFill="1" applyProtection="1">
      <protection locked="0"/>
    </xf>
    <xf numFmtId="2" fontId="4" fillId="0" borderId="0" xfId="0" applyNumberFormat="1" applyFont="1" applyAlignment="1" applyProtection="1">
      <alignment vertical="center"/>
      <protection locked="0"/>
    </xf>
    <xf numFmtId="0" fontId="8" fillId="0" borderId="0" xfId="0" applyFont="1" applyProtection="1">
      <protection locked="0"/>
    </xf>
    <xf numFmtId="172" fontId="4" fillId="0" borderId="10" xfId="0" applyNumberFormat="1" applyFont="1" applyBorder="1" applyAlignment="1" applyProtection="1">
      <alignment horizontal="center" vertical="center"/>
      <protection locked="0"/>
    </xf>
    <xf numFmtId="164" fontId="4" fillId="0" borderId="11" xfId="0" applyNumberFormat="1" applyFont="1" applyBorder="1" applyAlignment="1" applyProtection="1">
      <alignment horizontal="center" vertical="center"/>
      <protection locked="0"/>
    </xf>
    <xf numFmtId="164" fontId="4" fillId="0" borderId="10" xfId="0" applyNumberFormat="1"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7" xfId="0" applyFont="1" applyBorder="1" applyProtection="1">
      <protection locked="0"/>
    </xf>
    <xf numFmtId="0" fontId="4" fillId="0" borderId="11" xfId="0" applyFont="1" applyBorder="1" applyProtection="1">
      <protection locked="0"/>
    </xf>
    <xf numFmtId="170" fontId="4" fillId="0" borderId="10" xfId="0" applyNumberFormat="1"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3" fillId="0" borderId="0" xfId="0" applyFont="1" applyProtection="1">
      <protection locked="0"/>
    </xf>
    <xf numFmtId="49" fontId="9" fillId="0" borderId="0" xfId="0" applyNumberFormat="1" applyFont="1" applyAlignment="1" applyProtection="1">
      <alignment horizontal="center" vertical="center"/>
      <protection locked="0"/>
    </xf>
    <xf numFmtId="0" fontId="11" fillId="0" borderId="4" xfId="0" applyFont="1" applyBorder="1" applyAlignment="1" applyProtection="1">
      <alignment horizontal="center" vertical="center" wrapText="1"/>
      <protection locked="0"/>
    </xf>
    <xf numFmtId="167" fontId="9" fillId="0" borderId="4"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3" fillId="0" borderId="4" xfId="0" applyFont="1" applyBorder="1" applyProtection="1">
      <protection locked="0"/>
    </xf>
    <xf numFmtId="166" fontId="12" fillId="0" borderId="4" xfId="0" applyNumberFormat="1" applyFont="1" applyBorder="1" applyAlignment="1" applyProtection="1">
      <alignment horizontal="center" vertical="center"/>
      <protection locked="0"/>
    </xf>
    <xf numFmtId="0" fontId="8" fillId="0" borderId="5"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10" fillId="0" borderId="0" xfId="0" applyFont="1" applyAlignment="1" applyProtection="1">
      <alignment vertical="top" wrapText="1"/>
      <protection locked="0"/>
    </xf>
    <xf numFmtId="166" fontId="4" fillId="2" borderId="4" xfId="0" applyNumberFormat="1" applyFont="1" applyFill="1" applyBorder="1" applyAlignment="1">
      <alignment horizontal="center" vertical="center"/>
    </xf>
    <xf numFmtId="170" fontId="4" fillId="0" borderId="10" xfId="0" applyNumberFormat="1" applyFont="1" applyBorder="1" applyAlignment="1" applyProtection="1">
      <alignment vertical="center"/>
      <protection locked="0"/>
    </xf>
    <xf numFmtId="166" fontId="4" fillId="0" borderId="10" xfId="0" applyNumberFormat="1" applyFont="1" applyBorder="1" applyAlignment="1" applyProtection="1">
      <alignment horizontal="center" vertical="center"/>
      <protection locked="0"/>
    </xf>
    <xf numFmtId="170" fontId="4" fillId="0" borderId="8" xfId="0" applyNumberFormat="1" applyFont="1" applyBorder="1" applyAlignment="1" applyProtection="1">
      <alignment vertical="center"/>
      <protection locked="0"/>
    </xf>
    <xf numFmtId="0" fontId="4" fillId="0" borderId="8" xfId="0" applyFont="1" applyBorder="1" applyAlignment="1" applyProtection="1">
      <alignment horizontal="center" vertical="center" wrapText="1"/>
      <protection locked="0"/>
    </xf>
    <xf numFmtId="166" fontId="4" fillId="0" borderId="8" xfId="0" applyNumberFormat="1" applyFont="1" applyBorder="1" applyAlignment="1" applyProtection="1">
      <alignment horizontal="center" vertical="center"/>
      <protection locked="0"/>
    </xf>
    <xf numFmtId="2" fontId="4" fillId="0" borderId="8" xfId="0" applyNumberFormat="1" applyFont="1" applyBorder="1" applyAlignment="1" applyProtection="1">
      <alignment horizontal="center" vertical="center"/>
      <protection locked="0"/>
    </xf>
    <xf numFmtId="2" fontId="9" fillId="2" borderId="4" xfId="0" applyNumberFormat="1" applyFont="1" applyFill="1" applyBorder="1" applyAlignment="1">
      <alignment horizontal="center" vertical="center"/>
    </xf>
    <xf numFmtId="168" fontId="9" fillId="2" borderId="4" xfId="0" applyNumberFormat="1" applyFont="1" applyFill="1" applyBorder="1" applyAlignment="1">
      <alignment horizontal="center" vertical="center"/>
    </xf>
    <xf numFmtId="2" fontId="4" fillId="2" borderId="4" xfId="0" applyNumberFormat="1" applyFont="1" applyFill="1" applyBorder="1" applyAlignment="1">
      <alignment horizontal="center" vertical="center"/>
    </xf>
    <xf numFmtId="168" fontId="4" fillId="2" borderId="4" xfId="0" applyNumberFormat="1" applyFont="1" applyFill="1" applyBorder="1" applyAlignment="1">
      <alignment horizontal="center" vertical="center"/>
    </xf>
    <xf numFmtId="168" fontId="8" fillId="2" borderId="5" xfId="0" applyNumberFormat="1" applyFont="1" applyFill="1" applyBorder="1" applyAlignment="1">
      <alignment horizontal="center" vertical="center"/>
    </xf>
    <xf numFmtId="2" fontId="8" fillId="2" borderId="4" xfId="0" applyNumberFormat="1" applyFont="1" applyFill="1" applyBorder="1" applyAlignment="1">
      <alignment horizontal="center" vertical="center"/>
    </xf>
    <xf numFmtId="2" fontId="8" fillId="2" borderId="5" xfId="0" applyNumberFormat="1" applyFont="1" applyFill="1" applyBorder="1" applyAlignment="1">
      <alignment horizontal="center" vertical="center"/>
    </xf>
    <xf numFmtId="166" fontId="8" fillId="0" borderId="15" xfId="0" applyNumberFormat="1" applyFont="1" applyBorder="1" applyAlignment="1">
      <alignment vertical="center"/>
    </xf>
    <xf numFmtId="166" fontId="8" fillId="0" borderId="0" xfId="0" applyNumberFormat="1" applyFont="1" applyAlignment="1">
      <alignment vertical="center"/>
    </xf>
    <xf numFmtId="0" fontId="9" fillId="0" borderId="4" xfId="0" applyFont="1" applyBorder="1" applyAlignment="1">
      <alignment horizontal="center" vertical="center"/>
    </xf>
    <xf numFmtId="166" fontId="9" fillId="0" borderId="4" xfId="0" applyNumberFormat="1" applyFont="1" applyBorder="1" applyAlignment="1" applyProtection="1">
      <alignment horizontal="center" vertical="center"/>
      <protection locked="0"/>
    </xf>
    <xf numFmtId="2" fontId="9" fillId="0" borderId="4" xfId="0" applyNumberFormat="1" applyFont="1" applyBorder="1" applyAlignment="1">
      <alignment horizontal="center" vertical="center"/>
    </xf>
    <xf numFmtId="168"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4" xfId="0" applyFont="1" applyBorder="1" applyAlignment="1" applyProtection="1">
      <alignment horizontal="center" vertical="center" wrapText="1"/>
      <protection locked="0"/>
    </xf>
    <xf numFmtId="168" fontId="12" fillId="0" borderId="4" xfId="0" applyNumberFormat="1" applyFont="1" applyBorder="1" applyAlignment="1">
      <alignment horizontal="center" vertical="center"/>
    </xf>
    <xf numFmtId="166" fontId="12" fillId="0" borderId="4" xfId="0" applyNumberFormat="1" applyFont="1" applyBorder="1" applyAlignment="1">
      <alignment horizontal="center" vertical="center"/>
    </xf>
    <xf numFmtId="166" fontId="8" fillId="2" borderId="4" xfId="0" applyNumberFormat="1" applyFont="1" applyFill="1" applyBorder="1" applyAlignment="1">
      <alignment horizontal="center" vertical="center"/>
    </xf>
    <xf numFmtId="0" fontId="4" fillId="0" borderId="0" xfId="0" applyFont="1" applyAlignment="1" applyProtection="1">
      <alignment vertical="center"/>
      <protection locked="0"/>
    </xf>
    <xf numFmtId="0" fontId="4"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167" fontId="4" fillId="0" borderId="5" xfId="0" applyNumberFormat="1" applyFont="1" applyBorder="1" applyAlignment="1" applyProtection="1">
      <alignment horizontal="center" vertical="center"/>
      <protection locked="0"/>
    </xf>
    <xf numFmtId="167" fontId="4" fillId="0" borderId="10" xfId="0" applyNumberFormat="1" applyFont="1" applyBorder="1" applyAlignment="1" applyProtection="1">
      <alignment horizontal="center" vertical="center"/>
      <protection locked="0"/>
    </xf>
    <xf numFmtId="0" fontId="4" fillId="0" borderId="10" xfId="0" applyFont="1" applyBorder="1" applyAlignment="1" applyProtection="1">
      <alignment vertical="center"/>
      <protection locked="0"/>
    </xf>
    <xf numFmtId="0" fontId="4" fillId="0" borderId="8" xfId="0" applyFont="1" applyBorder="1" applyAlignment="1" applyProtection="1">
      <alignment vertical="center"/>
      <protection locked="0"/>
    </xf>
    <xf numFmtId="166" fontId="4" fillId="0" borderId="4" xfId="0" applyNumberFormat="1" applyFont="1" applyBorder="1" applyAlignment="1" applyProtection="1">
      <alignment horizontal="center" vertical="center" wrapText="1"/>
      <protection locked="0"/>
    </xf>
    <xf numFmtId="0" fontId="4" fillId="0" borderId="0" xfId="1" applyFont="1" applyAlignment="1" applyProtection="1">
      <alignment vertical="center"/>
      <protection locked="0"/>
    </xf>
    <xf numFmtId="0" fontId="8" fillId="0" borderId="4" xfId="1" applyFont="1" applyBorder="1" applyAlignment="1" applyProtection="1">
      <alignment horizontal="center" vertical="center" wrapText="1"/>
      <protection locked="0"/>
    </xf>
    <xf numFmtId="167" fontId="8" fillId="2" borderId="11" xfId="0" applyNumberFormat="1" applyFont="1" applyFill="1" applyBorder="1" applyAlignment="1">
      <alignment horizontal="center" vertical="center"/>
    </xf>
    <xf numFmtId="172" fontId="4" fillId="0" borderId="10" xfId="0" applyNumberFormat="1" applyFont="1" applyBorder="1" applyAlignment="1" applyProtection="1">
      <alignment vertical="center"/>
      <protection locked="0"/>
    </xf>
    <xf numFmtId="164" fontId="4" fillId="0" borderId="10" xfId="0" applyNumberFormat="1" applyFont="1" applyBorder="1" applyAlignment="1" applyProtection="1">
      <alignment vertical="center"/>
      <protection locked="0"/>
    </xf>
    <xf numFmtId="172" fontId="4"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4" fillId="0" borderId="14" xfId="0" applyFont="1" applyBorder="1" applyProtection="1">
      <protection locked="0"/>
    </xf>
    <xf numFmtId="0" fontId="4" fillId="0" borderId="10" xfId="0" applyFont="1" applyBorder="1" applyAlignment="1" applyProtection="1">
      <alignment vertical="center" wrapText="1"/>
      <protection locked="0"/>
    </xf>
    <xf numFmtId="0" fontId="4" fillId="0" borderId="8" xfId="0" applyFont="1" applyBorder="1" applyAlignment="1" applyProtection="1">
      <alignment vertical="center" wrapText="1"/>
      <protection locked="0"/>
    </xf>
    <xf numFmtId="167" fontId="8" fillId="2" borderId="10" xfId="0" applyNumberFormat="1" applyFont="1" applyFill="1" applyBorder="1" applyAlignment="1">
      <alignment horizontal="center" vertical="center"/>
    </xf>
    <xf numFmtId="167" fontId="8" fillId="2" borderId="8" xfId="0" applyNumberFormat="1" applyFont="1" applyFill="1" applyBorder="1" applyAlignment="1">
      <alignment horizontal="center" vertical="center"/>
    </xf>
    <xf numFmtId="0" fontId="16" fillId="0" borderId="0" xfId="0" applyFont="1" applyAlignment="1" applyProtection="1">
      <alignment horizontal="center" vertical="center"/>
      <protection locked="0"/>
    </xf>
    <xf numFmtId="0" fontId="16" fillId="8" borderId="4" xfId="0" applyFont="1" applyFill="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2" fontId="16" fillId="2" borderId="4" xfId="0" applyNumberFormat="1" applyFont="1" applyFill="1" applyBorder="1" applyAlignment="1">
      <alignment horizontal="center" vertical="center"/>
    </xf>
    <xf numFmtId="0" fontId="16" fillId="0" borderId="4"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1" fontId="17" fillId="0" borderId="4" xfId="0" applyNumberFormat="1"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167" fontId="8" fillId="2" borderId="5" xfId="0" applyNumberFormat="1" applyFont="1" applyFill="1" applyBorder="1" applyAlignment="1">
      <alignment horizontal="center" vertical="center"/>
    </xf>
    <xf numFmtId="49" fontId="4" fillId="0" borderId="13" xfId="0" applyNumberFormat="1"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0" fontId="13" fillId="0" borderId="4" xfId="0" applyFont="1" applyBorder="1" applyAlignment="1" applyProtection="1">
      <alignment horizontal="center" vertical="center" wrapText="1"/>
      <protection locked="0"/>
    </xf>
    <xf numFmtId="0" fontId="8" fillId="9" borderId="4" xfId="0" applyFont="1" applyFill="1" applyBorder="1" applyAlignment="1" applyProtection="1">
      <alignment horizontal="center" vertical="center" wrapText="1"/>
      <protection locked="0"/>
    </xf>
    <xf numFmtId="0" fontId="4" fillId="0" borderId="4" xfId="0" applyFont="1" applyBorder="1" applyProtection="1">
      <protection locked="0"/>
    </xf>
    <xf numFmtId="0" fontId="28" fillId="0" borderId="16" xfId="0" applyFont="1" applyBorder="1" applyAlignment="1" applyProtection="1">
      <alignment wrapText="1"/>
      <protection locked="0"/>
    </xf>
    <xf numFmtId="0" fontId="28" fillId="0" borderId="7" xfId="0" applyFont="1" applyBorder="1" applyProtection="1">
      <protection locked="0"/>
    </xf>
    <xf numFmtId="0" fontId="28" fillId="0" borderId="14" xfId="0" applyFont="1" applyBorder="1" applyProtection="1">
      <protection locked="0"/>
    </xf>
    <xf numFmtId="0" fontId="28" fillId="0" borderId="14" xfId="0" applyFont="1" applyBorder="1" applyAlignment="1" applyProtection="1">
      <alignment wrapText="1"/>
      <protection locked="0"/>
    </xf>
    <xf numFmtId="1" fontId="8" fillId="2" borderId="4" xfId="0" applyNumberFormat="1" applyFont="1" applyFill="1" applyBorder="1" applyAlignment="1">
      <alignment horizontal="center" vertical="center"/>
    </xf>
    <xf numFmtId="164" fontId="4" fillId="2" borderId="8" xfId="0" applyNumberFormat="1" applyFont="1" applyFill="1" applyBorder="1" applyAlignment="1">
      <alignment horizontal="center" vertical="center"/>
    </xf>
    <xf numFmtId="0" fontId="12" fillId="5" borderId="4" xfId="0" applyFont="1" applyFill="1" applyBorder="1" applyAlignment="1" applyProtection="1">
      <alignment horizontal="center" vertical="center"/>
      <protection locked="0"/>
    </xf>
    <xf numFmtId="1" fontId="12" fillId="5" borderId="4" xfId="0" applyNumberFormat="1" applyFont="1" applyFill="1" applyBorder="1" applyAlignment="1" applyProtection="1">
      <alignment horizontal="center" vertical="center"/>
      <protection locked="0"/>
    </xf>
    <xf numFmtId="2" fontId="8" fillId="0" borderId="4" xfId="0" applyNumberFormat="1" applyFont="1" applyBorder="1" applyAlignment="1" applyProtection="1">
      <alignment horizontal="center" vertical="center" wrapText="1"/>
      <protection locked="0"/>
    </xf>
    <xf numFmtId="167" fontId="8" fillId="7" borderId="4" xfId="0" applyNumberFormat="1" applyFont="1" applyFill="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29"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49" fontId="10" fillId="0" borderId="4" xfId="0" applyNumberFormat="1" applyFont="1" applyBorder="1" applyAlignment="1" applyProtection="1">
      <alignment horizontal="center" vertical="center" wrapText="1"/>
      <protection locked="0"/>
    </xf>
    <xf numFmtId="0" fontId="29" fillId="0" borderId="5"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2" fontId="9" fillId="0" borderId="4" xfId="0" applyNumberFormat="1" applyFont="1" applyBorder="1" applyAlignment="1" applyProtection="1">
      <alignment horizontal="center" vertical="center" wrapText="1"/>
      <protection locked="0"/>
    </xf>
    <xf numFmtId="166" fontId="9" fillId="0" borderId="4" xfId="0" applyNumberFormat="1" applyFont="1" applyBorder="1" applyAlignment="1" applyProtection="1">
      <alignment horizontal="center" vertical="center" wrapText="1"/>
      <protection locked="0"/>
    </xf>
    <xf numFmtId="0" fontId="9" fillId="10" borderId="4" xfId="0" applyFont="1" applyFill="1" applyBorder="1" applyAlignment="1">
      <alignment horizontal="center" vertical="center"/>
    </xf>
    <xf numFmtId="2" fontId="9" fillId="0" borderId="4" xfId="0" applyNumberFormat="1" applyFont="1" applyBorder="1" applyAlignment="1" applyProtection="1">
      <alignment horizontal="center" vertical="center"/>
      <protection locked="0"/>
    </xf>
    <xf numFmtId="0" fontId="9" fillId="2" borderId="4" xfId="0" applyFont="1" applyFill="1" applyBorder="1" applyAlignment="1">
      <alignment horizontal="center" vertical="center"/>
    </xf>
    <xf numFmtId="2" fontId="9" fillId="0" borderId="5" xfId="0" applyNumberFormat="1" applyFont="1" applyBorder="1" applyAlignment="1" applyProtection="1">
      <alignment horizontal="center" vertical="center"/>
      <protection locked="0"/>
    </xf>
    <xf numFmtId="165" fontId="9" fillId="2" borderId="4" xfId="0" applyNumberFormat="1" applyFont="1" applyFill="1" applyBorder="1" applyAlignment="1">
      <alignment horizontal="center" vertical="center"/>
    </xf>
    <xf numFmtId="166" fontId="9" fillId="2" borderId="4" xfId="0" applyNumberFormat="1" applyFont="1" applyFill="1" applyBorder="1" applyAlignment="1">
      <alignment horizontal="center" vertical="center"/>
    </xf>
    <xf numFmtId="166" fontId="12" fillId="10" borderId="4" xfId="0" applyNumberFormat="1" applyFont="1" applyFill="1" applyBorder="1" applyAlignment="1">
      <alignment horizontal="center" vertical="center"/>
    </xf>
    <xf numFmtId="165" fontId="12" fillId="2" borderId="4" xfId="0" applyNumberFormat="1" applyFont="1" applyFill="1" applyBorder="1" applyAlignment="1">
      <alignment horizontal="center" vertical="center" wrapText="1"/>
    </xf>
    <xf numFmtId="166" fontId="12" fillId="2" borderId="4" xfId="0" applyNumberFormat="1" applyFont="1" applyFill="1" applyBorder="1" applyAlignment="1">
      <alignment horizontal="center" vertical="center"/>
    </xf>
    <xf numFmtId="168" fontId="12" fillId="10" borderId="4" xfId="0" applyNumberFormat="1" applyFont="1" applyFill="1" applyBorder="1" applyAlignment="1">
      <alignment horizontal="center" vertical="center"/>
    </xf>
    <xf numFmtId="166" fontId="12" fillId="2" borderId="4" xfId="0" applyNumberFormat="1" applyFont="1" applyFill="1" applyBorder="1" applyAlignment="1">
      <alignment horizontal="center" vertical="center" wrapText="1"/>
    </xf>
    <xf numFmtId="2" fontId="12" fillId="2" borderId="4" xfId="0" applyNumberFormat="1" applyFont="1" applyFill="1" applyBorder="1" applyAlignment="1">
      <alignment horizontal="center" vertical="center"/>
    </xf>
    <xf numFmtId="2" fontId="12" fillId="10" borderId="4" xfId="0" applyNumberFormat="1" applyFont="1" applyFill="1" applyBorder="1" applyAlignment="1">
      <alignment horizontal="center" vertical="center"/>
    </xf>
    <xf numFmtId="166" fontId="9" fillId="10" borderId="4" xfId="0" applyNumberFormat="1" applyFont="1" applyFill="1" applyBorder="1" applyAlignment="1">
      <alignment horizontal="center" vertical="center"/>
    </xf>
    <xf numFmtId="1" fontId="9" fillId="10" borderId="4" xfId="0" applyNumberFormat="1" applyFont="1" applyFill="1" applyBorder="1" applyAlignment="1">
      <alignment horizontal="center" vertical="center"/>
    </xf>
    <xf numFmtId="2" fontId="9" fillId="10" borderId="4" xfId="0" applyNumberFormat="1" applyFont="1" applyFill="1" applyBorder="1" applyAlignment="1">
      <alignment horizontal="center" vertical="center"/>
    </xf>
    <xf numFmtId="0" fontId="9" fillId="0" borderId="6" xfId="0" applyFont="1" applyBorder="1" applyAlignment="1" applyProtection="1">
      <alignment horizontal="center" vertical="center"/>
      <protection locked="0"/>
    </xf>
    <xf numFmtId="165" fontId="9" fillId="2" borderId="7" xfId="0" applyNumberFormat="1" applyFont="1" applyFill="1" applyBorder="1" applyAlignment="1">
      <alignment horizontal="center" vertical="center"/>
    </xf>
    <xf numFmtId="166" fontId="9" fillId="0" borderId="5" xfId="0" applyNumberFormat="1" applyFont="1" applyBorder="1" applyAlignment="1" applyProtection="1">
      <alignment horizontal="center" vertical="center" wrapText="1"/>
      <protection locked="0"/>
    </xf>
    <xf numFmtId="2" fontId="9" fillId="2" borderId="5" xfId="0" applyNumberFormat="1" applyFont="1" applyFill="1" applyBorder="1" applyAlignment="1">
      <alignment horizontal="center" vertical="center"/>
    </xf>
    <xf numFmtId="0" fontId="29" fillId="0" borderId="13" xfId="0" applyFont="1" applyBorder="1" applyAlignment="1" applyProtection="1">
      <alignment horizontal="center" vertical="center"/>
      <protection locked="0"/>
    </xf>
    <xf numFmtId="0" fontId="29" fillId="0" borderId="16" xfId="0" applyFont="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9" fillId="0" borderId="4" xfId="0" applyFont="1" applyBorder="1" applyAlignment="1" applyProtection="1">
      <alignment vertical="center"/>
      <protection locked="0"/>
    </xf>
    <xf numFmtId="166" fontId="9" fillId="0" borderId="4" xfId="0" applyNumberFormat="1" applyFont="1" applyBorder="1" applyAlignment="1">
      <alignment horizontal="center" vertical="center"/>
    </xf>
    <xf numFmtId="1" fontId="9" fillId="0" borderId="4" xfId="0" applyNumberFormat="1" applyFont="1" applyBorder="1" applyAlignment="1">
      <alignment horizontal="center" vertical="center"/>
    </xf>
    <xf numFmtId="0" fontId="29" fillId="0" borderId="10" xfId="0" applyFont="1" applyBorder="1" applyAlignment="1" applyProtection="1">
      <alignment vertical="center"/>
      <protection locked="0"/>
    </xf>
    <xf numFmtId="166" fontId="9" fillId="0" borderId="0" xfId="0" applyNumberFormat="1" applyFont="1" applyAlignment="1" applyProtection="1">
      <alignment horizontal="center" vertical="center"/>
      <protection locked="0"/>
    </xf>
    <xf numFmtId="166" fontId="29" fillId="0" borderId="0" xfId="0" applyNumberFormat="1" applyFont="1" applyAlignment="1" applyProtection="1">
      <alignment horizontal="center" vertical="center"/>
      <protection locked="0"/>
    </xf>
    <xf numFmtId="2" fontId="9" fillId="0" borderId="0" xfId="0" applyNumberFormat="1" applyFont="1" applyAlignment="1" applyProtection="1">
      <alignment horizontal="center" vertical="center"/>
      <protection locked="0"/>
    </xf>
    <xf numFmtId="0" fontId="29" fillId="0" borderId="19" xfId="0" applyFont="1" applyBorder="1" applyAlignment="1" applyProtection="1">
      <alignment horizontal="center" vertical="center"/>
      <protection locked="0"/>
    </xf>
    <xf numFmtId="0" fontId="9" fillId="0" borderId="19" xfId="0" applyFont="1" applyBorder="1" applyAlignment="1" applyProtection="1">
      <alignment horizontal="center" vertical="center"/>
      <protection locked="0"/>
    </xf>
    <xf numFmtId="2" fontId="9" fillId="0" borderId="19" xfId="0" applyNumberFormat="1" applyFont="1" applyBorder="1" applyAlignment="1" applyProtection="1">
      <alignment horizontal="center" vertical="center"/>
      <protection locked="0"/>
    </xf>
    <xf numFmtId="0" fontId="10" fillId="0" borderId="8" xfId="0" applyFont="1" applyBorder="1" applyAlignment="1" applyProtection="1">
      <alignment horizontal="center" vertical="center" wrapText="1"/>
      <protection locked="0"/>
    </xf>
    <xf numFmtId="167" fontId="9" fillId="2" borderId="4" xfId="0" applyNumberFormat="1" applyFont="1" applyFill="1" applyBorder="1" applyAlignment="1">
      <alignment horizontal="center" vertical="center"/>
    </xf>
    <xf numFmtId="166" fontId="9" fillId="0" borderId="5" xfId="0" applyNumberFormat="1" applyFont="1" applyBorder="1" applyAlignment="1" applyProtection="1">
      <alignment horizontal="center" vertical="center"/>
      <protection locked="0"/>
    </xf>
    <xf numFmtId="167" fontId="9" fillId="2" borderId="5" xfId="0" applyNumberFormat="1" applyFont="1" applyFill="1" applyBorder="1" applyAlignment="1">
      <alignment horizontal="center" vertical="center"/>
    </xf>
    <xf numFmtId="166" fontId="29" fillId="0" borderId="4" xfId="0" applyNumberFormat="1" applyFont="1" applyBorder="1" applyAlignment="1" applyProtection="1">
      <alignment horizontal="center" vertical="center"/>
      <protection locked="0"/>
    </xf>
    <xf numFmtId="167" fontId="12" fillId="2" borderId="4" xfId="0" applyNumberFormat="1" applyFont="1" applyFill="1" applyBorder="1" applyAlignment="1">
      <alignment horizontal="center" vertical="center"/>
    </xf>
    <xf numFmtId="167" fontId="9" fillId="10" borderId="4" xfId="0" applyNumberFormat="1"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0" borderId="4"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165" fontId="4" fillId="2" borderId="6" xfId="0" applyNumberFormat="1" applyFont="1" applyFill="1" applyBorder="1" applyAlignment="1">
      <alignment horizontal="center" vertical="center"/>
    </xf>
    <xf numFmtId="165" fontId="4" fillId="0" borderId="7" xfId="0" applyNumberFormat="1" applyFont="1" applyBorder="1" applyAlignment="1" applyProtection="1">
      <alignment horizontal="center" vertical="center"/>
      <protection locked="0"/>
    </xf>
    <xf numFmtId="0" fontId="8" fillId="0" borderId="0" xfId="0" applyFont="1" applyAlignment="1" applyProtection="1">
      <alignment vertical="center"/>
      <protection locked="0"/>
    </xf>
    <xf numFmtId="2" fontId="8" fillId="2" borderId="4" xfId="0" applyNumberFormat="1" applyFont="1" applyFill="1" applyBorder="1" applyAlignment="1">
      <alignment horizontal="center" vertical="center" wrapText="1"/>
    </xf>
    <xf numFmtId="164" fontId="8" fillId="2" borderId="4" xfId="0" applyNumberFormat="1" applyFont="1" applyFill="1" applyBorder="1" applyAlignment="1">
      <alignment horizontal="center" vertical="center"/>
    </xf>
    <xf numFmtId="2" fontId="9" fillId="0" borderId="5" xfId="0" applyNumberFormat="1" applyFont="1" applyBorder="1" applyAlignment="1">
      <alignment horizontal="center" vertical="center"/>
    </xf>
    <xf numFmtId="170" fontId="4" fillId="10" borderId="5" xfId="0" applyNumberFormat="1" applyFont="1" applyFill="1" applyBorder="1" applyAlignment="1">
      <alignment horizontal="center" vertical="center"/>
    </xf>
    <xf numFmtId="167" fontId="4" fillId="10" borderId="4" xfId="0" applyNumberFormat="1" applyFont="1" applyFill="1" applyBorder="1" applyAlignment="1">
      <alignment horizontal="center" vertical="center"/>
    </xf>
    <xf numFmtId="1" fontId="4" fillId="10" borderId="4" xfId="0" applyNumberFormat="1" applyFont="1" applyFill="1" applyBorder="1" applyAlignment="1">
      <alignment horizontal="center" vertical="center"/>
    </xf>
    <xf numFmtId="2" fontId="4" fillId="10" borderId="4" xfId="0" applyNumberFormat="1" applyFont="1" applyFill="1" applyBorder="1" applyAlignment="1">
      <alignment horizontal="center" vertical="center"/>
    </xf>
    <xf numFmtId="2" fontId="8" fillId="10" borderId="4" xfId="0" applyNumberFormat="1" applyFont="1" applyFill="1" applyBorder="1" applyAlignment="1">
      <alignment horizontal="center" vertical="center"/>
    </xf>
    <xf numFmtId="170" fontId="4" fillId="10" borderId="5" xfId="0" applyNumberFormat="1" applyFont="1" applyFill="1" applyBorder="1" applyAlignment="1">
      <alignment vertical="center"/>
    </xf>
    <xf numFmtId="0" fontId="4" fillId="10" borderId="5" xfId="0" applyFont="1" applyFill="1" applyBorder="1" applyAlignment="1">
      <alignment horizontal="center" vertical="center" wrapText="1"/>
    </xf>
    <xf numFmtId="166" fontId="4" fillId="10" borderId="4" xfId="0" applyNumberFormat="1" applyFont="1" applyFill="1" applyBorder="1" applyAlignment="1">
      <alignment horizontal="center" vertical="center"/>
    </xf>
    <xf numFmtId="166" fontId="4" fillId="10" borderId="5" xfId="0" applyNumberFormat="1" applyFont="1" applyFill="1" applyBorder="1" applyAlignment="1">
      <alignment horizontal="center" vertical="center"/>
    </xf>
    <xf numFmtId="1" fontId="4" fillId="10" borderId="5" xfId="0" applyNumberFormat="1" applyFont="1" applyFill="1" applyBorder="1" applyAlignment="1">
      <alignment horizontal="center" vertical="center"/>
    </xf>
    <xf numFmtId="14" fontId="4" fillId="0" borderId="10" xfId="0" applyNumberFormat="1" applyFont="1" applyBorder="1" applyAlignment="1">
      <alignment vertical="center"/>
    </xf>
    <xf numFmtId="0" fontId="4" fillId="0" borderId="10" xfId="0" applyFont="1" applyBorder="1" applyAlignment="1">
      <alignment horizontal="center" vertical="center" wrapText="1"/>
    </xf>
    <xf numFmtId="14" fontId="4" fillId="0" borderId="8" xfId="0" applyNumberFormat="1" applyFont="1" applyBorder="1" applyAlignment="1">
      <alignment vertical="center"/>
    </xf>
    <xf numFmtId="0" fontId="4" fillId="0" borderId="8" xfId="0" applyFont="1" applyBorder="1" applyAlignment="1">
      <alignment horizontal="center" vertical="center"/>
    </xf>
    <xf numFmtId="171" fontId="4" fillId="0" borderId="4" xfId="0" applyNumberFormat="1" applyFont="1" applyBorder="1" applyAlignment="1">
      <alignment horizontal="center" vertical="center" wrapText="1"/>
    </xf>
    <xf numFmtId="164" fontId="4" fillId="0" borderId="9" xfId="0" applyNumberFormat="1" applyFont="1" applyBorder="1" applyAlignment="1">
      <alignment horizontal="center" vertical="center"/>
    </xf>
    <xf numFmtId="164" fontId="4" fillId="0" borderId="4" xfId="0" applyNumberFormat="1" applyFont="1" applyBorder="1" applyAlignment="1">
      <alignment horizontal="center" vertical="center"/>
    </xf>
    <xf numFmtId="164" fontId="4" fillId="0" borderId="8" xfId="0" applyNumberFormat="1" applyFont="1" applyBorder="1" applyAlignment="1">
      <alignment horizontal="center" vertical="center"/>
    </xf>
    <xf numFmtId="168" fontId="4" fillId="0" borderId="4" xfId="0" applyNumberFormat="1" applyFont="1" applyBorder="1" applyAlignment="1">
      <alignment horizontal="center" vertical="center"/>
    </xf>
    <xf numFmtId="167" fontId="4" fillId="0" borderId="6" xfId="0" applyNumberFormat="1" applyFont="1" applyBorder="1" applyAlignment="1">
      <alignment horizontal="center" vertical="center"/>
    </xf>
    <xf numFmtId="164" fontId="8" fillId="0" borderId="4" xfId="0" applyNumberFormat="1" applyFont="1" applyBorder="1" applyAlignment="1">
      <alignment horizontal="center" vertical="center"/>
    </xf>
    <xf numFmtId="166" fontId="4" fillId="0" borderId="12" xfId="0" applyNumberFormat="1" applyFont="1" applyBorder="1" applyAlignment="1">
      <alignment horizontal="center" vertical="center"/>
    </xf>
    <xf numFmtId="166" fontId="4" fillId="0" borderId="14" xfId="0" applyNumberFormat="1" applyFont="1" applyBorder="1" applyAlignment="1">
      <alignment horizontal="center" vertical="center"/>
    </xf>
    <xf numFmtId="14" fontId="4" fillId="10" borderId="10" xfId="0" applyNumberFormat="1" applyFont="1" applyFill="1" applyBorder="1" applyAlignment="1">
      <alignment vertical="center"/>
    </xf>
    <xf numFmtId="0" fontId="4" fillId="10" borderId="10" xfId="0" applyFont="1" applyFill="1" applyBorder="1" applyAlignment="1">
      <alignment horizontal="center" vertical="center" wrapText="1"/>
    </xf>
    <xf numFmtId="171" fontId="4" fillId="10" borderId="10" xfId="0" applyNumberFormat="1" applyFont="1" applyFill="1" applyBorder="1" applyAlignment="1">
      <alignment horizontal="center" vertical="center" wrapText="1"/>
    </xf>
    <xf numFmtId="165" fontId="4" fillId="10" borderId="9" xfId="0" applyNumberFormat="1" applyFont="1" applyFill="1" applyBorder="1" applyAlignment="1">
      <alignment horizontal="center" vertical="center"/>
    </xf>
    <xf numFmtId="165" fontId="4" fillId="10" borderId="8" xfId="0" applyNumberFormat="1" applyFont="1" applyFill="1" applyBorder="1" applyAlignment="1">
      <alignment horizontal="center" vertical="center"/>
    </xf>
    <xf numFmtId="165" fontId="4" fillId="10" borderId="4" xfId="0" applyNumberFormat="1" applyFont="1" applyFill="1" applyBorder="1" applyAlignment="1">
      <alignment horizontal="center" vertical="center"/>
    </xf>
    <xf numFmtId="168" fontId="4" fillId="10" borderId="10" xfId="0" applyNumberFormat="1" applyFont="1" applyFill="1" applyBorder="1" applyAlignment="1">
      <alignment horizontal="center" vertical="center"/>
    </xf>
    <xf numFmtId="166" fontId="4" fillId="10" borderId="12" xfId="0" applyNumberFormat="1" applyFont="1" applyFill="1" applyBorder="1" applyAlignment="1">
      <alignment horizontal="center" vertical="center"/>
    </xf>
    <xf numFmtId="0" fontId="4" fillId="10" borderId="8" xfId="0" applyFont="1" applyFill="1" applyBorder="1" applyAlignment="1">
      <alignment horizontal="center" vertical="center"/>
    </xf>
    <xf numFmtId="0" fontId="4" fillId="10" borderId="12" xfId="0" applyFont="1" applyFill="1" applyBorder="1" applyAlignment="1">
      <alignment horizontal="center" vertical="center"/>
    </xf>
    <xf numFmtId="0" fontId="4" fillId="0" borderId="12" xfId="0" applyFont="1" applyBorder="1" applyAlignment="1">
      <alignment vertical="center"/>
    </xf>
    <xf numFmtId="172" fontId="4" fillId="10" borderId="10" xfId="0" applyNumberFormat="1" applyFont="1" applyFill="1" applyBorder="1" applyAlignment="1">
      <alignment horizontal="center" vertical="center"/>
    </xf>
    <xf numFmtId="164" fontId="4" fillId="10" borderId="11" xfId="0" applyNumberFormat="1" applyFont="1" applyFill="1" applyBorder="1" applyAlignment="1">
      <alignment horizontal="center" vertical="center"/>
    </xf>
    <xf numFmtId="0" fontId="4" fillId="10" borderId="14" xfId="0" applyFont="1" applyFill="1" applyBorder="1" applyAlignment="1">
      <alignment horizontal="center" vertical="center"/>
    </xf>
    <xf numFmtId="0" fontId="10" fillId="0" borderId="4" xfId="0" applyFont="1" applyBorder="1" applyAlignment="1">
      <alignment horizontal="center" vertical="center" wrapText="1"/>
    </xf>
    <xf numFmtId="0" fontId="29" fillId="0" borderId="4" xfId="0" applyFont="1" applyBorder="1" applyAlignment="1" applyProtection="1">
      <alignment horizontal="center" vertical="center" wrapText="1"/>
      <protection locked="0"/>
    </xf>
    <xf numFmtId="2" fontId="9" fillId="5" borderId="4" xfId="0" applyNumberFormat="1" applyFont="1" applyFill="1" applyBorder="1" applyAlignment="1" applyProtection="1">
      <alignment horizontal="center" vertical="center" wrapText="1"/>
      <protection locked="0"/>
    </xf>
    <xf numFmtId="2" fontId="9" fillId="5" borderId="5" xfId="0" applyNumberFormat="1" applyFont="1" applyFill="1" applyBorder="1" applyAlignment="1" applyProtection="1">
      <alignment horizontal="center" vertical="center"/>
      <protection locked="0"/>
    </xf>
    <xf numFmtId="2" fontId="9" fillId="5" borderId="17" xfId="0" applyNumberFormat="1" applyFont="1" applyFill="1" applyBorder="1" applyAlignment="1" applyProtection="1">
      <alignment horizontal="center" vertical="center"/>
      <protection locked="0"/>
    </xf>
    <xf numFmtId="2" fontId="9" fillId="5" borderId="18" xfId="0" applyNumberFormat="1" applyFont="1" applyFill="1" applyBorder="1" applyAlignment="1" applyProtection="1">
      <alignment horizontal="center" vertical="center"/>
      <protection locked="0"/>
    </xf>
    <xf numFmtId="0" fontId="9" fillId="5" borderId="4" xfId="0" applyFont="1" applyFill="1" applyBorder="1" applyAlignment="1" applyProtection="1">
      <alignment horizontal="center" vertical="center"/>
      <protection locked="0"/>
    </xf>
    <xf numFmtId="2" fontId="9" fillId="5" borderId="4" xfId="0" applyNumberFormat="1" applyFont="1" applyFill="1" applyBorder="1" applyAlignment="1" applyProtection="1">
      <alignment horizontal="center" vertical="center"/>
      <protection locked="0"/>
    </xf>
    <xf numFmtId="167" fontId="9" fillId="5" borderId="4" xfId="0" applyNumberFormat="1" applyFont="1" applyFill="1" applyBorder="1" applyAlignment="1" applyProtection="1">
      <alignment horizontal="center" vertical="center"/>
      <protection locked="0"/>
    </xf>
    <xf numFmtId="166" fontId="9" fillId="5" borderId="4" xfId="0" applyNumberFormat="1" applyFont="1" applyFill="1" applyBorder="1" applyAlignment="1" applyProtection="1">
      <alignment horizontal="center" vertical="center"/>
      <protection locked="0"/>
    </xf>
    <xf numFmtId="2" fontId="8" fillId="5" borderId="5" xfId="0" applyNumberFormat="1" applyFont="1" applyFill="1" applyBorder="1" applyAlignment="1" applyProtection="1">
      <alignment horizontal="center" vertical="center"/>
      <protection locked="0"/>
    </xf>
    <xf numFmtId="165" fontId="8" fillId="5" borderId="5" xfId="0" applyNumberFormat="1" applyFont="1" applyFill="1" applyBorder="1" applyAlignment="1" applyProtection="1">
      <alignment horizontal="center" vertical="center"/>
      <protection locked="0"/>
    </xf>
    <xf numFmtId="167" fontId="8" fillId="5" borderId="4" xfId="0" applyNumberFormat="1" applyFont="1" applyFill="1" applyBorder="1" applyAlignment="1" applyProtection="1">
      <alignment horizontal="center" vertical="center"/>
      <protection locked="0"/>
    </xf>
    <xf numFmtId="1" fontId="28" fillId="5" borderId="4" xfId="0" applyNumberFormat="1" applyFont="1" applyFill="1" applyBorder="1" applyAlignment="1" applyProtection="1">
      <alignment horizontal="center" vertical="center"/>
      <protection locked="0"/>
    </xf>
    <xf numFmtId="167" fontId="28" fillId="5" borderId="4" xfId="0" applyNumberFormat="1" applyFont="1" applyFill="1" applyBorder="1" applyAlignment="1" applyProtection="1">
      <alignment horizontal="center" vertical="center"/>
      <protection locked="0"/>
    </xf>
    <xf numFmtId="2" fontId="8" fillId="11" borderId="4" xfId="0" applyNumberFormat="1" applyFont="1" applyFill="1" applyBorder="1" applyAlignment="1" applyProtection="1">
      <alignment horizontal="center" vertical="center"/>
      <protection locked="0"/>
    </xf>
    <xf numFmtId="2" fontId="8" fillId="5" borderId="4" xfId="0" applyNumberFormat="1" applyFont="1" applyFill="1" applyBorder="1" applyAlignment="1" applyProtection="1">
      <alignment horizontal="center" vertical="center"/>
      <protection locked="0"/>
    </xf>
    <xf numFmtId="165" fontId="4" fillId="5" borderId="8" xfId="0" applyNumberFormat="1" applyFont="1" applyFill="1" applyBorder="1" applyAlignment="1" applyProtection="1">
      <alignment horizontal="center" vertical="center"/>
      <protection locked="0"/>
    </xf>
    <xf numFmtId="165" fontId="4" fillId="5" borderId="4" xfId="0" applyNumberFormat="1" applyFont="1" applyFill="1" applyBorder="1" applyAlignment="1" applyProtection="1">
      <alignment horizontal="center" vertical="center"/>
      <protection locked="0"/>
    </xf>
    <xf numFmtId="165" fontId="4" fillId="5" borderId="6" xfId="0" applyNumberFormat="1" applyFont="1" applyFill="1" applyBorder="1" applyAlignment="1" applyProtection="1">
      <alignment horizontal="center" vertical="center"/>
      <protection locked="0"/>
    </xf>
    <xf numFmtId="165" fontId="4" fillId="5" borderId="5" xfId="0" applyNumberFormat="1" applyFont="1" applyFill="1" applyBorder="1" applyAlignment="1" applyProtection="1">
      <alignment horizontal="center" vertical="center"/>
      <protection locked="0"/>
    </xf>
    <xf numFmtId="165" fontId="4" fillId="5" borderId="13" xfId="0" applyNumberFormat="1" applyFont="1" applyFill="1" applyBorder="1" applyAlignment="1" applyProtection="1">
      <alignment horizontal="center" vertical="center"/>
      <protection locked="0"/>
    </xf>
    <xf numFmtId="165" fontId="4" fillId="5" borderId="9" xfId="0" applyNumberFormat="1" applyFont="1" applyFill="1" applyBorder="1" applyAlignment="1" applyProtection="1">
      <alignment horizontal="center" vertical="center"/>
      <protection locked="0"/>
    </xf>
    <xf numFmtId="165" fontId="4" fillId="5" borderId="7" xfId="0" applyNumberFormat="1" applyFont="1" applyFill="1" applyBorder="1" applyAlignment="1" applyProtection="1">
      <alignment horizontal="center" vertical="center"/>
      <protection locked="0"/>
    </xf>
    <xf numFmtId="165" fontId="4" fillId="5" borderId="16" xfId="0" applyNumberFormat="1" applyFont="1" applyFill="1" applyBorder="1" applyAlignment="1" applyProtection="1">
      <alignment horizontal="center" vertical="center"/>
      <protection locked="0"/>
    </xf>
    <xf numFmtId="165" fontId="4" fillId="5" borderId="14" xfId="0" applyNumberFormat="1" applyFont="1" applyFill="1" applyBorder="1" applyAlignment="1" applyProtection="1">
      <alignment horizontal="center" vertical="center"/>
      <protection locked="0"/>
    </xf>
    <xf numFmtId="165" fontId="4" fillId="0" borderId="6" xfId="0" applyNumberFormat="1" applyFont="1" applyBorder="1" applyAlignment="1">
      <alignment horizontal="center" vertical="center"/>
    </xf>
    <xf numFmtId="0" fontId="13" fillId="0" borderId="5" xfId="0" applyFont="1" applyBorder="1" applyAlignment="1" applyProtection="1">
      <alignment horizontal="center" vertical="center" wrapText="1"/>
      <protection locked="0"/>
    </xf>
    <xf numFmtId="166" fontId="12" fillId="5" borderId="4" xfId="0" applyNumberFormat="1" applyFont="1" applyFill="1" applyBorder="1" applyAlignment="1" applyProtection="1">
      <alignment horizontal="center" vertical="center" wrapText="1"/>
      <protection locked="0"/>
    </xf>
    <xf numFmtId="0" fontId="8" fillId="5" borderId="4" xfId="0" applyFont="1" applyFill="1" applyBorder="1" applyAlignment="1" applyProtection="1">
      <alignment horizontal="center" vertical="center"/>
      <protection locked="0"/>
    </xf>
    <xf numFmtId="166" fontId="30" fillId="10" borderId="4" xfId="0" applyNumberFormat="1" applyFont="1" applyFill="1" applyBorder="1" applyAlignment="1">
      <alignment horizontal="center" vertical="center"/>
    </xf>
    <xf numFmtId="168" fontId="30" fillId="10" borderId="4" xfId="0" applyNumberFormat="1" applyFont="1" applyFill="1" applyBorder="1" applyAlignment="1">
      <alignment horizontal="center" vertical="center"/>
    </xf>
    <xf numFmtId="2" fontId="30" fillId="10" borderId="4" xfId="0" applyNumberFormat="1" applyFont="1" applyFill="1" applyBorder="1" applyAlignment="1">
      <alignment horizontal="center" vertical="center"/>
    </xf>
    <xf numFmtId="167" fontId="31" fillId="5" borderId="4" xfId="0" applyNumberFormat="1" applyFont="1" applyFill="1" applyBorder="1" applyAlignment="1" applyProtection="1">
      <alignment horizontal="center" vertical="center"/>
      <protection locked="0"/>
    </xf>
    <xf numFmtId="0" fontId="31" fillId="5" borderId="4" xfId="0" applyFont="1" applyFill="1" applyBorder="1" applyAlignment="1" applyProtection="1">
      <alignment horizontal="center" vertical="center"/>
      <protection locked="0"/>
    </xf>
    <xf numFmtId="0" fontId="16" fillId="10" borderId="4" xfId="0" applyFont="1" applyFill="1" applyBorder="1" applyAlignment="1">
      <alignment horizontal="center" vertical="center"/>
    </xf>
    <xf numFmtId="2" fontId="16" fillId="10" borderId="4" xfId="0" applyNumberFormat="1" applyFont="1" applyFill="1" applyBorder="1" applyAlignment="1">
      <alignment horizontal="center" vertical="center"/>
    </xf>
    <xf numFmtId="0" fontId="12" fillId="0" borderId="5"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10" fillId="6" borderId="0" xfId="0" applyFont="1" applyFill="1" applyAlignment="1" applyProtection="1">
      <alignment horizontal="center" vertical="center" wrapText="1"/>
      <protection locked="0"/>
    </xf>
    <xf numFmtId="0" fontId="10" fillId="10" borderId="5" xfId="0" applyFont="1" applyFill="1" applyBorder="1" applyAlignment="1">
      <alignment horizontal="center" vertical="top" wrapText="1"/>
    </xf>
    <xf numFmtId="0" fontId="10" fillId="10" borderId="10" xfId="0" applyFont="1" applyFill="1" applyBorder="1" applyAlignment="1">
      <alignment horizontal="center" vertical="top" wrapText="1"/>
    </xf>
    <xf numFmtId="0" fontId="10" fillId="10" borderId="8" xfId="0" applyFont="1" applyFill="1" applyBorder="1" applyAlignment="1">
      <alignment horizontal="center" vertical="top" wrapText="1"/>
    </xf>
    <xf numFmtId="49" fontId="10" fillId="0" borderId="5" xfId="0" applyNumberFormat="1" applyFont="1" applyBorder="1" applyAlignment="1" applyProtection="1">
      <alignment horizontal="center" vertical="top" wrapText="1"/>
      <protection locked="0"/>
    </xf>
    <xf numFmtId="49" fontId="10" fillId="0" borderId="8" xfId="0" applyNumberFormat="1" applyFont="1" applyBorder="1" applyAlignment="1" applyProtection="1">
      <alignment horizontal="center" vertical="top" wrapText="1"/>
      <protection locked="0"/>
    </xf>
    <xf numFmtId="0" fontId="12" fillId="0" borderId="0" xfId="0" applyFont="1" applyAlignment="1" applyProtection="1">
      <alignment horizontal="center" vertical="center"/>
      <protection locked="0"/>
    </xf>
    <xf numFmtId="14" fontId="29" fillId="0" borderId="5" xfId="0" applyNumberFormat="1" applyFont="1" applyBorder="1" applyAlignment="1" applyProtection="1">
      <alignment horizontal="center" vertical="top"/>
      <protection locked="0"/>
    </xf>
    <xf numFmtId="0" fontId="29" fillId="0" borderId="10" xfId="0" applyFont="1" applyBorder="1" applyAlignment="1" applyProtection="1">
      <alignment horizontal="center" vertical="top"/>
      <protection locked="0"/>
    </xf>
    <xf numFmtId="0" fontId="29" fillId="0" borderId="8" xfId="0" applyFont="1" applyBorder="1" applyAlignment="1" applyProtection="1">
      <alignment horizontal="center" vertical="top"/>
      <protection locked="0"/>
    </xf>
    <xf numFmtId="0" fontId="29" fillId="0" borderId="5" xfId="0" applyFont="1" applyBorder="1" applyAlignment="1" applyProtection="1">
      <alignment horizontal="center" vertical="top"/>
      <protection locked="0"/>
    </xf>
    <xf numFmtId="0" fontId="29" fillId="0" borderId="5" xfId="0" applyFont="1" applyBorder="1" applyAlignment="1" applyProtection="1">
      <alignment horizontal="center" vertical="top" wrapText="1"/>
      <protection locked="0"/>
    </xf>
    <xf numFmtId="0" fontId="29" fillId="0" borderId="10" xfId="0" applyFont="1" applyBorder="1" applyAlignment="1" applyProtection="1">
      <alignment horizontal="center" vertical="top" wrapText="1"/>
      <protection locked="0"/>
    </xf>
    <xf numFmtId="0" fontId="29" fillId="0" borderId="8" xfId="0" applyFont="1" applyBorder="1" applyAlignment="1" applyProtection="1">
      <alignment horizontal="center" vertical="top" wrapText="1"/>
      <protection locked="0"/>
    </xf>
    <xf numFmtId="0" fontId="17" fillId="0" borderId="11"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29" fillId="0" borderId="5" xfId="0" applyFont="1" applyBorder="1" applyAlignment="1" applyProtection="1">
      <alignment horizontal="center" vertical="center"/>
      <protection locked="0"/>
    </xf>
    <xf numFmtId="0" fontId="29" fillId="0" borderId="10" xfId="0" applyFont="1" applyBorder="1" applyAlignment="1" applyProtection="1">
      <alignment horizontal="center" vertical="center"/>
      <protection locked="0"/>
    </xf>
    <xf numFmtId="0" fontId="29" fillId="0" borderId="8"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10" fillId="0" borderId="13" xfId="0" applyFont="1" applyBorder="1" applyAlignment="1" applyProtection="1">
      <alignment horizontal="center" vertical="top" wrapText="1"/>
      <protection locked="0"/>
    </xf>
    <xf numFmtId="0" fontId="10" fillId="0" borderId="11" xfId="0" applyFont="1" applyBorder="1" applyAlignment="1" applyProtection="1">
      <alignment horizontal="center" vertical="top" wrapText="1"/>
      <protection locked="0"/>
    </xf>
    <xf numFmtId="0" fontId="10" fillId="0" borderId="9" xfId="0" applyFont="1" applyBorder="1" applyAlignment="1" applyProtection="1">
      <alignment horizontal="center" vertical="top" wrapText="1"/>
      <protection locked="0"/>
    </xf>
    <xf numFmtId="0" fontId="10" fillId="0" borderId="5" xfId="0" applyFont="1" applyBorder="1" applyAlignment="1" applyProtection="1">
      <alignment horizontal="center" vertical="top" wrapText="1"/>
      <protection locked="0"/>
    </xf>
    <xf numFmtId="0" fontId="10" fillId="0" borderId="10" xfId="0" applyFont="1" applyBorder="1" applyAlignment="1" applyProtection="1">
      <alignment horizontal="center" vertical="top" wrapText="1"/>
      <protection locked="0"/>
    </xf>
    <xf numFmtId="0" fontId="10" fillId="0" borderId="8" xfId="0" applyFont="1" applyBorder="1" applyAlignment="1" applyProtection="1">
      <alignment horizontal="center" vertical="top" wrapText="1"/>
      <protection locked="0"/>
    </xf>
    <xf numFmtId="0" fontId="4" fillId="0" borderId="4"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10"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25" fillId="0" borderId="0" xfId="0" applyFont="1" applyAlignment="1" applyProtection="1">
      <alignment horizontal="center" vertical="center"/>
      <protection locked="0"/>
    </xf>
    <xf numFmtId="169" fontId="4" fillId="10" borderId="10" xfId="0" applyNumberFormat="1" applyFont="1" applyFill="1" applyBorder="1" applyAlignment="1">
      <alignment horizontal="center" vertical="top" wrapText="1"/>
    </xf>
    <xf numFmtId="169" fontId="4" fillId="10" borderId="8" xfId="0" applyNumberFormat="1" applyFont="1" applyFill="1" applyBorder="1" applyAlignment="1">
      <alignment horizontal="center" vertical="top" wrapText="1"/>
    </xf>
    <xf numFmtId="0" fontId="4" fillId="10" borderId="5" xfId="0" applyFont="1" applyFill="1" applyBorder="1" applyAlignment="1">
      <alignment horizontal="center" vertical="top" wrapText="1"/>
    </xf>
    <xf numFmtId="0" fontId="4" fillId="10" borderId="10" xfId="0" applyFont="1" applyFill="1" applyBorder="1" applyAlignment="1">
      <alignment horizontal="center" vertical="top" wrapText="1"/>
    </xf>
    <xf numFmtId="0" fontId="4" fillId="10" borderId="8" xfId="0" applyFont="1" applyFill="1" applyBorder="1" applyAlignment="1">
      <alignment horizontal="center" vertical="top" wrapText="1"/>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shrinkToFit="1"/>
      <protection locked="0"/>
    </xf>
    <xf numFmtId="0" fontId="8" fillId="0" borderId="8" xfId="0" applyFont="1" applyBorder="1" applyAlignment="1" applyProtection="1">
      <alignment horizontal="center" vertical="center" wrapText="1" shrinkToFit="1"/>
      <protection locked="0"/>
    </xf>
    <xf numFmtId="0" fontId="8" fillId="9" borderId="5" xfId="0" applyFont="1" applyFill="1" applyBorder="1" applyAlignment="1" applyProtection="1">
      <alignment horizontal="center" vertical="center" wrapText="1"/>
      <protection locked="0"/>
    </xf>
    <xf numFmtId="0" fontId="8" fillId="9" borderId="8" xfId="0" applyFont="1" applyFill="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25" fillId="0" borderId="8" xfId="0" applyFont="1" applyBorder="1" applyAlignment="1" applyProtection="1">
      <alignment horizontal="center" vertical="center" wrapText="1"/>
      <protection locked="0"/>
    </xf>
    <xf numFmtId="0" fontId="8" fillId="9" borderId="4" xfId="0" applyFont="1" applyFill="1" applyBorder="1" applyAlignment="1" applyProtection="1">
      <alignment horizontal="center" vertical="center" wrapText="1"/>
      <protection locked="0"/>
    </xf>
    <xf numFmtId="0" fontId="8" fillId="9" borderId="4" xfId="0" applyFont="1" applyFill="1" applyBorder="1" applyAlignment="1" applyProtection="1">
      <alignment horizontal="center" vertical="center"/>
      <protection locked="0"/>
    </xf>
    <xf numFmtId="0" fontId="12" fillId="0" borderId="0" xfId="0" applyFont="1" applyAlignment="1" applyProtection="1">
      <alignment horizontal="center" vertical="center" wrapText="1"/>
      <protection locked="0"/>
    </xf>
  </cellXfs>
  <cellStyles count="4">
    <cellStyle name="Įprastas" xfId="0" builtinId="0"/>
    <cellStyle name="Įprastas 2" xfId="1" xr:uid="{B3CEE587-CD0A-486A-A8B7-19073BBFBDDF}"/>
    <cellStyle name="Procentai 2" xfId="2" xr:uid="{B97C0199-08F7-4955-9EE8-7033B80147B3}"/>
    <cellStyle name="Procentai 2 2" xfId="3" xr:uid="{D5ECD849-1A8E-4458-AB2F-7A877B23E1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58BE-2006-42BB-8F0B-A2F613982E7B}">
  <sheetPr codeName="Lapas1"/>
  <dimension ref="B1:E10"/>
  <sheetViews>
    <sheetView workbookViewId="0"/>
  </sheetViews>
  <sheetFormatPr defaultRowHeight="12.5" x14ac:dyDescent="0.25"/>
  <cols>
    <col min="1" max="1" width="1.1796875" customWidth="1"/>
    <col min="2" max="2" width="64.453125" customWidth="1"/>
    <col min="3" max="3" width="1.54296875" customWidth="1"/>
    <col min="4" max="4" width="5.54296875" customWidth="1"/>
    <col min="5" max="5" width="16" customWidth="1"/>
  </cols>
  <sheetData>
    <row r="1" spans="2:5" ht="13" x14ac:dyDescent="0.25">
      <c r="B1" s="1" t="s">
        <v>0</v>
      </c>
      <c r="C1" s="1"/>
      <c r="D1" s="5"/>
      <c r="E1" s="5"/>
    </row>
    <row r="2" spans="2:5" ht="13" x14ac:dyDescent="0.25">
      <c r="B2" s="1" t="s">
        <v>1</v>
      </c>
      <c r="C2" s="1"/>
      <c r="D2" s="5"/>
      <c r="E2" s="5"/>
    </row>
    <row r="3" spans="2:5" x14ac:dyDescent="0.25">
      <c r="B3" s="2"/>
      <c r="C3" s="2"/>
      <c r="D3" s="6"/>
      <c r="E3" s="6"/>
    </row>
    <row r="4" spans="2:5" ht="37.5" x14ac:dyDescent="0.25">
      <c r="B4" s="2" t="s">
        <v>2</v>
      </c>
      <c r="C4" s="2"/>
      <c r="D4" s="6"/>
      <c r="E4" s="6"/>
    </row>
    <row r="5" spans="2:5" x14ac:dyDescent="0.25">
      <c r="B5" s="2"/>
      <c r="C5" s="2"/>
      <c r="D5" s="6"/>
      <c r="E5" s="6"/>
    </row>
    <row r="6" spans="2:5" ht="13" x14ac:dyDescent="0.25">
      <c r="B6" s="1" t="s">
        <v>3</v>
      </c>
      <c r="C6" s="1"/>
      <c r="D6" s="5"/>
      <c r="E6" s="5" t="s">
        <v>4</v>
      </c>
    </row>
    <row r="7" spans="2:5" ht="13" thickBot="1" x14ac:dyDescent="0.3">
      <c r="B7" s="2"/>
      <c r="C7" s="2"/>
      <c r="D7" s="6"/>
      <c r="E7" s="6"/>
    </row>
    <row r="8" spans="2:5" ht="38" thickBot="1" x14ac:dyDescent="0.3">
      <c r="B8" s="3" t="s">
        <v>5</v>
      </c>
      <c r="C8" s="4"/>
      <c r="D8" s="7"/>
      <c r="E8" s="8">
        <v>1</v>
      </c>
    </row>
    <row r="9" spans="2:5" x14ac:dyDescent="0.25">
      <c r="B9" s="2"/>
      <c r="C9" s="2"/>
      <c r="D9" s="6"/>
      <c r="E9" s="6"/>
    </row>
    <row r="10" spans="2:5" x14ac:dyDescent="0.25">
      <c r="B10" s="2"/>
      <c r="C10" s="2"/>
      <c r="D10" s="6"/>
      <c r="E10" s="6"/>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26E6-BBF5-41D6-8166-61F4D244A1B4}">
  <dimension ref="A3:AB47"/>
  <sheetViews>
    <sheetView topLeftCell="A3" zoomScale="50" zoomScaleNormal="50" workbookViewId="0">
      <selection activeCell="S19" sqref="S19"/>
    </sheetView>
  </sheetViews>
  <sheetFormatPr defaultColWidth="9.1796875" defaultRowHeight="15.5" x14ac:dyDescent="0.25"/>
  <cols>
    <col min="1" max="1" width="11.26953125" style="123" customWidth="1"/>
    <col min="2" max="2" width="12" style="123" customWidth="1"/>
    <col min="3" max="3" width="17" style="123" customWidth="1"/>
    <col min="4" max="4" width="9.1796875" style="123"/>
    <col min="5" max="6" width="10.26953125" style="123" customWidth="1"/>
    <col min="7" max="7" width="10.54296875" style="123" customWidth="1"/>
    <col min="8" max="8" width="9.1796875" style="123"/>
    <col min="9" max="9" width="9.26953125" style="123" customWidth="1"/>
    <col min="10" max="10" width="9.1796875" style="123"/>
    <col min="11" max="11" width="9.54296875" style="123" bestFit="1" customWidth="1"/>
    <col min="12" max="12" width="9.26953125" style="123" bestFit="1" customWidth="1"/>
    <col min="13" max="13" width="11.1796875" style="123" customWidth="1"/>
    <col min="14" max="14" width="11.453125" style="123" customWidth="1"/>
    <col min="15" max="15" width="9.1796875" style="123"/>
    <col min="16" max="16" width="10.54296875" style="123" customWidth="1"/>
    <col min="17" max="17" width="9.54296875" style="123" bestFit="1" customWidth="1"/>
    <col min="18" max="18" width="9.1796875" style="123"/>
    <col min="19" max="19" width="11.26953125" style="123" customWidth="1"/>
    <col min="20" max="20" width="11.7265625" style="123" customWidth="1"/>
    <col min="21" max="21" width="10" style="123" customWidth="1"/>
    <col min="22" max="22" width="11.7265625" style="123" customWidth="1"/>
    <col min="23" max="23" width="11.453125" style="123" customWidth="1"/>
    <col min="24" max="24" width="10.26953125" style="123" customWidth="1"/>
    <col min="25" max="25" width="9.54296875" style="123" customWidth="1"/>
    <col min="26" max="26" width="9.81640625" style="123" customWidth="1"/>
    <col min="27" max="27" width="9.7265625" style="123" customWidth="1"/>
    <col min="28" max="16384" width="9.1796875" style="123"/>
  </cols>
  <sheetData>
    <row r="3" spans="1:28" x14ac:dyDescent="0.25">
      <c r="D3" s="262" t="s">
        <v>102</v>
      </c>
      <c r="E3" s="262"/>
      <c r="F3" s="262"/>
      <c r="G3" s="262"/>
      <c r="H3" s="262"/>
      <c r="I3" s="262"/>
      <c r="J3" s="262"/>
      <c r="K3" s="262"/>
      <c r="L3" s="262"/>
      <c r="M3" s="262"/>
      <c r="N3" s="262"/>
      <c r="O3" s="262"/>
      <c r="P3" s="262"/>
      <c r="Q3" s="262"/>
      <c r="R3" s="262"/>
      <c r="S3" s="262"/>
      <c r="T3" s="262"/>
      <c r="U3" s="262"/>
      <c r="V3" s="262"/>
      <c r="W3" s="262"/>
      <c r="X3" s="262"/>
      <c r="Y3" s="262"/>
      <c r="Z3" s="262"/>
    </row>
    <row r="5" spans="1:28" s="10" customFormat="1" ht="126" x14ac:dyDescent="0.25">
      <c r="A5" s="9" t="s">
        <v>8</v>
      </c>
      <c r="B5" s="9" t="s">
        <v>77</v>
      </c>
      <c r="C5" s="9" t="s">
        <v>9</v>
      </c>
      <c r="D5" s="43" t="s">
        <v>103</v>
      </c>
      <c r="E5" s="43" t="s">
        <v>132</v>
      </c>
      <c r="F5" s="43" t="s">
        <v>133</v>
      </c>
      <c r="G5" s="9" t="s">
        <v>104</v>
      </c>
      <c r="H5" s="9" t="s">
        <v>105</v>
      </c>
      <c r="I5" s="9" t="s">
        <v>106</v>
      </c>
      <c r="J5" s="9" t="s">
        <v>107</v>
      </c>
      <c r="K5" s="9" t="s">
        <v>108</v>
      </c>
      <c r="L5" s="9" t="s">
        <v>109</v>
      </c>
      <c r="M5" s="9" t="s">
        <v>110</v>
      </c>
      <c r="N5" s="9" t="s">
        <v>111</v>
      </c>
      <c r="O5" s="9" t="s">
        <v>112</v>
      </c>
      <c r="P5" s="9" t="s">
        <v>113</v>
      </c>
      <c r="Q5" s="9" t="s">
        <v>114</v>
      </c>
      <c r="R5" s="9" t="s">
        <v>115</v>
      </c>
      <c r="S5" s="9" t="s">
        <v>116</v>
      </c>
      <c r="T5" s="9" t="s">
        <v>24</v>
      </c>
      <c r="U5" s="217" t="s">
        <v>117</v>
      </c>
      <c r="V5" s="217" t="s">
        <v>118</v>
      </c>
      <c r="W5" s="9" t="s">
        <v>25</v>
      </c>
      <c r="X5" s="9" t="s">
        <v>134</v>
      </c>
      <c r="Y5" s="9" t="s">
        <v>119</v>
      </c>
      <c r="Z5" s="9" t="s">
        <v>120</v>
      </c>
      <c r="AA5" s="218" t="s">
        <v>121</v>
      </c>
      <c r="AB5" s="125" t="s">
        <v>122</v>
      </c>
    </row>
    <row r="6" spans="1:28" ht="16" thickBot="1" x14ac:dyDescent="0.3">
      <c r="A6" s="263" t="s">
        <v>138</v>
      </c>
      <c r="B6" s="266" t="s">
        <v>139</v>
      </c>
      <c r="C6" s="267" t="s">
        <v>140</v>
      </c>
      <c r="D6" s="127">
        <v>6</v>
      </c>
      <c r="E6" s="219">
        <v>0.14000000000000001</v>
      </c>
      <c r="F6" s="129"/>
      <c r="G6" s="226">
        <v>0.83599999999999997</v>
      </c>
      <c r="H6" s="170">
        <f>Paėmimas!V9</f>
        <v>40</v>
      </c>
      <c r="I6" s="223">
        <v>1000</v>
      </c>
      <c r="J6" s="224">
        <v>1</v>
      </c>
      <c r="K6" s="165">
        <f>SUM(I6:J6)</f>
        <v>1001</v>
      </c>
      <c r="L6" s="132">
        <f>AA6*22.4</f>
        <v>29.060863999999995</v>
      </c>
      <c r="M6" s="58">
        <f>G6*129*(SQRT(E6*(273+H6)/(I6+J6)/L6))</f>
        <v>4.1856303808885977</v>
      </c>
      <c r="N6" s="69"/>
      <c r="O6" s="58">
        <f>AVERAGE(M6:M22)</f>
        <v>4.1856303808885977</v>
      </c>
      <c r="P6" s="220">
        <v>4</v>
      </c>
      <c r="Q6" s="134">
        <f>+(3.14*P6*P6/4)</f>
        <v>12.56</v>
      </c>
      <c r="R6" s="135">
        <f>O6*Q6</f>
        <v>52.571517583960791</v>
      </c>
      <c r="S6" s="135">
        <f>+(I6+J6)/(273+H6)*0.269*R6</f>
        <v>45.226453572893099</v>
      </c>
      <c r="T6" s="136">
        <f>H2O!I7</f>
        <v>5.0000000000000001E-3</v>
      </c>
      <c r="U6" s="137">
        <f>T6/(1.29*W6)</f>
        <v>4.2265197828811746E-2</v>
      </c>
      <c r="V6" s="138">
        <f>S6*1/(1+(U6*1.29/0.8038))</f>
        <v>42.353590990710913</v>
      </c>
      <c r="W6" s="139">
        <f>H2O!H7</f>
        <v>9.1705923344947746E-2</v>
      </c>
      <c r="X6" s="245">
        <v>8.3000000000000004E-2</v>
      </c>
      <c r="Y6" s="140">
        <f>V6*X6</f>
        <v>3.5153480522290059</v>
      </c>
      <c r="Z6" s="141">
        <f>O6*X6</f>
        <v>0.34740732161375365</v>
      </c>
      <c r="AA6" s="142">
        <f>Aerodinamika!G23</f>
        <v>1.2973599999999998</v>
      </c>
      <c r="AB6" s="260" t="s">
        <v>137</v>
      </c>
    </row>
    <row r="7" spans="1:28" x14ac:dyDescent="0.25">
      <c r="A7" s="264"/>
      <c r="B7" s="264"/>
      <c r="C7" s="268"/>
      <c r="D7" s="127">
        <v>19</v>
      </c>
      <c r="E7" s="219">
        <v>0.14000000000000001</v>
      </c>
      <c r="F7" s="129"/>
      <c r="G7" s="143">
        <f>(G6)</f>
        <v>0.83599999999999997</v>
      </c>
      <c r="H7" s="170">
        <f t="shared" ref="H7:J7" si="0">(H6)</f>
        <v>40</v>
      </c>
      <c r="I7" s="144">
        <f t="shared" si="0"/>
        <v>1000</v>
      </c>
      <c r="J7" s="145">
        <f t="shared" si="0"/>
        <v>1</v>
      </c>
      <c r="K7" s="165">
        <f t="shared" ref="K7:K14" si="1">SUM(I7:J7)</f>
        <v>1001</v>
      </c>
      <c r="L7" s="132">
        <f>AA6*22.4</f>
        <v>29.060863999999995</v>
      </c>
      <c r="M7" s="58">
        <f t="shared" ref="M7:M22" si="2">G7*129*(SQRT(E7*(273+H7)/(I7+J7)/L7))</f>
        <v>4.1856303808885977</v>
      </c>
      <c r="N7" s="69"/>
      <c r="O7" s="146"/>
      <c r="P7" s="221">
        <v>0.5</v>
      </c>
      <c r="Q7" s="147">
        <f>+(P8*P7)</f>
        <v>0.375</v>
      </c>
      <c r="R7" s="135">
        <f>O6*Q7</f>
        <v>1.5696113928332243</v>
      </c>
      <c r="S7" s="135">
        <f>+(I6+J6)/(273+H6)*0.269*R7</f>
        <v>1.350312109063289</v>
      </c>
      <c r="T7" s="136">
        <f>H2O!I7</f>
        <v>5.0000000000000001E-3</v>
      </c>
      <c r="U7" s="137">
        <f>T7/(1.29*W7)</f>
        <v>4.2265197828811746E-2</v>
      </c>
      <c r="V7" s="138">
        <f>S7*(1/(1+(U7*1.29/0.8038)))</f>
        <v>1.264537947572977</v>
      </c>
      <c r="W7" s="139">
        <f>H2O!H7</f>
        <v>9.1705923344947746E-2</v>
      </c>
      <c r="X7" s="245">
        <v>8.3000000000000004E-2</v>
      </c>
      <c r="Y7" s="140">
        <f>V7*X7</f>
        <v>0.1049566496485571</v>
      </c>
      <c r="Z7" s="141">
        <f>O6*X7</f>
        <v>0.34740732161375365</v>
      </c>
      <c r="AB7" s="261"/>
    </row>
    <row r="8" spans="1:28" x14ac:dyDescent="0.25">
      <c r="A8" s="264"/>
      <c r="B8" s="264"/>
      <c r="C8" s="268"/>
      <c r="D8" s="254">
        <v>33</v>
      </c>
      <c r="E8" s="219">
        <v>0.14000000000000001</v>
      </c>
      <c r="F8" s="148"/>
      <c r="G8" s="143">
        <f>(G6)</f>
        <v>0.83599999999999997</v>
      </c>
      <c r="H8" s="170">
        <f t="shared" ref="H8:J8" si="3">(H6)</f>
        <v>40</v>
      </c>
      <c r="I8" s="144">
        <f t="shared" si="3"/>
        <v>1000</v>
      </c>
      <c r="J8" s="145">
        <f t="shared" si="3"/>
        <v>1</v>
      </c>
      <c r="K8" s="167">
        <f t="shared" si="1"/>
        <v>1001</v>
      </c>
      <c r="L8" s="132">
        <f>AA6*22.4</f>
        <v>29.060863999999995</v>
      </c>
      <c r="M8" s="149">
        <f t="shared" si="2"/>
        <v>4.1856303808885977</v>
      </c>
      <c r="N8" s="179"/>
      <c r="O8" s="150"/>
      <c r="P8" s="222">
        <v>0.75</v>
      </c>
      <c r="Q8" s="151"/>
      <c r="R8" s="126"/>
      <c r="S8" s="126"/>
    </row>
    <row r="9" spans="1:28" x14ac:dyDescent="0.25">
      <c r="A9" s="264"/>
      <c r="B9" s="264"/>
      <c r="C9" s="268"/>
      <c r="D9" s="127">
        <v>48</v>
      </c>
      <c r="E9" s="219">
        <v>0.14000000000000001</v>
      </c>
      <c r="F9" s="129"/>
      <c r="G9" s="143">
        <f>(G6)</f>
        <v>0.83599999999999997</v>
      </c>
      <c r="H9" s="170">
        <f t="shared" ref="H9:J9" si="4">(H6)</f>
        <v>40</v>
      </c>
      <c r="I9" s="144">
        <f t="shared" si="4"/>
        <v>1000</v>
      </c>
      <c r="J9" s="145">
        <f t="shared" si="4"/>
        <v>1</v>
      </c>
      <c r="K9" s="165">
        <f t="shared" si="1"/>
        <v>1001</v>
      </c>
      <c r="L9" s="132">
        <f>AA6*22.4</f>
        <v>29.060863999999995</v>
      </c>
      <c r="M9" s="149">
        <f t="shared" si="2"/>
        <v>4.1856303808885977</v>
      </c>
      <c r="N9" s="179"/>
      <c r="O9" s="152"/>
      <c r="P9" s="152"/>
      <c r="Q9" s="152"/>
      <c r="R9" s="152"/>
      <c r="S9" s="152"/>
      <c r="W9" s="153" t="s">
        <v>123</v>
      </c>
      <c r="AA9" s="153" t="s">
        <v>123</v>
      </c>
    </row>
    <row r="10" spans="1:28" x14ac:dyDescent="0.25">
      <c r="A10" s="264"/>
      <c r="B10" s="264"/>
      <c r="C10" s="268"/>
      <c r="D10" s="127">
        <v>65</v>
      </c>
      <c r="E10" s="219">
        <v>0.14000000000000001</v>
      </c>
      <c r="F10" s="129"/>
      <c r="G10" s="143">
        <f>(G6)</f>
        <v>0.83599999999999997</v>
      </c>
      <c r="H10" s="170">
        <f t="shared" ref="H10:J10" si="5">(H6)</f>
        <v>40</v>
      </c>
      <c r="I10" s="144">
        <f t="shared" si="5"/>
        <v>1000</v>
      </c>
      <c r="J10" s="145">
        <f t="shared" si="5"/>
        <v>1</v>
      </c>
      <c r="K10" s="165">
        <f t="shared" si="1"/>
        <v>1001</v>
      </c>
      <c r="L10" s="132">
        <f>AA6*22.4</f>
        <v>29.060863999999995</v>
      </c>
      <c r="M10" s="149">
        <f t="shared" si="2"/>
        <v>4.1856303808885977</v>
      </c>
      <c r="N10" s="179"/>
    </row>
    <row r="11" spans="1:28" x14ac:dyDescent="0.25">
      <c r="A11" s="264"/>
      <c r="B11" s="264"/>
      <c r="C11" s="268"/>
      <c r="D11" s="127">
        <v>85</v>
      </c>
      <c r="E11" s="219">
        <v>0.14000000000000001</v>
      </c>
      <c r="F11" s="129"/>
      <c r="G11" s="143">
        <f>(G6)</f>
        <v>0.83599999999999997</v>
      </c>
      <c r="H11" s="170">
        <f t="shared" ref="H11:J11" si="6">(H6)</f>
        <v>40</v>
      </c>
      <c r="I11" s="144">
        <f t="shared" si="6"/>
        <v>1000</v>
      </c>
      <c r="J11" s="145">
        <f t="shared" si="6"/>
        <v>1</v>
      </c>
      <c r="K11" s="165">
        <f t="shared" si="1"/>
        <v>1001</v>
      </c>
      <c r="L11" s="132">
        <f>AA6*22.4</f>
        <v>29.060863999999995</v>
      </c>
      <c r="M11" s="149">
        <f t="shared" si="2"/>
        <v>4.1856303808885977</v>
      </c>
      <c r="N11" s="179"/>
    </row>
    <row r="12" spans="1:28" x14ac:dyDescent="0.25">
      <c r="A12" s="264"/>
      <c r="B12" s="264"/>
      <c r="C12" s="268"/>
      <c r="D12" s="127">
        <v>108</v>
      </c>
      <c r="E12" s="219">
        <v>0.14000000000000001</v>
      </c>
      <c r="F12" s="129"/>
      <c r="G12" s="143">
        <f>(G6)</f>
        <v>0.83599999999999997</v>
      </c>
      <c r="H12" s="170">
        <f t="shared" ref="H12:J12" si="7">(H6)</f>
        <v>40</v>
      </c>
      <c r="I12" s="144">
        <f t="shared" si="7"/>
        <v>1000</v>
      </c>
      <c r="J12" s="145">
        <f t="shared" si="7"/>
        <v>1</v>
      </c>
      <c r="K12" s="165">
        <f t="shared" si="1"/>
        <v>1001</v>
      </c>
      <c r="L12" s="132">
        <f>AA6*22.4</f>
        <v>29.060863999999995</v>
      </c>
      <c r="M12" s="149">
        <f t="shared" si="2"/>
        <v>4.1856303808885977</v>
      </c>
      <c r="N12" s="179"/>
    </row>
    <row r="13" spans="1:28" x14ac:dyDescent="0.25">
      <c r="A13" s="264"/>
      <c r="B13" s="264"/>
      <c r="C13" s="268"/>
      <c r="D13" s="127">
        <v>140</v>
      </c>
      <c r="E13" s="219">
        <v>0.14000000000000001</v>
      </c>
      <c r="F13" s="129"/>
      <c r="G13" s="143">
        <f>(G6)</f>
        <v>0.83599999999999997</v>
      </c>
      <c r="H13" s="170">
        <f t="shared" ref="H13:J13" si="8">(H6)</f>
        <v>40</v>
      </c>
      <c r="I13" s="144">
        <f t="shared" si="8"/>
        <v>1000</v>
      </c>
      <c r="J13" s="145">
        <f t="shared" si="8"/>
        <v>1</v>
      </c>
      <c r="K13" s="165">
        <f t="shared" si="1"/>
        <v>1001</v>
      </c>
      <c r="L13" s="132">
        <f>AA6*22.4</f>
        <v>29.060863999999995</v>
      </c>
      <c r="M13" s="149">
        <f t="shared" si="2"/>
        <v>4.1856303808885977</v>
      </c>
      <c r="N13" s="179"/>
      <c r="O13" s="124"/>
    </row>
    <row r="14" spans="1:28" x14ac:dyDescent="0.25">
      <c r="A14" s="264"/>
      <c r="B14" s="264"/>
      <c r="C14" s="268"/>
      <c r="D14" s="127">
        <v>200</v>
      </c>
      <c r="E14" s="219">
        <v>0.14000000000000001</v>
      </c>
      <c r="F14" s="129"/>
      <c r="G14" s="143">
        <f>(G6)</f>
        <v>0.83599999999999997</v>
      </c>
      <c r="H14" s="170">
        <f t="shared" ref="H14:J14" si="9">(H6)</f>
        <v>40</v>
      </c>
      <c r="I14" s="144">
        <f t="shared" si="9"/>
        <v>1000</v>
      </c>
      <c r="J14" s="145">
        <f t="shared" si="9"/>
        <v>1</v>
      </c>
      <c r="K14" s="165">
        <f t="shared" si="1"/>
        <v>1001</v>
      </c>
      <c r="L14" s="132">
        <f>AA6*22.4</f>
        <v>29.060863999999995</v>
      </c>
      <c r="M14" s="149">
        <f t="shared" si="2"/>
        <v>4.1856303808885977</v>
      </c>
      <c r="N14" s="179"/>
      <c r="R14" s="37"/>
      <c r="S14" s="37"/>
      <c r="T14" s="37"/>
      <c r="U14" s="37"/>
    </row>
    <row r="15" spans="1:28" x14ac:dyDescent="0.25">
      <c r="A15" s="264"/>
      <c r="B15" s="264"/>
      <c r="C15" s="268"/>
      <c r="D15" s="127">
        <v>260</v>
      </c>
      <c r="E15" s="219">
        <v>0.14000000000000001</v>
      </c>
      <c r="F15" s="129"/>
      <c r="G15" s="143">
        <f>(G6)</f>
        <v>0.83599999999999997</v>
      </c>
      <c r="H15" s="170">
        <f t="shared" ref="H15:J15" si="10">(H6)</f>
        <v>40</v>
      </c>
      <c r="I15" s="144">
        <f t="shared" si="10"/>
        <v>1000</v>
      </c>
      <c r="J15" s="145">
        <f t="shared" si="10"/>
        <v>1</v>
      </c>
      <c r="K15" s="165">
        <f t="shared" ref="K15:K21" si="11">SUM(I15:J15)</f>
        <v>1001</v>
      </c>
      <c r="L15" s="132">
        <f>AA6*22.4</f>
        <v>29.060863999999995</v>
      </c>
      <c r="M15" s="149">
        <f t="shared" si="2"/>
        <v>4.1856303808885977</v>
      </c>
      <c r="N15" s="179"/>
      <c r="R15" s="37"/>
      <c r="S15" s="37"/>
      <c r="T15" s="37"/>
      <c r="U15" s="37"/>
    </row>
    <row r="16" spans="1:28" x14ac:dyDescent="0.25">
      <c r="A16" s="264"/>
      <c r="B16" s="264"/>
      <c r="C16" s="268"/>
      <c r="D16" s="127">
        <v>292</v>
      </c>
      <c r="E16" s="219">
        <v>0.14000000000000001</v>
      </c>
      <c r="F16" s="129"/>
      <c r="G16" s="143">
        <f>(G6)</f>
        <v>0.83599999999999997</v>
      </c>
      <c r="H16" s="170">
        <f t="shared" ref="H16:J16" si="12">(H6)</f>
        <v>40</v>
      </c>
      <c r="I16" s="144">
        <f t="shared" si="12"/>
        <v>1000</v>
      </c>
      <c r="J16" s="145">
        <f t="shared" si="12"/>
        <v>1</v>
      </c>
      <c r="K16" s="165">
        <f t="shared" si="11"/>
        <v>1001</v>
      </c>
      <c r="L16" s="132">
        <f>AA6*22.4</f>
        <v>29.060863999999995</v>
      </c>
      <c r="M16" s="149">
        <f t="shared" si="2"/>
        <v>4.1856303808885977</v>
      </c>
      <c r="N16" s="179"/>
      <c r="R16" s="37"/>
      <c r="S16" s="37"/>
      <c r="T16" s="37"/>
      <c r="U16" s="37"/>
    </row>
    <row r="17" spans="1:28" x14ac:dyDescent="0.25">
      <c r="A17" s="264"/>
      <c r="B17" s="264"/>
      <c r="C17" s="268"/>
      <c r="D17" s="127">
        <v>315</v>
      </c>
      <c r="E17" s="219">
        <v>0.14000000000000001</v>
      </c>
      <c r="F17" s="129"/>
      <c r="G17" s="143">
        <f>(G6)</f>
        <v>0.83599999999999997</v>
      </c>
      <c r="H17" s="170">
        <f t="shared" ref="H17:J17" si="13">(H6)</f>
        <v>40</v>
      </c>
      <c r="I17" s="144">
        <f t="shared" si="13"/>
        <v>1000</v>
      </c>
      <c r="J17" s="145">
        <f t="shared" si="13"/>
        <v>1</v>
      </c>
      <c r="K17" s="165">
        <f t="shared" si="11"/>
        <v>1001</v>
      </c>
      <c r="L17" s="132">
        <f>AA6*22.4</f>
        <v>29.060863999999995</v>
      </c>
      <c r="M17" s="149">
        <f t="shared" si="2"/>
        <v>4.1856303808885977</v>
      </c>
      <c r="N17" s="179"/>
      <c r="R17" s="37"/>
      <c r="S17" s="37"/>
      <c r="T17" s="37"/>
      <c r="U17" s="37"/>
    </row>
    <row r="18" spans="1:28" x14ac:dyDescent="0.25">
      <c r="A18" s="264"/>
      <c r="B18" s="264"/>
      <c r="C18" s="268"/>
      <c r="D18" s="127">
        <v>335</v>
      </c>
      <c r="E18" s="219">
        <v>0.14000000000000001</v>
      </c>
      <c r="F18" s="129"/>
      <c r="G18" s="143">
        <f>(G6)</f>
        <v>0.83599999999999997</v>
      </c>
      <c r="H18" s="170">
        <f t="shared" ref="H18:J18" si="14">(H6)</f>
        <v>40</v>
      </c>
      <c r="I18" s="144">
        <f t="shared" si="14"/>
        <v>1000</v>
      </c>
      <c r="J18" s="145">
        <f t="shared" si="14"/>
        <v>1</v>
      </c>
      <c r="K18" s="165">
        <f t="shared" si="11"/>
        <v>1001</v>
      </c>
      <c r="L18" s="132">
        <f>AA6*22.4</f>
        <v>29.060863999999995</v>
      </c>
      <c r="M18" s="149">
        <f t="shared" si="2"/>
        <v>4.1856303808885977</v>
      </c>
      <c r="N18" s="179"/>
      <c r="R18" s="37"/>
      <c r="S18" s="37"/>
      <c r="T18" s="37"/>
      <c r="U18" s="37"/>
    </row>
    <row r="19" spans="1:28" x14ac:dyDescent="0.25">
      <c r="A19" s="264"/>
      <c r="B19" s="264"/>
      <c r="C19" s="268"/>
      <c r="D19" s="127">
        <v>352</v>
      </c>
      <c r="E19" s="219">
        <v>0.14000000000000001</v>
      </c>
      <c r="F19" s="129"/>
      <c r="G19" s="143">
        <f>(G6)</f>
        <v>0.83599999999999997</v>
      </c>
      <c r="H19" s="170">
        <f t="shared" ref="H19:J19" si="15">(H6)</f>
        <v>40</v>
      </c>
      <c r="I19" s="144">
        <f t="shared" si="15"/>
        <v>1000</v>
      </c>
      <c r="J19" s="145">
        <f t="shared" si="15"/>
        <v>1</v>
      </c>
      <c r="K19" s="165">
        <f t="shared" si="11"/>
        <v>1001</v>
      </c>
      <c r="L19" s="132">
        <f>AA6*22.4</f>
        <v>29.060863999999995</v>
      </c>
      <c r="M19" s="149">
        <f t="shared" si="2"/>
        <v>4.1856303808885977</v>
      </c>
      <c r="N19" s="179"/>
      <c r="R19" s="37"/>
      <c r="S19" s="37"/>
      <c r="T19" s="37"/>
      <c r="U19" s="37"/>
    </row>
    <row r="20" spans="1:28" x14ac:dyDescent="0.25">
      <c r="A20" s="264"/>
      <c r="B20" s="264"/>
      <c r="C20" s="268"/>
      <c r="D20" s="127">
        <v>367</v>
      </c>
      <c r="E20" s="219">
        <v>0.14000000000000001</v>
      </c>
      <c r="F20" s="129"/>
      <c r="G20" s="143">
        <f>(G6)</f>
        <v>0.83599999999999997</v>
      </c>
      <c r="H20" s="170">
        <f t="shared" ref="H20:J20" si="16">(H6)</f>
        <v>40</v>
      </c>
      <c r="I20" s="144">
        <f t="shared" si="16"/>
        <v>1000</v>
      </c>
      <c r="J20" s="145">
        <f t="shared" si="16"/>
        <v>1</v>
      </c>
      <c r="K20" s="165">
        <f t="shared" si="11"/>
        <v>1001</v>
      </c>
      <c r="L20" s="132">
        <f>AA6*22.4</f>
        <v>29.060863999999995</v>
      </c>
      <c r="M20" s="149">
        <f t="shared" si="2"/>
        <v>4.1856303808885977</v>
      </c>
      <c r="N20" s="179"/>
      <c r="R20" s="37"/>
      <c r="S20" s="37"/>
      <c r="T20" s="37"/>
      <c r="U20" s="37"/>
    </row>
    <row r="21" spans="1:28" x14ac:dyDescent="0.25">
      <c r="A21" s="264"/>
      <c r="B21" s="264"/>
      <c r="C21" s="268"/>
      <c r="D21" s="127">
        <v>381</v>
      </c>
      <c r="E21" s="219">
        <v>0.14000000000000001</v>
      </c>
      <c r="F21" s="129"/>
      <c r="G21" s="143">
        <f>(G6)</f>
        <v>0.83599999999999997</v>
      </c>
      <c r="H21" s="170">
        <f t="shared" ref="H21:J21" si="17">(H6)</f>
        <v>40</v>
      </c>
      <c r="I21" s="144">
        <f t="shared" si="17"/>
        <v>1000</v>
      </c>
      <c r="J21" s="145">
        <f t="shared" si="17"/>
        <v>1</v>
      </c>
      <c r="K21" s="165">
        <f t="shared" si="11"/>
        <v>1001</v>
      </c>
      <c r="L21" s="132">
        <f>AA6*22.4</f>
        <v>29.060863999999995</v>
      </c>
      <c r="M21" s="149">
        <f t="shared" si="2"/>
        <v>4.1856303808885977</v>
      </c>
      <c r="N21" s="179"/>
      <c r="R21" s="37"/>
      <c r="S21" s="37"/>
      <c r="T21" s="37"/>
      <c r="U21" s="37"/>
    </row>
    <row r="22" spans="1:28" x14ac:dyDescent="0.25">
      <c r="A22" s="265"/>
      <c r="B22" s="265"/>
      <c r="C22" s="269"/>
      <c r="D22" s="127">
        <v>394</v>
      </c>
      <c r="E22" s="219">
        <v>0.14000000000000001</v>
      </c>
      <c r="F22" s="129"/>
      <c r="G22" s="143">
        <f>(G6)</f>
        <v>0.83599999999999997</v>
      </c>
      <c r="H22" s="170">
        <f t="shared" ref="H22:J22" si="18">(H6)</f>
        <v>40</v>
      </c>
      <c r="I22" s="144">
        <f t="shared" si="18"/>
        <v>1000</v>
      </c>
      <c r="J22" s="145">
        <f t="shared" si="18"/>
        <v>1</v>
      </c>
      <c r="K22" s="165">
        <f t="shared" ref="K22" si="19">SUM(I22:J22)</f>
        <v>1001</v>
      </c>
      <c r="L22" s="132">
        <f>AA6*22.4</f>
        <v>29.060863999999995</v>
      </c>
      <c r="M22" s="149">
        <f t="shared" si="2"/>
        <v>4.1856303808885977</v>
      </c>
      <c r="N22" s="179"/>
      <c r="R22" s="37"/>
      <c r="S22" s="37"/>
      <c r="T22" s="37"/>
      <c r="U22" s="37"/>
    </row>
    <row r="23" spans="1:28" x14ac:dyDescent="0.25">
      <c r="A23" s="154"/>
      <c r="B23" s="154"/>
      <c r="C23" s="154"/>
      <c r="D23" s="152"/>
      <c r="E23" s="128"/>
      <c r="F23" s="129"/>
      <c r="G23" s="155"/>
      <c r="H23" s="156"/>
      <c r="I23" s="156"/>
      <c r="J23" s="69"/>
      <c r="K23" s="152"/>
      <c r="L23" s="152"/>
      <c r="M23" s="152"/>
      <c r="N23" s="131"/>
      <c r="O23" s="123" t="s">
        <v>124</v>
      </c>
      <c r="P23" s="123" t="s">
        <v>125</v>
      </c>
    </row>
    <row r="24" spans="1:28" x14ac:dyDescent="0.25">
      <c r="A24" s="154"/>
      <c r="B24" s="154"/>
      <c r="C24" s="154"/>
      <c r="D24" s="127" t="s">
        <v>126</v>
      </c>
      <c r="E24" s="219">
        <v>0</v>
      </c>
      <c r="F24" s="129"/>
      <c r="G24" s="143">
        <f>(G6)</f>
        <v>0.83599999999999997</v>
      </c>
      <c r="H24" s="170">
        <f t="shared" ref="H24:J24" si="20">(H6)</f>
        <v>40</v>
      </c>
      <c r="I24" s="144">
        <f t="shared" si="20"/>
        <v>1000</v>
      </c>
      <c r="J24" s="145">
        <f t="shared" si="20"/>
        <v>1</v>
      </c>
      <c r="K24" s="165">
        <f t="shared" ref="K24" si="21">SUM(I24:J24)</f>
        <v>1001</v>
      </c>
      <c r="L24" s="132">
        <f>AA6*22.4</f>
        <v>29.060863999999995</v>
      </c>
      <c r="M24" s="58">
        <f t="shared" ref="M24" si="22">G24*129*(SQRT(E24*(273+H24)/(I24+J24)/L24))</f>
        <v>0</v>
      </c>
      <c r="N24" s="69"/>
      <c r="O24" s="270" t="s">
        <v>127</v>
      </c>
      <c r="P24" s="271"/>
      <c r="Q24" s="271"/>
    </row>
    <row r="25" spans="1:28" x14ac:dyDescent="0.25">
      <c r="A25" s="157"/>
      <c r="B25" s="157"/>
      <c r="C25" s="157"/>
      <c r="E25" s="158"/>
      <c r="F25" s="158"/>
      <c r="G25" s="159"/>
      <c r="N25" s="160"/>
    </row>
    <row r="26" spans="1:28" x14ac:dyDescent="0.25">
      <c r="A26" s="157"/>
      <c r="B26" s="157"/>
      <c r="C26" s="157"/>
      <c r="E26" s="158"/>
      <c r="F26" s="158"/>
      <c r="G26" s="159"/>
      <c r="N26" s="160"/>
      <c r="P26" s="123" t="s">
        <v>128</v>
      </c>
    </row>
    <row r="27" spans="1:28" x14ac:dyDescent="0.25">
      <c r="A27" s="157"/>
      <c r="B27" s="157"/>
      <c r="C27" s="157"/>
      <c r="E27" s="37"/>
      <c r="F27" s="37"/>
      <c r="N27" s="160"/>
    </row>
    <row r="28" spans="1:28" x14ac:dyDescent="0.25">
      <c r="A28" s="157"/>
      <c r="B28" s="157"/>
      <c r="C28" s="157"/>
      <c r="D28" s="272" t="s">
        <v>129</v>
      </c>
      <c r="E28" s="262"/>
      <c r="F28" s="262"/>
      <c r="G28" s="262"/>
      <c r="H28" s="262"/>
      <c r="I28" s="262"/>
      <c r="J28" s="262"/>
      <c r="K28" s="262"/>
      <c r="L28" s="262"/>
      <c r="M28" s="262"/>
      <c r="N28" s="262"/>
      <c r="O28" s="262"/>
      <c r="P28" s="262"/>
      <c r="Q28" s="262"/>
      <c r="R28" s="262"/>
      <c r="S28" s="262"/>
      <c r="T28" s="262"/>
      <c r="U28" s="262"/>
      <c r="V28" s="262"/>
      <c r="W28" s="262"/>
      <c r="X28" s="262"/>
      <c r="Y28" s="262"/>
    </row>
    <row r="29" spans="1:28" x14ac:dyDescent="0.25">
      <c r="A29" s="157"/>
      <c r="B29" s="157"/>
      <c r="C29" s="157"/>
      <c r="D29" s="161"/>
      <c r="E29" s="162"/>
      <c r="F29" s="162"/>
      <c r="G29" s="161"/>
      <c r="H29" s="161"/>
      <c r="I29" s="161"/>
      <c r="J29" s="161"/>
      <c r="K29" s="161"/>
      <c r="L29" s="161"/>
      <c r="M29" s="161"/>
      <c r="N29" s="163"/>
    </row>
    <row r="30" spans="1:28" s="10" customFormat="1" ht="126" x14ac:dyDescent="0.25">
      <c r="A30" s="9" t="s">
        <v>8</v>
      </c>
      <c r="B30" s="9" t="s">
        <v>77</v>
      </c>
      <c r="C30" s="9" t="s">
        <v>9</v>
      </c>
      <c r="D30" s="55" t="s">
        <v>103</v>
      </c>
      <c r="E30" s="55" t="s">
        <v>132</v>
      </c>
      <c r="F30" s="55" t="s">
        <v>133</v>
      </c>
      <c r="G30" s="164" t="s">
        <v>104</v>
      </c>
      <c r="H30" s="164" t="s">
        <v>105</v>
      </c>
      <c r="I30" s="164" t="s">
        <v>106</v>
      </c>
      <c r="J30" s="164" t="s">
        <v>107</v>
      </c>
      <c r="K30" s="164" t="s">
        <v>108</v>
      </c>
      <c r="L30" s="164" t="s">
        <v>109</v>
      </c>
      <c r="M30" s="164" t="s">
        <v>110</v>
      </c>
      <c r="N30" s="164" t="s">
        <v>111</v>
      </c>
      <c r="O30" s="9" t="s">
        <v>112</v>
      </c>
      <c r="P30" s="9" t="s">
        <v>113</v>
      </c>
      <c r="Q30" s="9" t="s">
        <v>114</v>
      </c>
      <c r="R30" s="9" t="s">
        <v>115</v>
      </c>
      <c r="S30" s="9" t="s">
        <v>116</v>
      </c>
      <c r="T30" s="9" t="s">
        <v>24</v>
      </c>
      <c r="U30" s="217" t="s">
        <v>117</v>
      </c>
      <c r="V30" s="217" t="s">
        <v>118</v>
      </c>
      <c r="W30" s="9" t="s">
        <v>25</v>
      </c>
      <c r="X30" s="9" t="s">
        <v>134</v>
      </c>
      <c r="Y30" s="9" t="s">
        <v>119</v>
      </c>
      <c r="Z30" s="9" t="s">
        <v>120</v>
      </c>
      <c r="AA30" s="218" t="s">
        <v>121</v>
      </c>
      <c r="AB30" s="125" t="s">
        <v>122</v>
      </c>
    </row>
    <row r="31" spans="1:28" ht="16" thickBot="1" x14ac:dyDescent="0.3">
      <c r="A31" s="273"/>
      <c r="B31" s="273"/>
      <c r="C31" s="273"/>
      <c r="D31" s="127">
        <v>6</v>
      </c>
      <c r="E31" s="129"/>
      <c r="F31" s="129"/>
      <c r="G31" s="68"/>
      <c r="H31" s="225">
        <v>40</v>
      </c>
      <c r="I31" s="223">
        <v>1000</v>
      </c>
      <c r="J31" s="224">
        <v>1</v>
      </c>
      <c r="K31" s="165">
        <f>SUM(I31:J31)</f>
        <v>1001</v>
      </c>
      <c r="L31" s="132">
        <f>AA31*22.4</f>
        <v>29.060863999999995</v>
      </c>
      <c r="M31" s="224">
        <v>4.1856303808885977</v>
      </c>
      <c r="N31" s="131"/>
      <c r="O31" s="58">
        <f>AVERAGE(M31:M47)</f>
        <v>4.1856303808885977</v>
      </c>
      <c r="P31" s="220">
        <v>4</v>
      </c>
      <c r="Q31" s="134">
        <f>+(3.14*P31*P31/4)</f>
        <v>12.56</v>
      </c>
      <c r="R31" s="135">
        <f>O31*Q31</f>
        <v>52.571517583960791</v>
      </c>
      <c r="S31" s="135">
        <f>+(I31+J31)/(273+H31)*0.269*R31</f>
        <v>45.226453572893099</v>
      </c>
      <c r="T31" s="247">
        <f>H2O!I7</f>
        <v>5.0000000000000001E-3</v>
      </c>
      <c r="U31" s="137">
        <f>T31/(1.29*W31)</f>
        <v>4.2265197828811746E-2</v>
      </c>
      <c r="V31" s="138">
        <f>S31*1/(1+(U31*1.29/0.8038))</f>
        <v>42.353590990710913</v>
      </c>
      <c r="W31" s="248">
        <f>H2O!H7</f>
        <v>9.1705923344947746E-2</v>
      </c>
      <c r="X31" s="118">
        <v>8.3000000000000004E-2</v>
      </c>
      <c r="Y31" s="138">
        <f>V31*X31</f>
        <v>3.5153480522290059</v>
      </c>
      <c r="Z31" s="141">
        <f>O31*X31</f>
        <v>0.34740732161375365</v>
      </c>
      <c r="AA31" s="249">
        <f>Aerodinamika!G23</f>
        <v>1.2973599999999998</v>
      </c>
      <c r="AB31" s="260"/>
    </row>
    <row r="32" spans="1:28" x14ac:dyDescent="0.25">
      <c r="A32" s="274"/>
      <c r="B32" s="274"/>
      <c r="C32" s="274"/>
      <c r="D32" s="127">
        <v>19</v>
      </c>
      <c r="E32" s="129"/>
      <c r="F32" s="129"/>
      <c r="G32" s="68"/>
      <c r="H32" s="250">
        <v>40</v>
      </c>
      <c r="I32" s="223">
        <v>1000</v>
      </c>
      <c r="J32" s="224">
        <v>1</v>
      </c>
      <c r="K32" s="165">
        <f t="shared" ref="K32:K39" si="23">SUM(I32:J32)</f>
        <v>1001</v>
      </c>
      <c r="L32" s="132">
        <f>AA31*22.4</f>
        <v>29.060863999999995</v>
      </c>
      <c r="M32" s="224">
        <v>4.1856303808885977</v>
      </c>
      <c r="N32" s="131"/>
      <c r="O32" s="146"/>
      <c r="P32" s="221">
        <v>0.5</v>
      </c>
      <c r="Q32" s="147">
        <f>+(P33*P32)</f>
        <v>0.375</v>
      </c>
      <c r="R32" s="135">
        <f>O31*Q32</f>
        <v>1.5696113928332243</v>
      </c>
      <c r="S32" s="135">
        <f>+(I31+J31)/(273+H31)*0.269*R32</f>
        <v>1.350312109063289</v>
      </c>
      <c r="T32" s="247">
        <f>H2O!I7</f>
        <v>5.0000000000000001E-3</v>
      </c>
      <c r="U32" s="137">
        <f>T32/(1.29*W32)</f>
        <v>4.2265197828811746E-2</v>
      </c>
      <c r="V32" s="138">
        <f>S32*(1/(1+(U32*1.29/0.8038)))</f>
        <v>1.264537947572977</v>
      </c>
      <c r="W32" s="248">
        <f>H2O!H7</f>
        <v>9.1705923344947746E-2</v>
      </c>
      <c r="X32" s="118">
        <v>8.3000000000000004E-2</v>
      </c>
      <c r="Y32" s="138">
        <f>V32*X32</f>
        <v>0.1049566496485571</v>
      </c>
      <c r="Z32" s="141">
        <f>O31*X32</f>
        <v>0.34740732161375365</v>
      </c>
      <c r="AB32" s="261"/>
    </row>
    <row r="33" spans="1:27" x14ac:dyDescent="0.25">
      <c r="A33" s="274"/>
      <c r="B33" s="274"/>
      <c r="C33" s="274"/>
      <c r="D33" s="254">
        <v>33</v>
      </c>
      <c r="E33" s="148"/>
      <c r="F33" s="148"/>
      <c r="G33" s="166"/>
      <c r="H33" s="250">
        <v>40</v>
      </c>
      <c r="I33" s="223">
        <v>1000</v>
      </c>
      <c r="J33" s="224">
        <v>1</v>
      </c>
      <c r="K33" s="167">
        <f t="shared" si="23"/>
        <v>1001</v>
      </c>
      <c r="L33" s="132">
        <f>AA31*22.4</f>
        <v>29.060863999999995</v>
      </c>
      <c r="M33" s="224">
        <v>4.1856303808885977</v>
      </c>
      <c r="N33" s="133"/>
      <c r="O33" s="150"/>
      <c r="P33" s="222">
        <v>0.75</v>
      </c>
      <c r="Q33" s="151"/>
      <c r="R33" s="126"/>
      <c r="S33" s="126"/>
    </row>
    <row r="34" spans="1:27" x14ac:dyDescent="0.25">
      <c r="A34" s="274"/>
      <c r="B34" s="274"/>
      <c r="C34" s="274"/>
      <c r="D34" s="127">
        <v>48</v>
      </c>
      <c r="E34" s="129"/>
      <c r="F34" s="129"/>
      <c r="G34" s="68"/>
      <c r="H34" s="250">
        <v>40</v>
      </c>
      <c r="I34" s="223">
        <v>1000</v>
      </c>
      <c r="J34" s="224">
        <v>1</v>
      </c>
      <c r="K34" s="165">
        <f t="shared" si="23"/>
        <v>1001</v>
      </c>
      <c r="L34" s="132">
        <f>AA31*22.4</f>
        <v>29.060863999999995</v>
      </c>
      <c r="M34" s="224">
        <v>4.1856303808885977</v>
      </c>
      <c r="N34" s="133"/>
      <c r="O34" s="152"/>
      <c r="P34" s="152"/>
      <c r="Q34" s="152"/>
      <c r="R34" s="152"/>
      <c r="S34" s="152"/>
      <c r="W34" s="153" t="s">
        <v>123</v>
      </c>
      <c r="AA34" s="153" t="s">
        <v>123</v>
      </c>
    </row>
    <row r="35" spans="1:27" x14ac:dyDescent="0.25">
      <c r="A35" s="274"/>
      <c r="B35" s="274"/>
      <c r="C35" s="274"/>
      <c r="D35" s="127">
        <v>65</v>
      </c>
      <c r="E35" s="129"/>
      <c r="F35" s="129"/>
      <c r="G35" s="68"/>
      <c r="H35" s="250">
        <v>40</v>
      </c>
      <c r="I35" s="223">
        <v>1000</v>
      </c>
      <c r="J35" s="224">
        <v>1</v>
      </c>
      <c r="K35" s="165">
        <f t="shared" si="23"/>
        <v>1001</v>
      </c>
      <c r="L35" s="132">
        <f>AA31*22.4</f>
        <v>29.060863999999995</v>
      </c>
      <c r="M35" s="224">
        <v>4.1856303808885977</v>
      </c>
      <c r="N35" s="133"/>
    </row>
    <row r="36" spans="1:27" x14ac:dyDescent="0.25">
      <c r="A36" s="274"/>
      <c r="B36" s="274"/>
      <c r="C36" s="274"/>
      <c r="D36" s="127">
        <v>85</v>
      </c>
      <c r="E36" s="129"/>
      <c r="F36" s="129"/>
      <c r="G36" s="68"/>
      <c r="H36" s="250">
        <v>40</v>
      </c>
      <c r="I36" s="223">
        <v>1000</v>
      </c>
      <c r="J36" s="224">
        <v>1</v>
      </c>
      <c r="K36" s="165">
        <f t="shared" si="23"/>
        <v>1001</v>
      </c>
      <c r="L36" s="132">
        <f>AA31*22.4</f>
        <v>29.060863999999995</v>
      </c>
      <c r="M36" s="224">
        <v>4.1856303808885977</v>
      </c>
      <c r="N36" s="133"/>
    </row>
    <row r="37" spans="1:27" x14ac:dyDescent="0.25">
      <c r="A37" s="274"/>
      <c r="B37" s="274"/>
      <c r="C37" s="274"/>
      <c r="D37" s="127">
        <v>108</v>
      </c>
      <c r="E37" s="129"/>
      <c r="F37" s="129"/>
      <c r="G37" s="68"/>
      <c r="H37" s="250">
        <v>40</v>
      </c>
      <c r="I37" s="223">
        <v>1000</v>
      </c>
      <c r="J37" s="224">
        <v>1</v>
      </c>
      <c r="K37" s="165">
        <f t="shared" si="23"/>
        <v>1001</v>
      </c>
      <c r="L37" s="132">
        <f>AA31*22.4</f>
        <v>29.060863999999995</v>
      </c>
      <c r="M37" s="224">
        <v>4.1856303808885977</v>
      </c>
      <c r="N37" s="133"/>
    </row>
    <row r="38" spans="1:27" x14ac:dyDescent="0.25">
      <c r="A38" s="274"/>
      <c r="B38" s="274"/>
      <c r="C38" s="274"/>
      <c r="D38" s="127">
        <v>140</v>
      </c>
      <c r="E38" s="129"/>
      <c r="F38" s="129"/>
      <c r="G38" s="68"/>
      <c r="H38" s="250">
        <v>40</v>
      </c>
      <c r="I38" s="223">
        <v>1000</v>
      </c>
      <c r="J38" s="224">
        <v>1</v>
      </c>
      <c r="K38" s="165">
        <f t="shared" si="23"/>
        <v>1001</v>
      </c>
      <c r="L38" s="132">
        <f>AA31*22.4</f>
        <v>29.060863999999995</v>
      </c>
      <c r="M38" s="224">
        <v>4.1856303808885977</v>
      </c>
      <c r="N38" s="133"/>
      <c r="O38" s="124"/>
    </row>
    <row r="39" spans="1:27" x14ac:dyDescent="0.25">
      <c r="A39" s="274"/>
      <c r="B39" s="274"/>
      <c r="C39" s="274"/>
      <c r="D39" s="127">
        <v>200</v>
      </c>
      <c r="E39" s="129"/>
      <c r="F39" s="129"/>
      <c r="G39" s="168"/>
      <c r="H39" s="250">
        <v>40</v>
      </c>
      <c r="I39" s="223">
        <v>1000</v>
      </c>
      <c r="J39" s="224">
        <v>1</v>
      </c>
      <c r="K39" s="165">
        <f t="shared" si="23"/>
        <v>1001</v>
      </c>
      <c r="L39" s="132">
        <f>AA31*22.4</f>
        <v>29.060863999999995</v>
      </c>
      <c r="M39" s="224">
        <v>4.1856303808885977</v>
      </c>
      <c r="N39" s="131"/>
      <c r="R39" s="37"/>
      <c r="S39" s="37"/>
      <c r="T39" s="37"/>
      <c r="U39" s="37"/>
    </row>
    <row r="40" spans="1:27" x14ac:dyDescent="0.25">
      <c r="A40" s="274"/>
      <c r="B40" s="274"/>
      <c r="C40" s="274"/>
      <c r="D40" s="127">
        <v>260</v>
      </c>
      <c r="E40" s="127"/>
      <c r="F40" s="127"/>
      <c r="G40" s="127"/>
      <c r="H40" s="250">
        <v>40</v>
      </c>
      <c r="I40" s="251">
        <v>1000</v>
      </c>
      <c r="J40" s="224">
        <v>1</v>
      </c>
      <c r="K40" s="169">
        <f t="shared" ref="K40:K47" si="24">SUM(I40:J40)</f>
        <v>1001</v>
      </c>
      <c r="L40" s="132">
        <f>AA31*22.4</f>
        <v>29.060863999999995</v>
      </c>
      <c r="M40" s="224">
        <v>4.1856303808885977</v>
      </c>
      <c r="N40" s="127"/>
    </row>
    <row r="41" spans="1:27" x14ac:dyDescent="0.25">
      <c r="A41" s="274"/>
      <c r="B41" s="274"/>
      <c r="C41" s="274"/>
      <c r="D41" s="127">
        <v>292</v>
      </c>
      <c r="E41" s="127"/>
      <c r="F41" s="127"/>
      <c r="G41" s="127"/>
      <c r="H41" s="250">
        <v>40</v>
      </c>
      <c r="I41" s="251">
        <v>1000</v>
      </c>
      <c r="J41" s="224">
        <v>1</v>
      </c>
      <c r="K41" s="169">
        <f t="shared" si="24"/>
        <v>1001</v>
      </c>
      <c r="L41" s="132">
        <f>AA31*22.4</f>
        <v>29.060863999999995</v>
      </c>
      <c r="M41" s="224">
        <v>4.1856303808885977</v>
      </c>
      <c r="N41" s="127"/>
    </row>
    <row r="42" spans="1:27" x14ac:dyDescent="0.25">
      <c r="A42" s="274"/>
      <c r="B42" s="274"/>
      <c r="C42" s="274"/>
      <c r="D42" s="127">
        <v>315</v>
      </c>
      <c r="E42" s="127"/>
      <c r="F42" s="127"/>
      <c r="G42" s="127"/>
      <c r="H42" s="250">
        <v>40</v>
      </c>
      <c r="I42" s="251">
        <v>1000</v>
      </c>
      <c r="J42" s="224">
        <v>1</v>
      </c>
      <c r="K42" s="169">
        <f t="shared" si="24"/>
        <v>1001</v>
      </c>
      <c r="L42" s="132">
        <f>AA31*22.4</f>
        <v>29.060863999999995</v>
      </c>
      <c r="M42" s="224">
        <v>4.1856303808885977</v>
      </c>
      <c r="N42" s="127"/>
    </row>
    <row r="43" spans="1:27" x14ac:dyDescent="0.25">
      <c r="A43" s="274"/>
      <c r="B43" s="274"/>
      <c r="C43" s="274"/>
      <c r="D43" s="127">
        <v>335</v>
      </c>
      <c r="E43" s="127"/>
      <c r="F43" s="127"/>
      <c r="G43" s="127"/>
      <c r="H43" s="250">
        <v>40</v>
      </c>
      <c r="I43" s="251">
        <v>1000</v>
      </c>
      <c r="J43" s="224">
        <v>1</v>
      </c>
      <c r="K43" s="169">
        <f t="shared" si="24"/>
        <v>1001</v>
      </c>
      <c r="L43" s="132">
        <f>AA31*22.4</f>
        <v>29.060863999999995</v>
      </c>
      <c r="M43" s="224">
        <v>4.1856303808885977</v>
      </c>
      <c r="N43" s="127"/>
    </row>
    <row r="44" spans="1:27" x14ac:dyDescent="0.25">
      <c r="A44" s="274"/>
      <c r="B44" s="274"/>
      <c r="C44" s="274"/>
      <c r="D44" s="127">
        <v>352</v>
      </c>
      <c r="E44" s="127"/>
      <c r="F44" s="127"/>
      <c r="G44" s="127"/>
      <c r="H44" s="250">
        <v>40</v>
      </c>
      <c r="I44" s="251">
        <v>1000</v>
      </c>
      <c r="J44" s="224">
        <v>1</v>
      </c>
      <c r="K44" s="169">
        <f t="shared" si="24"/>
        <v>1001</v>
      </c>
      <c r="L44" s="132">
        <f>AA31*22.4</f>
        <v>29.060863999999995</v>
      </c>
      <c r="M44" s="224">
        <v>4.1856303808885977</v>
      </c>
      <c r="N44" s="127"/>
    </row>
    <row r="45" spans="1:27" x14ac:dyDescent="0.25">
      <c r="A45" s="274"/>
      <c r="B45" s="274"/>
      <c r="C45" s="274"/>
      <c r="D45" s="127">
        <v>367</v>
      </c>
      <c r="E45" s="127"/>
      <c r="F45" s="127"/>
      <c r="G45" s="127"/>
      <c r="H45" s="250">
        <v>40</v>
      </c>
      <c r="I45" s="251">
        <v>1000</v>
      </c>
      <c r="J45" s="224">
        <v>1</v>
      </c>
      <c r="K45" s="169">
        <f t="shared" si="24"/>
        <v>1001</v>
      </c>
      <c r="L45" s="132">
        <f>AA31*22.4</f>
        <v>29.060863999999995</v>
      </c>
      <c r="M45" s="224">
        <v>4.1856303808885977</v>
      </c>
      <c r="N45" s="127"/>
    </row>
    <row r="46" spans="1:27" x14ac:dyDescent="0.25">
      <c r="A46" s="274"/>
      <c r="B46" s="274"/>
      <c r="C46" s="274"/>
      <c r="D46" s="127">
        <v>381</v>
      </c>
      <c r="E46" s="127"/>
      <c r="F46" s="127"/>
      <c r="G46" s="127"/>
      <c r="H46" s="250">
        <v>40</v>
      </c>
      <c r="I46" s="251">
        <v>1000</v>
      </c>
      <c r="J46" s="224">
        <v>1</v>
      </c>
      <c r="K46" s="169">
        <f t="shared" si="24"/>
        <v>1001</v>
      </c>
      <c r="L46" s="132">
        <f>AA31*22.4</f>
        <v>29.060863999999995</v>
      </c>
      <c r="M46" s="224">
        <v>4.1856303808885977</v>
      </c>
      <c r="N46" s="127"/>
    </row>
    <row r="47" spans="1:27" x14ac:dyDescent="0.25">
      <c r="A47" s="275"/>
      <c r="B47" s="275"/>
      <c r="C47" s="275"/>
      <c r="D47" s="127">
        <v>394</v>
      </c>
      <c r="E47" s="127"/>
      <c r="F47" s="127"/>
      <c r="G47" s="127"/>
      <c r="H47" s="250">
        <v>40</v>
      </c>
      <c r="I47" s="251">
        <v>1000</v>
      </c>
      <c r="J47" s="224">
        <v>1</v>
      </c>
      <c r="K47" s="169">
        <f t="shared" si="24"/>
        <v>1001</v>
      </c>
      <c r="L47" s="132">
        <f>AA31*22.4</f>
        <v>29.060863999999995</v>
      </c>
      <c r="M47" s="224">
        <v>4.1856303808885977</v>
      </c>
      <c r="N47" s="127"/>
    </row>
  </sheetData>
  <sheetProtection algorithmName="SHA-512" hashValue="gDin5Klgk6+qurF4E+rzJ0sUluJLZ789qAbtHf7I19ndMsRGB03KAoSs7txh1P43DkL+BNbUI3Qbh0cdups8pA==" saltValue="kDvwSP0ruLnFVxz/poferw==" spinCount="100000" sheet="1" formatCells="0" formatColumns="0" formatRows="0"/>
  <mergeCells count="11">
    <mergeCell ref="AB31:AB32"/>
    <mergeCell ref="D3:Z3"/>
    <mergeCell ref="A6:A22"/>
    <mergeCell ref="B6:B22"/>
    <mergeCell ref="C6:C22"/>
    <mergeCell ref="AB6:AB7"/>
    <mergeCell ref="O24:Q24"/>
    <mergeCell ref="D28:Y28"/>
    <mergeCell ref="A31:A47"/>
    <mergeCell ref="B31:B47"/>
    <mergeCell ref="C31:C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CE6F-4AAF-42E1-A4E9-B039A4011BD6}">
  <dimension ref="A1:L26"/>
  <sheetViews>
    <sheetView tabSelected="1" zoomScale="90" zoomScaleNormal="90" workbookViewId="0">
      <selection activeCell="G7" sqref="G7"/>
    </sheetView>
  </sheetViews>
  <sheetFormatPr defaultColWidth="9.1796875" defaultRowHeight="13" x14ac:dyDescent="0.3"/>
  <cols>
    <col min="1" max="1" width="12.453125" style="38" customWidth="1"/>
    <col min="2" max="2" width="9.26953125" style="38" customWidth="1"/>
    <col min="3" max="4" width="9.1796875" style="38"/>
    <col min="5" max="5" width="10.7265625" style="38" customWidth="1"/>
    <col min="6" max="6" width="9.1796875" style="38"/>
    <col min="7" max="7" width="11.26953125" style="38" customWidth="1"/>
    <col min="8" max="8" width="12.1796875" style="38" customWidth="1"/>
    <col min="9" max="9" width="10.81640625" style="38" customWidth="1"/>
    <col min="10" max="10" width="9.81640625" style="38" customWidth="1"/>
    <col min="11" max="16384" width="9.1796875" style="38"/>
  </cols>
  <sheetData>
    <row r="1" spans="1:12" ht="15" x14ac:dyDescent="0.3">
      <c r="A1" s="37"/>
      <c r="B1" s="10"/>
      <c r="C1" s="10"/>
      <c r="D1" s="10"/>
      <c r="E1" s="10"/>
      <c r="F1" s="10"/>
      <c r="G1" s="10"/>
      <c r="H1" s="10"/>
      <c r="I1" s="10"/>
    </row>
    <row r="2" spans="1:12" ht="15" x14ac:dyDescent="0.3">
      <c r="A2" s="39"/>
      <c r="B2" s="10"/>
      <c r="C2" s="10"/>
      <c r="D2" s="10"/>
      <c r="E2" s="10"/>
      <c r="F2" s="10"/>
      <c r="G2" s="10"/>
      <c r="H2" s="10"/>
      <c r="I2" s="10"/>
    </row>
    <row r="3" spans="1:12" ht="15" x14ac:dyDescent="0.3">
      <c r="A3" s="276" t="s">
        <v>101</v>
      </c>
      <c r="B3" s="276"/>
      <c r="C3" s="276"/>
      <c r="D3" s="276"/>
      <c r="E3" s="276"/>
      <c r="F3" s="276"/>
      <c r="G3" s="276"/>
      <c r="H3" s="276"/>
      <c r="I3" s="276"/>
      <c r="J3" s="276"/>
    </row>
    <row r="4" spans="1:12" ht="14" x14ac:dyDescent="0.3">
      <c r="A4" s="10"/>
      <c r="B4" s="10"/>
      <c r="C4" s="10"/>
      <c r="D4" s="10"/>
      <c r="E4" s="10"/>
      <c r="F4" s="10"/>
      <c r="G4" s="10"/>
      <c r="H4" s="10"/>
      <c r="I4" s="10"/>
    </row>
    <row r="5" spans="1:12" ht="84" x14ac:dyDescent="0.3">
      <c r="A5" s="9"/>
      <c r="B5" s="9" t="s">
        <v>32</v>
      </c>
      <c r="C5" s="9" t="s">
        <v>22</v>
      </c>
      <c r="D5" s="9" t="s">
        <v>23</v>
      </c>
      <c r="E5" s="9" t="s">
        <v>21</v>
      </c>
      <c r="F5" s="9" t="s">
        <v>33</v>
      </c>
      <c r="G5" s="9" t="s">
        <v>34</v>
      </c>
      <c r="H5" s="9" t="s">
        <v>25</v>
      </c>
      <c r="I5" s="9" t="s">
        <v>24</v>
      </c>
      <c r="J5" s="43" t="s">
        <v>64</v>
      </c>
      <c r="K5" s="43" t="s">
        <v>98</v>
      </c>
      <c r="L5" s="43" t="s">
        <v>6</v>
      </c>
    </row>
    <row r="6" spans="1:12" ht="18" customHeight="1" x14ac:dyDescent="0.3">
      <c r="A6" s="40"/>
      <c r="B6" s="9"/>
      <c r="C6" s="9"/>
      <c r="D6" s="9"/>
      <c r="E6" s="9"/>
      <c r="F6" s="9"/>
      <c r="G6" s="9"/>
      <c r="H6" s="9"/>
      <c r="I6" s="9"/>
      <c r="J6" s="49"/>
      <c r="K6" s="44"/>
      <c r="L6" s="44"/>
    </row>
    <row r="7" spans="1:12" ht="33" customHeight="1" x14ac:dyDescent="0.3">
      <c r="A7" s="40" t="s">
        <v>139</v>
      </c>
      <c r="B7" s="118">
        <v>10</v>
      </c>
      <c r="C7" s="119">
        <v>10</v>
      </c>
      <c r="D7" s="130">
        <f>Greitis!I6</f>
        <v>1000</v>
      </c>
      <c r="E7" s="223">
        <v>25.2</v>
      </c>
      <c r="F7" s="225">
        <v>14</v>
      </c>
      <c r="G7" s="58">
        <f>+(D7-E7)*B7*C7*0.27/(273+F7)</f>
        <v>91.705923344947749</v>
      </c>
      <c r="H7" s="59">
        <f>G7/1000</f>
        <v>9.1705923344947746E-2</v>
      </c>
      <c r="I7" s="226">
        <v>5.0000000000000001E-3</v>
      </c>
      <c r="J7" s="145">
        <f>Aerodinamika!G23</f>
        <v>1.2973599999999998</v>
      </c>
      <c r="K7" s="75">
        <f>(100*((I7/(H7*J7))/0.8038))/(((I7/(H7*J7))/0.8038)+(1/J7))</f>
        <v>6.3521730209331739</v>
      </c>
      <c r="L7" s="44"/>
    </row>
    <row r="8" spans="1:12" ht="15" x14ac:dyDescent="0.3">
      <c r="A8" s="13"/>
      <c r="B8" s="67"/>
      <c r="C8" s="68"/>
      <c r="D8" s="13"/>
      <c r="E8" s="13"/>
      <c r="F8" s="41"/>
      <c r="G8" s="69"/>
      <c r="H8" s="70"/>
      <c r="I8" s="45"/>
      <c r="J8" s="49"/>
      <c r="K8" s="44"/>
      <c r="L8" s="44"/>
    </row>
    <row r="9" spans="1:12" ht="15" x14ac:dyDescent="0.3">
      <c r="A9" s="13"/>
      <c r="B9" s="67"/>
      <c r="C9" s="68"/>
      <c r="D9" s="13"/>
      <c r="E9" s="13"/>
      <c r="F9" s="41"/>
      <c r="G9" s="69"/>
      <c r="H9" s="70"/>
      <c r="I9" s="45"/>
      <c r="J9" s="49"/>
      <c r="K9" s="44"/>
      <c r="L9" s="44"/>
    </row>
    <row r="10" spans="1:12" ht="18" customHeight="1" x14ac:dyDescent="0.3">
      <c r="A10" s="72"/>
      <c r="B10" s="67"/>
      <c r="C10" s="13"/>
      <c r="D10" s="13"/>
      <c r="E10" s="13"/>
      <c r="F10" s="41"/>
      <c r="G10" s="71"/>
      <c r="H10" s="73"/>
      <c r="I10" s="74"/>
      <c r="J10" s="49"/>
      <c r="K10" s="44"/>
      <c r="L10" s="44"/>
    </row>
    <row r="11" spans="1:12" ht="12.75" customHeight="1" x14ac:dyDescent="0.3">
      <c r="H11" s="277" t="s">
        <v>28</v>
      </c>
      <c r="I11" s="280" t="s">
        <v>29</v>
      </c>
    </row>
    <row r="12" spans="1:12" x14ac:dyDescent="0.3">
      <c r="H12" s="278"/>
      <c r="I12" s="281"/>
    </row>
    <row r="13" spans="1:12" x14ac:dyDescent="0.3">
      <c r="H13" s="278"/>
      <c r="I13" s="281"/>
    </row>
    <row r="14" spans="1:12" x14ac:dyDescent="0.3">
      <c r="H14" s="278"/>
      <c r="I14" s="281"/>
    </row>
    <row r="15" spans="1:12" x14ac:dyDescent="0.3">
      <c r="H15" s="278"/>
      <c r="I15" s="281"/>
    </row>
    <row r="16" spans="1:12" x14ac:dyDescent="0.3">
      <c r="H16" s="278"/>
      <c r="I16" s="281"/>
    </row>
    <row r="17" spans="8:9" x14ac:dyDescent="0.3">
      <c r="H17" s="278"/>
      <c r="I17" s="281"/>
    </row>
    <row r="18" spans="8:9" x14ac:dyDescent="0.3">
      <c r="H18" s="279"/>
      <c r="I18" s="281"/>
    </row>
    <row r="19" spans="8:9" x14ac:dyDescent="0.3">
      <c r="I19" s="281"/>
    </row>
    <row r="20" spans="8:9" x14ac:dyDescent="0.3">
      <c r="I20" s="282"/>
    </row>
    <row r="23" spans="8:9" ht="14" x14ac:dyDescent="0.3">
      <c r="I23" s="50"/>
    </row>
    <row r="24" spans="8:9" ht="14" x14ac:dyDescent="0.3">
      <c r="I24" s="50"/>
    </row>
    <row r="25" spans="8:9" ht="14" x14ac:dyDescent="0.3">
      <c r="I25" s="50"/>
    </row>
    <row r="26" spans="8:9" ht="14" x14ac:dyDescent="0.3">
      <c r="I26" s="50"/>
    </row>
  </sheetData>
  <sheetProtection formatCells="0" formatColumns="0" formatRows="0"/>
  <mergeCells count="3">
    <mergeCell ref="A3:J3"/>
    <mergeCell ref="H11:H18"/>
    <mergeCell ref="I11: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EF9-C609-4FEA-8792-050D2DD22E64}">
  <sheetPr>
    <pageSetUpPr fitToPage="1"/>
  </sheetPr>
  <dimension ref="A1:Y106"/>
  <sheetViews>
    <sheetView zoomScale="60" zoomScaleNormal="60" workbookViewId="0">
      <pane ySplit="5" topLeftCell="A6" activePane="bottomLeft" state="frozen"/>
      <selection pane="bottomLeft" activeCell="R28" sqref="R28"/>
    </sheetView>
  </sheetViews>
  <sheetFormatPr defaultColWidth="9.1796875" defaultRowHeight="14" x14ac:dyDescent="0.25"/>
  <cols>
    <col min="1" max="2" width="13.26953125" style="76" customWidth="1"/>
    <col min="3" max="3" width="26.1796875" style="76" customWidth="1"/>
    <col min="4" max="4" width="11.1796875" style="76" customWidth="1"/>
    <col min="5" max="5" width="12.1796875" style="76" customWidth="1"/>
    <col min="6" max="6" width="14" style="76" customWidth="1"/>
    <col min="7" max="7" width="10.81640625" style="76" customWidth="1"/>
    <col min="8" max="8" width="9.81640625" style="76" customWidth="1"/>
    <col min="9" max="9" width="8.81640625" style="76" customWidth="1"/>
    <col min="10" max="10" width="10.54296875" style="76" customWidth="1"/>
    <col min="11" max="11" width="10.453125" style="76" customWidth="1"/>
    <col min="12" max="12" width="12.1796875" style="76" customWidth="1"/>
    <col min="13" max="13" width="9.81640625" style="76" customWidth="1"/>
    <col min="14" max="14" width="11.7265625" style="76" customWidth="1"/>
    <col min="15" max="15" width="12.7265625" style="76" customWidth="1"/>
    <col min="16" max="16" width="6.54296875" style="76" customWidth="1"/>
    <col min="17" max="17" width="7.7265625" style="76" customWidth="1"/>
    <col min="18" max="18" width="18" style="76" customWidth="1"/>
    <col min="19" max="19" width="15.54296875" style="76" customWidth="1"/>
    <col min="20" max="20" width="10.453125" style="76" customWidth="1"/>
    <col min="21" max="21" width="10.7265625" style="76" customWidth="1"/>
    <col min="22" max="22" width="14.1796875" style="76" customWidth="1"/>
    <col min="23" max="23" width="4.26953125" style="76" customWidth="1"/>
    <col min="24" max="24" width="12" style="76" customWidth="1"/>
    <col min="25" max="25" width="10.26953125" style="176" customWidth="1"/>
    <col min="26" max="16384" width="9.1796875" style="76"/>
  </cols>
  <sheetData>
    <row r="1" spans="1:25" ht="30" customHeight="1" x14ac:dyDescent="0.25">
      <c r="C1" s="256" t="s">
        <v>17</v>
      </c>
      <c r="D1" s="256"/>
      <c r="E1" s="15"/>
      <c r="S1" s="77"/>
    </row>
    <row r="2" spans="1:25" ht="19.5" customHeight="1" x14ac:dyDescent="0.25">
      <c r="A2" s="287" t="s">
        <v>94</v>
      </c>
      <c r="B2" s="287"/>
      <c r="C2" s="287"/>
      <c r="D2" s="287"/>
      <c r="E2" s="287"/>
      <c r="F2" s="287"/>
      <c r="G2" s="287"/>
      <c r="H2" s="287"/>
      <c r="I2" s="287"/>
      <c r="J2" s="287"/>
      <c r="K2" s="287"/>
      <c r="L2" s="287"/>
      <c r="M2" s="287"/>
      <c r="N2" s="287"/>
      <c r="O2" s="287"/>
      <c r="P2" s="287"/>
      <c r="Q2" s="287"/>
      <c r="R2" s="287"/>
      <c r="S2" s="287"/>
    </row>
    <row r="3" spans="1:25" ht="19.5" customHeight="1" x14ac:dyDescent="0.25">
      <c r="A3" s="78"/>
      <c r="B3" s="78"/>
      <c r="C3" s="79"/>
      <c r="D3" s="79"/>
      <c r="E3" s="79"/>
      <c r="F3" s="79"/>
      <c r="G3" s="79"/>
      <c r="H3" s="79"/>
      <c r="I3" s="79"/>
      <c r="J3" s="79"/>
      <c r="K3" s="79"/>
      <c r="L3" s="79"/>
      <c r="M3" s="79"/>
      <c r="N3" s="79"/>
      <c r="O3" s="79"/>
      <c r="P3" s="79"/>
      <c r="Q3" s="79"/>
      <c r="R3" s="79"/>
      <c r="S3" s="79"/>
    </row>
    <row r="4" spans="1:25" ht="19.5" customHeight="1" x14ac:dyDescent="0.25">
      <c r="T4" s="26"/>
      <c r="U4" s="26"/>
    </row>
    <row r="5" spans="1:25" ht="100.5" customHeight="1" x14ac:dyDescent="0.25">
      <c r="A5" s="11" t="s">
        <v>8</v>
      </c>
      <c r="B5" s="11" t="s">
        <v>44</v>
      </c>
      <c r="C5" s="11" t="s">
        <v>9</v>
      </c>
      <c r="D5" s="46" t="s">
        <v>45</v>
      </c>
      <c r="E5" s="46" t="s">
        <v>85</v>
      </c>
      <c r="F5" s="46" t="s">
        <v>46</v>
      </c>
      <c r="G5" s="46" t="s">
        <v>135</v>
      </c>
      <c r="H5" s="46" t="s">
        <v>47</v>
      </c>
      <c r="I5" s="46" t="s">
        <v>48</v>
      </c>
      <c r="J5" s="46" t="s">
        <v>49</v>
      </c>
      <c r="K5" s="46" t="s">
        <v>50</v>
      </c>
      <c r="L5" s="46" t="s">
        <v>51</v>
      </c>
      <c r="M5" s="46" t="s">
        <v>52</v>
      </c>
      <c r="N5" s="46" t="s">
        <v>53</v>
      </c>
      <c r="O5" s="46" t="s">
        <v>54</v>
      </c>
      <c r="P5" s="46" t="s">
        <v>55</v>
      </c>
      <c r="Q5" s="46" t="s">
        <v>56</v>
      </c>
      <c r="R5" s="46" t="s">
        <v>13</v>
      </c>
      <c r="S5" s="46" t="s">
        <v>6</v>
      </c>
      <c r="T5" s="120" t="s">
        <v>57</v>
      </c>
      <c r="U5" s="120" t="s">
        <v>58</v>
      </c>
      <c r="V5" s="12" t="s">
        <v>59</v>
      </c>
      <c r="X5" s="46" t="s">
        <v>136</v>
      </c>
      <c r="Y5" s="12" t="s">
        <v>15</v>
      </c>
    </row>
    <row r="6" spans="1:25" ht="15.5" x14ac:dyDescent="0.25">
      <c r="A6" s="180" t="str">
        <f>Greitis!A6</f>
        <v>XXXX-XX-XX</v>
      </c>
      <c r="B6" s="47" t="s">
        <v>137</v>
      </c>
      <c r="C6" s="257" t="str">
        <f>Greitis!C6</f>
        <v>XXXX</v>
      </c>
      <c r="D6" s="227">
        <v>1</v>
      </c>
      <c r="E6" s="228">
        <v>0.78500000000000003</v>
      </c>
      <c r="F6" s="181">
        <f>V9</f>
        <v>40</v>
      </c>
      <c r="G6" s="177">
        <f>Greitis!G6*129*(SQRT(X6*(273+F6)/(H6+I6)/Greitis!L6))</f>
        <v>4.1856303808885977</v>
      </c>
      <c r="H6" s="252">
        <f>Greitis!I6</f>
        <v>1000</v>
      </c>
      <c r="I6" s="253">
        <f>Greitis!J6</f>
        <v>1</v>
      </c>
      <c r="J6" s="231">
        <v>100</v>
      </c>
      <c r="K6" s="231">
        <v>7</v>
      </c>
      <c r="L6" s="51">
        <f>M6*N6/1000</f>
        <v>0.03</v>
      </c>
      <c r="M6" s="246">
        <v>3</v>
      </c>
      <c r="N6" s="230">
        <v>10</v>
      </c>
      <c r="O6" s="231">
        <v>10</v>
      </c>
      <c r="P6" s="183">
        <f>T9</f>
        <v>10</v>
      </c>
      <c r="Q6" s="183">
        <f>U9</f>
        <v>4</v>
      </c>
      <c r="R6" s="42" t="s">
        <v>137</v>
      </c>
      <c r="S6" s="80" t="s">
        <v>100</v>
      </c>
      <c r="T6" s="233">
        <v>10.02</v>
      </c>
      <c r="U6" s="233">
        <v>4.0999999999999996</v>
      </c>
      <c r="V6" s="229">
        <v>40.200000000000003</v>
      </c>
      <c r="X6" s="232">
        <f>Greitis!E6</f>
        <v>0.14000000000000001</v>
      </c>
      <c r="Y6" s="184">
        <f>Aerodinamika!K6</f>
        <v>1.0353315592397001</v>
      </c>
    </row>
    <row r="7" spans="1:25" x14ac:dyDescent="0.25">
      <c r="A7" s="36"/>
      <c r="B7" s="33"/>
      <c r="C7" s="258"/>
      <c r="D7" s="17"/>
      <c r="E7" s="18"/>
      <c r="F7" s="181">
        <f t="shared" ref="F7:K7" si="0">(F6)</f>
        <v>40</v>
      </c>
      <c r="G7" s="177">
        <f>Greitis!G7*129*(SQRT(X7*(273+F7)/(H7+I7)/Greitis!L7))</f>
        <v>4.1856303808885977</v>
      </c>
      <c r="H7" s="182">
        <f t="shared" si="0"/>
        <v>1000</v>
      </c>
      <c r="I7" s="183">
        <f t="shared" si="0"/>
        <v>1</v>
      </c>
      <c r="J7" s="231">
        <v>100</v>
      </c>
      <c r="K7" s="181">
        <f t="shared" si="0"/>
        <v>7</v>
      </c>
      <c r="L7" s="51">
        <f t="shared" ref="L7:L22" si="1">M7*N7/1000</f>
        <v>0.03</v>
      </c>
      <c r="M7" s="182">
        <f t="shared" ref="M7:M22" si="2">(M6)</f>
        <v>3</v>
      </c>
      <c r="N7" s="230">
        <v>10</v>
      </c>
      <c r="O7" s="231">
        <v>10</v>
      </c>
      <c r="P7" s="183">
        <f t="shared" ref="P7:Q7" si="3">(P6)</f>
        <v>10</v>
      </c>
      <c r="Q7" s="183">
        <f t="shared" si="3"/>
        <v>4</v>
      </c>
      <c r="R7" s="21"/>
      <c r="S7" s="81"/>
      <c r="T7" s="233">
        <v>9.98</v>
      </c>
      <c r="U7" s="233">
        <v>3.9</v>
      </c>
      <c r="V7" s="229">
        <v>39.799999999999997</v>
      </c>
      <c r="X7" s="232">
        <f>Greitis!E7</f>
        <v>0.14000000000000001</v>
      </c>
      <c r="Y7" s="184">
        <f>Aerodinamika!K7</f>
        <v>1.0353315592397001</v>
      </c>
    </row>
    <row r="8" spans="1:25" x14ac:dyDescent="0.25">
      <c r="A8" s="36"/>
      <c r="B8" s="33"/>
      <c r="C8" s="258"/>
      <c r="D8" s="17"/>
      <c r="E8" s="18"/>
      <c r="F8" s="181">
        <f t="shared" ref="F8" si="4">(F7)</f>
        <v>40</v>
      </c>
      <c r="G8" s="177">
        <f>Greitis!G8*129*(SQRT(X8*(273+F8)/(H8+I8)/Greitis!L8))</f>
        <v>4.1856303808885977</v>
      </c>
      <c r="H8" s="182">
        <f t="shared" ref="H8:K8" si="5">(H7)</f>
        <v>1000</v>
      </c>
      <c r="I8" s="183">
        <f t="shared" si="5"/>
        <v>1</v>
      </c>
      <c r="J8" s="231">
        <v>100</v>
      </c>
      <c r="K8" s="181">
        <f t="shared" si="5"/>
        <v>7</v>
      </c>
      <c r="L8" s="51">
        <f t="shared" si="1"/>
        <v>0.03</v>
      </c>
      <c r="M8" s="182">
        <f t="shared" si="2"/>
        <v>3</v>
      </c>
      <c r="N8" s="230">
        <v>10</v>
      </c>
      <c r="O8" s="231">
        <v>10</v>
      </c>
      <c r="P8" s="183">
        <f t="shared" ref="P8:Q8" si="6">(P7)</f>
        <v>10</v>
      </c>
      <c r="Q8" s="183">
        <f t="shared" si="6"/>
        <v>4</v>
      </c>
      <c r="R8" s="21"/>
      <c r="S8" s="81"/>
      <c r="T8" s="233">
        <v>10</v>
      </c>
      <c r="U8" s="233">
        <v>4</v>
      </c>
      <c r="V8" s="229">
        <v>40</v>
      </c>
      <c r="X8" s="232">
        <f>Greitis!E8</f>
        <v>0.14000000000000001</v>
      </c>
      <c r="Y8" s="184">
        <f>Aerodinamika!K8</f>
        <v>1.0353315592397001</v>
      </c>
    </row>
    <row r="9" spans="1:25" x14ac:dyDescent="0.25">
      <c r="A9" s="36"/>
      <c r="B9" s="33"/>
      <c r="C9" s="258"/>
      <c r="D9" s="82"/>
      <c r="E9" s="82"/>
      <c r="F9" s="181">
        <f t="shared" ref="F9" si="7">(F8)</f>
        <v>40</v>
      </c>
      <c r="G9" s="177">
        <f>Greitis!G9*129*(SQRT(X9*(273+F9)/(H9+I9)/Greitis!L9))</f>
        <v>4.1856303808885977</v>
      </c>
      <c r="H9" s="182">
        <f t="shared" ref="H9:K9" si="8">(H8)</f>
        <v>1000</v>
      </c>
      <c r="I9" s="183">
        <f t="shared" si="8"/>
        <v>1</v>
      </c>
      <c r="J9" s="231">
        <v>100</v>
      </c>
      <c r="K9" s="181">
        <f t="shared" si="8"/>
        <v>7</v>
      </c>
      <c r="L9" s="51">
        <f t="shared" si="1"/>
        <v>0.03</v>
      </c>
      <c r="M9" s="182">
        <f t="shared" si="2"/>
        <v>3</v>
      </c>
      <c r="N9" s="230">
        <v>10</v>
      </c>
      <c r="O9" s="231">
        <v>10</v>
      </c>
      <c r="P9" s="183">
        <f t="shared" ref="P9:Q9" si="9">(P8)</f>
        <v>10</v>
      </c>
      <c r="Q9" s="183">
        <f t="shared" si="9"/>
        <v>4</v>
      </c>
      <c r="R9" s="82"/>
      <c r="S9" s="82"/>
      <c r="T9" s="63">
        <f>AVERAGE(T6:T8)</f>
        <v>10</v>
      </c>
      <c r="U9" s="63">
        <f>AVERAGE(U6:U8)</f>
        <v>4</v>
      </c>
      <c r="V9" s="121">
        <f>AVERAGE(V6:V8)</f>
        <v>40</v>
      </c>
      <c r="X9" s="232">
        <f>Greitis!E9</f>
        <v>0.14000000000000001</v>
      </c>
      <c r="Y9" s="184">
        <f>Aerodinamika!K9</f>
        <v>1.0353315592397001</v>
      </c>
    </row>
    <row r="10" spans="1:25" x14ac:dyDescent="0.25">
      <c r="A10" s="82"/>
      <c r="B10" s="82"/>
      <c r="C10" s="258"/>
      <c r="D10" s="82"/>
      <c r="E10" s="82"/>
      <c r="F10" s="181">
        <f t="shared" ref="F10" si="10">(F9)</f>
        <v>40</v>
      </c>
      <c r="G10" s="177">
        <f>Greitis!G10*129*(SQRT(X10*(273+F10)/(H10+I10)/Greitis!L10))</f>
        <v>4.1856303808885977</v>
      </c>
      <c r="H10" s="182">
        <f t="shared" ref="H10:K10" si="11">(H9)</f>
        <v>1000</v>
      </c>
      <c r="I10" s="183">
        <f t="shared" si="11"/>
        <v>1</v>
      </c>
      <c r="J10" s="231">
        <v>100</v>
      </c>
      <c r="K10" s="181">
        <f t="shared" si="11"/>
        <v>7</v>
      </c>
      <c r="L10" s="51">
        <f t="shared" si="1"/>
        <v>0.03</v>
      </c>
      <c r="M10" s="182">
        <f t="shared" si="2"/>
        <v>3</v>
      </c>
      <c r="N10" s="230">
        <v>10</v>
      </c>
      <c r="O10" s="231">
        <v>10</v>
      </c>
      <c r="P10" s="183">
        <f t="shared" ref="P10:Q10" si="12">(P9)</f>
        <v>10</v>
      </c>
      <c r="Q10" s="183">
        <f t="shared" si="12"/>
        <v>4</v>
      </c>
      <c r="R10" s="82"/>
      <c r="S10" s="82"/>
      <c r="T10" s="284" t="s">
        <v>30</v>
      </c>
      <c r="U10" s="284" t="s">
        <v>31</v>
      </c>
      <c r="V10" s="283" t="s">
        <v>35</v>
      </c>
      <c r="X10" s="232">
        <f>Greitis!E10</f>
        <v>0.14000000000000001</v>
      </c>
      <c r="Y10" s="184">
        <f>Aerodinamika!K10</f>
        <v>1.0353315592397001</v>
      </c>
    </row>
    <row r="11" spans="1:25" x14ac:dyDescent="0.25">
      <c r="A11" s="82"/>
      <c r="B11" s="82"/>
      <c r="C11" s="258"/>
      <c r="D11" s="82"/>
      <c r="E11" s="82"/>
      <c r="F11" s="181">
        <f t="shared" ref="F11" si="13">(F10)</f>
        <v>40</v>
      </c>
      <c r="G11" s="177">
        <f>Greitis!G11*129*(SQRT(X11*(273+F11)/(H11+I11)/Greitis!L11))</f>
        <v>4.1856303808885977</v>
      </c>
      <c r="H11" s="182">
        <f t="shared" ref="H11:K11" si="14">(H10)</f>
        <v>1000</v>
      </c>
      <c r="I11" s="183">
        <f t="shared" si="14"/>
        <v>1</v>
      </c>
      <c r="J11" s="231">
        <v>100</v>
      </c>
      <c r="K11" s="181">
        <f t="shared" si="14"/>
        <v>7</v>
      </c>
      <c r="L11" s="51">
        <f t="shared" si="1"/>
        <v>0.03</v>
      </c>
      <c r="M11" s="182">
        <f t="shared" si="2"/>
        <v>3</v>
      </c>
      <c r="N11" s="230">
        <v>10</v>
      </c>
      <c r="O11" s="231">
        <v>10</v>
      </c>
      <c r="P11" s="183">
        <f t="shared" ref="P11:Q11" si="15">(P10)</f>
        <v>10</v>
      </c>
      <c r="Q11" s="183">
        <f t="shared" si="15"/>
        <v>4</v>
      </c>
      <c r="R11" s="82"/>
      <c r="S11" s="82"/>
      <c r="T11" s="285"/>
      <c r="U11" s="285"/>
      <c r="V11" s="283"/>
      <c r="X11" s="232">
        <f>Greitis!E11</f>
        <v>0.14000000000000001</v>
      </c>
      <c r="Y11" s="184">
        <f>Aerodinamika!K11</f>
        <v>1.0353315592397001</v>
      </c>
    </row>
    <row r="12" spans="1:25" x14ac:dyDescent="0.25">
      <c r="A12" s="82"/>
      <c r="B12" s="82"/>
      <c r="C12" s="258"/>
      <c r="D12" s="82"/>
      <c r="E12" s="82"/>
      <c r="F12" s="181">
        <f t="shared" ref="F12" si="16">(F11)</f>
        <v>40</v>
      </c>
      <c r="G12" s="177">
        <f>Greitis!G12*129*(SQRT(X12*(273+F12)/(H12+I12)/Greitis!L12))</f>
        <v>4.1856303808885977</v>
      </c>
      <c r="H12" s="182">
        <f t="shared" ref="H12:K12" si="17">(H11)</f>
        <v>1000</v>
      </c>
      <c r="I12" s="183">
        <f t="shared" si="17"/>
        <v>1</v>
      </c>
      <c r="J12" s="231">
        <v>100</v>
      </c>
      <c r="K12" s="181">
        <f t="shared" si="17"/>
        <v>7</v>
      </c>
      <c r="L12" s="51">
        <f t="shared" si="1"/>
        <v>0.03</v>
      </c>
      <c r="M12" s="182">
        <f t="shared" si="2"/>
        <v>3</v>
      </c>
      <c r="N12" s="230">
        <v>10</v>
      </c>
      <c r="O12" s="231">
        <v>10</v>
      </c>
      <c r="P12" s="183">
        <f t="shared" ref="P12:Q12" si="18">(P11)</f>
        <v>10</v>
      </c>
      <c r="Q12" s="183">
        <f t="shared" si="18"/>
        <v>4</v>
      </c>
      <c r="R12" s="82"/>
      <c r="S12" s="82"/>
      <c r="T12" s="286"/>
      <c r="U12" s="286"/>
      <c r="V12" s="283"/>
      <c r="X12" s="232">
        <f>Greitis!E12</f>
        <v>0.14000000000000001</v>
      </c>
      <c r="Y12" s="184">
        <f>Aerodinamika!K12</f>
        <v>1.0353315592397001</v>
      </c>
    </row>
    <row r="13" spans="1:25" x14ac:dyDescent="0.25">
      <c r="A13" s="82"/>
      <c r="B13" s="82"/>
      <c r="C13" s="258"/>
      <c r="D13" s="82"/>
      <c r="E13" s="82"/>
      <c r="F13" s="181">
        <f t="shared" ref="F13" si="19">(F12)</f>
        <v>40</v>
      </c>
      <c r="G13" s="177">
        <f>Greitis!G13*129*(SQRT(X13*(273+F13)/(H13+I13)/Greitis!L13))</f>
        <v>4.1856303808885977</v>
      </c>
      <c r="H13" s="182">
        <f t="shared" ref="H13:K13" si="20">(H12)</f>
        <v>1000</v>
      </c>
      <c r="I13" s="183">
        <f t="shared" si="20"/>
        <v>1</v>
      </c>
      <c r="J13" s="231">
        <v>100</v>
      </c>
      <c r="K13" s="181">
        <f t="shared" si="20"/>
        <v>7</v>
      </c>
      <c r="L13" s="51">
        <f t="shared" si="1"/>
        <v>0.03</v>
      </c>
      <c r="M13" s="182">
        <f t="shared" si="2"/>
        <v>3</v>
      </c>
      <c r="N13" s="230">
        <v>10</v>
      </c>
      <c r="O13" s="231">
        <v>10</v>
      </c>
      <c r="P13" s="183">
        <f t="shared" ref="P13:Q13" si="21">(P12)</f>
        <v>10</v>
      </c>
      <c r="Q13" s="183">
        <f t="shared" si="21"/>
        <v>4</v>
      </c>
      <c r="R13" s="82"/>
      <c r="S13" s="82"/>
      <c r="X13" s="232">
        <f>Greitis!E13</f>
        <v>0.14000000000000001</v>
      </c>
      <c r="Y13" s="184">
        <f>Aerodinamika!K13</f>
        <v>1.0353315592397001</v>
      </c>
    </row>
    <row r="14" spans="1:25" x14ac:dyDescent="0.25">
      <c r="A14" s="82"/>
      <c r="B14" s="82"/>
      <c r="C14" s="258"/>
      <c r="D14" s="82"/>
      <c r="E14" s="82"/>
      <c r="F14" s="181">
        <f t="shared" ref="F14" si="22">(F13)</f>
        <v>40</v>
      </c>
      <c r="G14" s="177">
        <f>Greitis!G14*129*(SQRT(X14*(273+F14)/(H14+I14)/Greitis!L14))</f>
        <v>4.1856303808885977</v>
      </c>
      <c r="H14" s="182">
        <f t="shared" ref="H14:K14" si="23">(H13)</f>
        <v>1000</v>
      </c>
      <c r="I14" s="183">
        <f t="shared" si="23"/>
        <v>1</v>
      </c>
      <c r="J14" s="231">
        <v>100</v>
      </c>
      <c r="K14" s="181">
        <f t="shared" si="23"/>
        <v>7</v>
      </c>
      <c r="L14" s="51">
        <f t="shared" si="1"/>
        <v>0.03</v>
      </c>
      <c r="M14" s="182">
        <f t="shared" si="2"/>
        <v>3</v>
      </c>
      <c r="N14" s="230">
        <v>10</v>
      </c>
      <c r="O14" s="231">
        <v>10</v>
      </c>
      <c r="P14" s="183">
        <f t="shared" ref="P14:Q14" si="24">(P13)</f>
        <v>10</v>
      </c>
      <c r="Q14" s="183">
        <f t="shared" si="24"/>
        <v>4</v>
      </c>
      <c r="R14" s="82"/>
      <c r="S14" s="82"/>
      <c r="X14" s="232">
        <f>Greitis!E14</f>
        <v>0.14000000000000001</v>
      </c>
      <c r="Y14" s="184">
        <f>Aerodinamika!K14</f>
        <v>1.0353315592397001</v>
      </c>
    </row>
    <row r="15" spans="1:25" x14ac:dyDescent="0.25">
      <c r="A15" s="82"/>
      <c r="B15" s="82"/>
      <c r="C15" s="258"/>
      <c r="D15" s="82"/>
      <c r="E15" s="82"/>
      <c r="F15" s="181">
        <f t="shared" ref="F15" si="25">(F14)</f>
        <v>40</v>
      </c>
      <c r="G15" s="177">
        <f>Greitis!G15*129*(SQRT(X15*(273+F15)/(H15+I15)/Greitis!L15))</f>
        <v>4.1856303808885977</v>
      </c>
      <c r="H15" s="182">
        <f t="shared" ref="H15:K15" si="26">(H14)</f>
        <v>1000</v>
      </c>
      <c r="I15" s="183">
        <f t="shared" si="26"/>
        <v>1</v>
      </c>
      <c r="J15" s="231">
        <v>100</v>
      </c>
      <c r="K15" s="181">
        <f t="shared" si="26"/>
        <v>7</v>
      </c>
      <c r="L15" s="51">
        <f t="shared" si="1"/>
        <v>0.03</v>
      </c>
      <c r="M15" s="182">
        <f t="shared" si="2"/>
        <v>3</v>
      </c>
      <c r="N15" s="230">
        <v>10</v>
      </c>
      <c r="O15" s="231">
        <v>10</v>
      </c>
      <c r="P15" s="183">
        <f t="shared" ref="P15:Q15" si="27">(P14)</f>
        <v>10</v>
      </c>
      <c r="Q15" s="183">
        <f t="shared" si="27"/>
        <v>4</v>
      </c>
      <c r="R15" s="82"/>
      <c r="S15" s="82"/>
      <c r="X15" s="232">
        <f>Greitis!E15</f>
        <v>0.14000000000000001</v>
      </c>
      <c r="Y15" s="184">
        <f>Aerodinamika!K15</f>
        <v>1.0353315592397001</v>
      </c>
    </row>
    <row r="16" spans="1:25" x14ac:dyDescent="0.25">
      <c r="A16" s="82"/>
      <c r="B16" s="82"/>
      <c r="C16" s="258"/>
      <c r="D16" s="82"/>
      <c r="E16" s="82"/>
      <c r="F16" s="181">
        <f t="shared" ref="F16" si="28">(F15)</f>
        <v>40</v>
      </c>
      <c r="G16" s="177">
        <f>Greitis!G16*129*(SQRT(X16*(273+F16)/(H16+I16)/Greitis!L16))</f>
        <v>4.1856303808885977</v>
      </c>
      <c r="H16" s="182">
        <f t="shared" ref="H16:K16" si="29">(H15)</f>
        <v>1000</v>
      </c>
      <c r="I16" s="183">
        <f t="shared" si="29"/>
        <v>1</v>
      </c>
      <c r="J16" s="231">
        <v>100</v>
      </c>
      <c r="K16" s="181">
        <f t="shared" si="29"/>
        <v>7</v>
      </c>
      <c r="L16" s="51">
        <f t="shared" si="1"/>
        <v>0.03</v>
      </c>
      <c r="M16" s="182">
        <f t="shared" si="2"/>
        <v>3</v>
      </c>
      <c r="N16" s="230">
        <v>10</v>
      </c>
      <c r="O16" s="231">
        <v>10</v>
      </c>
      <c r="P16" s="183">
        <f t="shared" ref="P16:Q16" si="30">(P15)</f>
        <v>10</v>
      </c>
      <c r="Q16" s="183">
        <f t="shared" si="30"/>
        <v>4</v>
      </c>
      <c r="R16" s="82"/>
      <c r="S16" s="82"/>
      <c r="X16" s="232">
        <f>Greitis!E16</f>
        <v>0.14000000000000001</v>
      </c>
      <c r="Y16" s="184">
        <f>Aerodinamika!K16</f>
        <v>1.0353315592397001</v>
      </c>
    </row>
    <row r="17" spans="1:25" x14ac:dyDescent="0.25">
      <c r="A17" s="82"/>
      <c r="B17" s="82"/>
      <c r="C17" s="258"/>
      <c r="D17" s="82"/>
      <c r="E17" s="82"/>
      <c r="F17" s="181">
        <f t="shared" ref="F17:F22" si="31">(F16)</f>
        <v>40</v>
      </c>
      <c r="G17" s="177">
        <f>Greitis!G17*129*(SQRT(X17*(273+F17)/(H17+I17)/Greitis!L17))</f>
        <v>4.1856303808885977</v>
      </c>
      <c r="H17" s="182">
        <f t="shared" ref="H17:K17" si="32">(H16)</f>
        <v>1000</v>
      </c>
      <c r="I17" s="183">
        <f t="shared" si="32"/>
        <v>1</v>
      </c>
      <c r="J17" s="231">
        <v>100</v>
      </c>
      <c r="K17" s="181">
        <f t="shared" si="32"/>
        <v>7</v>
      </c>
      <c r="L17" s="51">
        <f t="shared" si="1"/>
        <v>0.03</v>
      </c>
      <c r="M17" s="182">
        <f t="shared" si="2"/>
        <v>3</v>
      </c>
      <c r="N17" s="230">
        <v>10</v>
      </c>
      <c r="O17" s="231">
        <v>10</v>
      </c>
      <c r="P17" s="183">
        <f t="shared" ref="P17:Q17" si="33">(P16)</f>
        <v>10</v>
      </c>
      <c r="Q17" s="183">
        <f t="shared" si="33"/>
        <v>4</v>
      </c>
      <c r="R17" s="82"/>
      <c r="S17" s="82"/>
      <c r="X17" s="232">
        <f>Greitis!E17</f>
        <v>0.14000000000000001</v>
      </c>
      <c r="Y17" s="184">
        <f>Aerodinamika!K17</f>
        <v>1.0353315592397001</v>
      </c>
    </row>
    <row r="18" spans="1:25" x14ac:dyDescent="0.25">
      <c r="A18" s="82"/>
      <c r="B18" s="82"/>
      <c r="C18" s="258"/>
      <c r="D18" s="82"/>
      <c r="E18" s="82"/>
      <c r="F18" s="181">
        <f t="shared" si="31"/>
        <v>40</v>
      </c>
      <c r="G18" s="177">
        <f>Greitis!G18*129*(SQRT(X18*(273+F18)/(H18+I18)/Greitis!L18))</f>
        <v>4.1856303808885977</v>
      </c>
      <c r="H18" s="182">
        <f t="shared" ref="H18:I18" si="34">(H17)</f>
        <v>1000</v>
      </c>
      <c r="I18" s="183">
        <f t="shared" si="34"/>
        <v>1</v>
      </c>
      <c r="J18" s="231">
        <v>100</v>
      </c>
      <c r="K18" s="181">
        <f t="shared" ref="K18" si="35">(K17)</f>
        <v>7</v>
      </c>
      <c r="L18" s="51">
        <f t="shared" si="1"/>
        <v>0.03</v>
      </c>
      <c r="M18" s="182">
        <f t="shared" si="2"/>
        <v>3</v>
      </c>
      <c r="N18" s="230">
        <v>10</v>
      </c>
      <c r="O18" s="231">
        <v>10</v>
      </c>
      <c r="P18" s="183">
        <f t="shared" ref="P18:Q22" si="36">(P17)</f>
        <v>10</v>
      </c>
      <c r="Q18" s="183">
        <f t="shared" si="36"/>
        <v>4</v>
      </c>
      <c r="R18" s="82"/>
      <c r="S18" s="82"/>
      <c r="X18" s="232">
        <f>Greitis!E18</f>
        <v>0.14000000000000001</v>
      </c>
      <c r="Y18" s="184">
        <f>Aerodinamika!K18</f>
        <v>1.0353315592397001</v>
      </c>
    </row>
    <row r="19" spans="1:25" x14ac:dyDescent="0.25">
      <c r="A19" s="82"/>
      <c r="B19" s="82"/>
      <c r="C19" s="258"/>
      <c r="D19" s="82"/>
      <c r="E19" s="82"/>
      <c r="F19" s="181">
        <f t="shared" si="31"/>
        <v>40</v>
      </c>
      <c r="G19" s="177">
        <f>Greitis!G19*129*(SQRT(X19*(273+F19)/(H19+I19)/Greitis!L19))</f>
        <v>4.1856303808885977</v>
      </c>
      <c r="H19" s="182">
        <f t="shared" ref="H19:I19" si="37">(H18)</f>
        <v>1000</v>
      </c>
      <c r="I19" s="183">
        <f t="shared" si="37"/>
        <v>1</v>
      </c>
      <c r="J19" s="231">
        <v>100</v>
      </c>
      <c r="K19" s="181">
        <f t="shared" ref="K19" si="38">(K18)</f>
        <v>7</v>
      </c>
      <c r="L19" s="51">
        <f t="shared" si="1"/>
        <v>0.03</v>
      </c>
      <c r="M19" s="182">
        <f t="shared" si="2"/>
        <v>3</v>
      </c>
      <c r="N19" s="230">
        <v>10</v>
      </c>
      <c r="O19" s="231">
        <v>10</v>
      </c>
      <c r="P19" s="183">
        <f t="shared" si="36"/>
        <v>10</v>
      </c>
      <c r="Q19" s="183">
        <f t="shared" si="36"/>
        <v>4</v>
      </c>
      <c r="R19" s="82"/>
      <c r="S19" s="82"/>
      <c r="X19" s="232">
        <f>Greitis!E19</f>
        <v>0.14000000000000001</v>
      </c>
      <c r="Y19" s="184">
        <f>Aerodinamika!K19</f>
        <v>1.0353315592397001</v>
      </c>
    </row>
    <row r="20" spans="1:25" x14ac:dyDescent="0.25">
      <c r="A20" s="82"/>
      <c r="B20" s="82"/>
      <c r="C20" s="258"/>
      <c r="D20" s="82"/>
      <c r="E20" s="82"/>
      <c r="F20" s="181">
        <f t="shared" si="31"/>
        <v>40</v>
      </c>
      <c r="G20" s="177">
        <f>Greitis!G20*129*(SQRT(X20*(273+F20)/(H20+I20)/Greitis!L20))</f>
        <v>4.1856303808885977</v>
      </c>
      <c r="H20" s="182">
        <f t="shared" ref="H20:I20" si="39">(H19)</f>
        <v>1000</v>
      </c>
      <c r="I20" s="183">
        <f t="shared" si="39"/>
        <v>1</v>
      </c>
      <c r="J20" s="231">
        <v>100</v>
      </c>
      <c r="K20" s="181">
        <f t="shared" ref="K20" si="40">(K19)</f>
        <v>7</v>
      </c>
      <c r="L20" s="51">
        <f t="shared" si="1"/>
        <v>0.03</v>
      </c>
      <c r="M20" s="182">
        <f t="shared" si="2"/>
        <v>3</v>
      </c>
      <c r="N20" s="230">
        <v>10</v>
      </c>
      <c r="O20" s="231">
        <v>10</v>
      </c>
      <c r="P20" s="183">
        <f t="shared" si="36"/>
        <v>10</v>
      </c>
      <c r="Q20" s="183">
        <f t="shared" si="36"/>
        <v>4</v>
      </c>
      <c r="R20" s="82"/>
      <c r="S20" s="82"/>
      <c r="X20" s="232">
        <f>Greitis!E20</f>
        <v>0.14000000000000001</v>
      </c>
      <c r="Y20" s="184">
        <f>Aerodinamika!K20</f>
        <v>1.0353315592397001</v>
      </c>
    </row>
    <row r="21" spans="1:25" x14ac:dyDescent="0.25">
      <c r="A21" s="82"/>
      <c r="B21" s="82"/>
      <c r="C21" s="258"/>
      <c r="D21" s="82"/>
      <c r="E21" s="82"/>
      <c r="F21" s="181">
        <f t="shared" si="31"/>
        <v>40</v>
      </c>
      <c r="G21" s="177">
        <f>Greitis!G21*129*(SQRT(X21*(273+F21)/(H21+I21)/Greitis!L21))</f>
        <v>4.1856303808885977</v>
      </c>
      <c r="H21" s="182">
        <f t="shared" ref="H21:I21" si="41">(H20)</f>
        <v>1000</v>
      </c>
      <c r="I21" s="183">
        <f t="shared" si="41"/>
        <v>1</v>
      </c>
      <c r="J21" s="231">
        <v>100</v>
      </c>
      <c r="K21" s="181">
        <f t="shared" ref="K21" si="42">(K20)</f>
        <v>7</v>
      </c>
      <c r="L21" s="51">
        <f t="shared" si="1"/>
        <v>0.03</v>
      </c>
      <c r="M21" s="182">
        <f t="shared" si="2"/>
        <v>3</v>
      </c>
      <c r="N21" s="230">
        <v>10</v>
      </c>
      <c r="O21" s="231">
        <v>10</v>
      </c>
      <c r="P21" s="183">
        <f t="shared" si="36"/>
        <v>10</v>
      </c>
      <c r="Q21" s="183">
        <f t="shared" si="36"/>
        <v>4</v>
      </c>
      <c r="R21" s="82"/>
      <c r="S21" s="82"/>
      <c r="X21" s="232">
        <f>Greitis!E21</f>
        <v>0.14000000000000001</v>
      </c>
      <c r="Y21" s="184">
        <f>Aerodinamika!K21</f>
        <v>1.0353315592397001</v>
      </c>
    </row>
    <row r="22" spans="1:25" x14ac:dyDescent="0.25">
      <c r="A22" s="83"/>
      <c r="B22" s="83"/>
      <c r="C22" s="259"/>
      <c r="D22" s="83"/>
      <c r="E22" s="83"/>
      <c r="F22" s="181">
        <f t="shared" si="31"/>
        <v>40</v>
      </c>
      <c r="G22" s="177">
        <f>Greitis!G22*129*(SQRT(X22*(273+F22)/(H22+I22)/Greitis!L22))</f>
        <v>4.1856303808885977</v>
      </c>
      <c r="H22" s="182">
        <f t="shared" ref="H22:I22" si="43">(H21)</f>
        <v>1000</v>
      </c>
      <c r="I22" s="183">
        <f t="shared" si="43"/>
        <v>1</v>
      </c>
      <c r="J22" s="231">
        <v>100</v>
      </c>
      <c r="K22" s="181">
        <f t="shared" ref="K22" si="44">(K21)</f>
        <v>7</v>
      </c>
      <c r="L22" s="51">
        <f t="shared" si="1"/>
        <v>0.03</v>
      </c>
      <c r="M22" s="182">
        <f t="shared" si="2"/>
        <v>3</v>
      </c>
      <c r="N22" s="230">
        <v>10</v>
      </c>
      <c r="O22" s="231">
        <v>10</v>
      </c>
      <c r="P22" s="183">
        <f t="shared" si="36"/>
        <v>10</v>
      </c>
      <c r="Q22" s="183">
        <f t="shared" si="36"/>
        <v>4</v>
      </c>
      <c r="R22" s="83"/>
      <c r="S22" s="83"/>
      <c r="X22" s="232">
        <f>Greitis!E22</f>
        <v>0.14000000000000001</v>
      </c>
      <c r="Y22" s="184">
        <f>Aerodinamika!K22</f>
        <v>1.0353315592397001</v>
      </c>
    </row>
    <row r="23" spans="1:25" ht="21.75" customHeight="1" x14ac:dyDescent="0.25">
      <c r="L23" s="75">
        <f>SUM(L6:L22)</f>
        <v>0.51000000000000023</v>
      </c>
      <c r="M23" s="116">
        <f>SUM(M6:M22)</f>
        <v>51</v>
      </c>
      <c r="N23" s="116">
        <f>AVERAGE(N6:N22)</f>
        <v>10</v>
      </c>
    </row>
    <row r="24" spans="1:25" ht="29.25" customHeight="1" x14ac:dyDescent="0.25">
      <c r="L24" s="84" t="s">
        <v>27</v>
      </c>
      <c r="M24" s="43" t="s">
        <v>93</v>
      </c>
      <c r="N24" s="43" t="s">
        <v>130</v>
      </c>
    </row>
    <row r="33" ht="15" customHeight="1" x14ac:dyDescent="0.25"/>
    <row r="103" spans="1:2" x14ac:dyDescent="0.25">
      <c r="A103" s="85"/>
      <c r="B103" s="85"/>
    </row>
    <row r="104" spans="1:2" x14ac:dyDescent="0.25">
      <c r="A104" s="85"/>
      <c r="B104" s="85"/>
    </row>
    <row r="105" spans="1:2" x14ac:dyDescent="0.25">
      <c r="A105" s="85"/>
      <c r="B105" s="85"/>
    </row>
    <row r="106" spans="1:2" x14ac:dyDescent="0.25">
      <c r="A106" s="85"/>
      <c r="B106" s="85"/>
    </row>
  </sheetData>
  <sheetProtection algorithmName="SHA-512" hashValue="CuBTSn2ej1f9AM9nTfm26vjnN8hkdwFikmQ2FiXHpyc5JT+bywAxvTcRgkLrqZ4sAexbnIS8Ur9AAv3FDA3hhA==" saltValue="fgps3x+OJmzMfjX0cPVOOQ==" spinCount="100000" sheet="1" formatCells="0" formatColumns="0" formatRows="0"/>
  <mergeCells count="6">
    <mergeCell ref="V10:V12"/>
    <mergeCell ref="T10:T12"/>
    <mergeCell ref="U10:U12"/>
    <mergeCell ref="C1:D1"/>
    <mergeCell ref="A2:S2"/>
    <mergeCell ref="C6:C22"/>
  </mergeCells>
  <phoneticPr fontId="7" type="noConversion"/>
  <pageMargins left="0.19685039370078741" right="0" top="0.74803149606299213" bottom="0.35433070866141736" header="0.31496062992125984" footer="0.31496062992125984"/>
  <pageSetup paperSize="9" scale="66" fitToHeight="0" orientation="landscape" r:id="rId1"/>
  <headerFooter alignWithMargins="0">
    <oddFooter>&amp;CPuslapių &amp;P &amp;R&amp;"Times New Roman,Paryškintasis"E5-5_02         
2022-02-01, EV</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31F6-8C82-4AF8-AAFE-FF13BB3E8970}">
  <sheetPr codeName="Lapas3">
    <pageSetUpPr fitToPage="1"/>
  </sheetPr>
  <dimension ref="A1:Q300"/>
  <sheetViews>
    <sheetView zoomScale="50" zoomScaleNormal="50" workbookViewId="0">
      <pane ySplit="5" topLeftCell="A6" activePane="bottomLeft" state="frozen"/>
      <selection pane="bottomLeft" activeCell="H6" sqref="H6"/>
    </sheetView>
  </sheetViews>
  <sheetFormatPr defaultColWidth="9.1796875" defaultRowHeight="14" outlineLevelCol="1" x14ac:dyDescent="0.3"/>
  <cols>
    <col min="1" max="1" width="11.26953125" style="14" customWidth="1"/>
    <col min="2" max="2" width="13.26953125" style="14" customWidth="1"/>
    <col min="3" max="3" width="20.81640625" style="14" customWidth="1"/>
    <col min="4" max="4" width="12" style="14" customWidth="1"/>
    <col min="5" max="5" width="13.54296875" style="14" customWidth="1"/>
    <col min="6" max="6" width="15.81640625" style="14" customWidth="1"/>
    <col min="7" max="7" width="13.54296875" style="14" customWidth="1"/>
    <col min="8" max="8" width="10.453125" style="14" customWidth="1"/>
    <col min="9" max="9" width="12.1796875" style="14" customWidth="1" outlineLevel="1"/>
    <col min="10" max="10" width="10" style="14" customWidth="1" outlineLevel="1"/>
    <col min="11" max="12" width="10.26953125" style="14" customWidth="1"/>
    <col min="13" max="13" width="17" style="14" customWidth="1"/>
    <col min="14" max="14" width="16" style="14" customWidth="1"/>
    <col min="15" max="16384" width="9.1796875" style="14"/>
  </cols>
  <sheetData>
    <row r="1" spans="1:17" ht="30.75" customHeight="1" x14ac:dyDescent="0.3">
      <c r="C1" s="256" t="s">
        <v>18</v>
      </c>
      <c r="D1" s="256"/>
      <c r="Q1" s="16"/>
    </row>
    <row r="2" spans="1:17" ht="19.5" customHeight="1" x14ac:dyDescent="0.3">
      <c r="C2" s="255" t="s">
        <v>95</v>
      </c>
      <c r="D2" s="255"/>
      <c r="E2" s="255"/>
      <c r="F2" s="255"/>
      <c r="G2" s="255"/>
      <c r="H2" s="255"/>
      <c r="I2" s="255"/>
      <c r="J2" s="255"/>
      <c r="K2" s="255"/>
      <c r="L2" s="255"/>
      <c r="M2" s="255"/>
      <c r="Q2" s="16"/>
    </row>
    <row r="3" spans="1:17" ht="12" customHeight="1" x14ac:dyDescent="0.3">
      <c r="C3" s="22"/>
      <c r="H3" s="23"/>
      <c r="Q3" s="16"/>
    </row>
    <row r="4" spans="1:17" ht="8.25" customHeight="1" x14ac:dyDescent="0.3"/>
    <row r="5" spans="1:17" ht="126.75" customHeight="1" x14ac:dyDescent="0.3">
      <c r="A5" s="86" t="s">
        <v>8</v>
      </c>
      <c r="B5" s="86" t="s">
        <v>60</v>
      </c>
      <c r="C5" s="86" t="s">
        <v>9</v>
      </c>
      <c r="D5" s="12" t="s">
        <v>61</v>
      </c>
      <c r="E5" s="12" t="s">
        <v>62</v>
      </c>
      <c r="F5" s="12" t="s">
        <v>63</v>
      </c>
      <c r="G5" s="12" t="s">
        <v>64</v>
      </c>
      <c r="H5" s="12" t="s">
        <v>65</v>
      </c>
      <c r="I5" s="12" t="s">
        <v>66</v>
      </c>
      <c r="J5" s="12" t="s">
        <v>67</v>
      </c>
      <c r="K5" s="12" t="s">
        <v>15</v>
      </c>
      <c r="L5" s="12" t="s">
        <v>16</v>
      </c>
      <c r="M5" s="12" t="s">
        <v>12</v>
      </c>
      <c r="N5" s="48" t="s">
        <v>6</v>
      </c>
    </row>
    <row r="6" spans="1:17" ht="15" customHeight="1" x14ac:dyDescent="0.3">
      <c r="A6" s="185" t="str">
        <f>Paėmimas!A6</f>
        <v>XXXX-XX-XX</v>
      </c>
      <c r="B6" s="186" t="str">
        <f>Paėmimas!B6</f>
        <v>XX</v>
      </c>
      <c r="C6" s="257" t="str">
        <f>Paėmimas!C6</f>
        <v>XXXX</v>
      </c>
      <c r="D6" s="187">
        <f>Paėmimas!L6</f>
        <v>0.03</v>
      </c>
      <c r="E6" s="61">
        <f>D6*(273/(273+Paėmimas!O6)*(Paėmimas!H6-Paėmimas!J6)/1013)</f>
        <v>2.5711684497294881E-2</v>
      </c>
      <c r="F6" s="62">
        <f>SUM(E6:E22)</f>
        <v>0.43709863645401298</v>
      </c>
      <c r="G6" s="60">
        <f>((Paėmimas!Q6/100)*1.965)+((Paėmimas!P6/100)*1.429)+((1-(Paėmimas!Q6/100)-(Paėmimas!P6/100))*1.251)</f>
        <v>1.2973599999999998</v>
      </c>
      <c r="H6" s="187">
        <f>H2O!K7</f>
        <v>6.3521730209331739</v>
      </c>
      <c r="I6" s="51">
        <f>(E6/(1-(H6/1000))*((273+Paėmimas!F6)/273)*(1013/(Paėmimas!H6+Paėmimas!I6)))</f>
        <v>3.0023070190737765E-2</v>
      </c>
      <c r="J6" s="51">
        <f>(I6/(Paėmimas!M6*60)/((3.142*((Paėmimas!K6/1000)*(Paėmimas!K6/1000))/4)))</f>
        <v>4.3335152286464513</v>
      </c>
      <c r="K6" s="63">
        <f>J6/Paėmimas!G6</f>
        <v>1.0353315592397001</v>
      </c>
      <c r="L6" s="64">
        <f>AVERAGE(K6:K22)</f>
        <v>1.0353315592397005</v>
      </c>
      <c r="M6" s="188" t="str">
        <f>Paėmimas!R6</f>
        <v>XX</v>
      </c>
      <c r="N6" s="189" t="str">
        <f>Paėmimas!S6</f>
        <v>1 linija, 1 filtras</v>
      </c>
    </row>
    <row r="7" spans="1:17" ht="15" customHeight="1" x14ac:dyDescent="0.3">
      <c r="A7" s="52"/>
      <c r="B7" s="21"/>
      <c r="C7" s="258"/>
      <c r="D7" s="187">
        <f>Paėmimas!L7</f>
        <v>0.03</v>
      </c>
      <c r="E7" s="61">
        <f>D7*(273/(273+Paėmimas!O7)*(Paėmimas!H7-Paėmimas!J7)/1013)</f>
        <v>2.5711684497294881E-2</v>
      </c>
      <c r="F7" s="53"/>
      <c r="G7" s="60">
        <f>((Paėmimas!Q7/100)*1.965)+((Paėmimas!P7/100)*1.429)+((1-(Paėmimas!Q7/100)-(Paėmimas!P7/100))*1.251)</f>
        <v>1.2973599999999998</v>
      </c>
      <c r="H7" s="187">
        <f>H2O!K7</f>
        <v>6.3521730209331739</v>
      </c>
      <c r="I7" s="51">
        <f>(E7/(1-(H7/1000))*((273+Paėmimas!F7)/273)*(1013/(Paėmimas!H7+Paėmimas!I7)))</f>
        <v>3.0023070190737765E-2</v>
      </c>
      <c r="J7" s="51">
        <f>(I7/(Paėmimas!M7*60)/((3.142*((Paėmimas!K7/1000)*(Paėmimas!K7/1000))/4)))</f>
        <v>4.3335152286464513</v>
      </c>
      <c r="K7" s="63">
        <f>J7/Paėmimas!G7</f>
        <v>1.0353315592397001</v>
      </c>
      <c r="L7" s="17"/>
      <c r="M7" s="53"/>
      <c r="N7" s="33"/>
    </row>
    <row r="8" spans="1:17" ht="15" customHeight="1" x14ac:dyDescent="0.3">
      <c r="A8" s="52"/>
      <c r="B8" s="21"/>
      <c r="C8" s="258"/>
      <c r="D8" s="187">
        <f>Paėmimas!L8</f>
        <v>0.03</v>
      </c>
      <c r="E8" s="61">
        <f>D8*(273/(273+Paėmimas!O8)*(Paėmimas!H8-Paėmimas!J8)/1013)</f>
        <v>2.5711684497294881E-2</v>
      </c>
      <c r="F8" s="53"/>
      <c r="G8" s="60">
        <f>((Paėmimas!Q8/100)*1.965)+((Paėmimas!P8/100)*1.429)+((1-(Paėmimas!Q8/100)-(Paėmimas!P8/100))*1.251)</f>
        <v>1.2973599999999998</v>
      </c>
      <c r="H8" s="187">
        <f>H2O!K7</f>
        <v>6.3521730209331739</v>
      </c>
      <c r="I8" s="51">
        <f>(E8/(1-(H8/1000))*((273+Paėmimas!F8)/273)*(1013/(Paėmimas!H8+Paėmimas!I8)))</f>
        <v>3.0023070190737765E-2</v>
      </c>
      <c r="J8" s="51">
        <f>(I8/(Paėmimas!M8*60)/((3.142*((Paėmimas!K8/1000)*(Paėmimas!K8/1000))/4)))</f>
        <v>4.3335152286464513</v>
      </c>
      <c r="K8" s="63">
        <f>J8/Paėmimas!G8</f>
        <v>1.0353315592397001</v>
      </c>
      <c r="L8" s="17"/>
      <c r="M8" s="53"/>
      <c r="N8" s="33"/>
    </row>
    <row r="9" spans="1:17" ht="15" customHeight="1" x14ac:dyDescent="0.3">
      <c r="A9" s="52"/>
      <c r="B9" s="21"/>
      <c r="C9" s="258"/>
      <c r="D9" s="187">
        <f>Paėmimas!L9</f>
        <v>0.03</v>
      </c>
      <c r="E9" s="61">
        <f>D9*(273/(273+Paėmimas!O9)*(Paėmimas!H9-Paėmimas!J9)/1013)</f>
        <v>2.5711684497294881E-2</v>
      </c>
      <c r="F9" s="53"/>
      <c r="G9" s="60">
        <f>((Paėmimas!Q9/100)*1.965)+((Paėmimas!P9/100)*1.429)+((1-(Paėmimas!Q9/100)-(Paėmimas!P9/100))*1.251)</f>
        <v>1.2973599999999998</v>
      </c>
      <c r="H9" s="187">
        <f>H2O!K7</f>
        <v>6.3521730209331739</v>
      </c>
      <c r="I9" s="51">
        <f>(E9/(1-(H9/1000))*((273+Paėmimas!F9)/273)*(1013/(Paėmimas!H9+Paėmimas!I9)))</f>
        <v>3.0023070190737765E-2</v>
      </c>
      <c r="J9" s="51">
        <f>(I9/(Paėmimas!M9*60)/((3.142*((Paėmimas!K9/1000)*(Paėmimas!K9/1000))/4)))</f>
        <v>4.3335152286464513</v>
      </c>
      <c r="K9" s="63">
        <f>J9/Paėmimas!G9</f>
        <v>1.0353315592397001</v>
      </c>
      <c r="L9" s="17"/>
      <c r="M9" s="53"/>
      <c r="N9" s="33"/>
    </row>
    <row r="10" spans="1:17" ht="15" customHeight="1" x14ac:dyDescent="0.3">
      <c r="A10" s="52"/>
      <c r="B10" s="21"/>
      <c r="C10" s="258"/>
      <c r="D10" s="187">
        <f>Paėmimas!L10</f>
        <v>0.03</v>
      </c>
      <c r="E10" s="61">
        <f>D10*(273/(273+Paėmimas!O10)*(Paėmimas!H10-Paėmimas!J10)/1013)</f>
        <v>2.5711684497294881E-2</v>
      </c>
      <c r="F10" s="53"/>
      <c r="G10" s="60">
        <f>((Paėmimas!Q10/100)*1.965)+((Paėmimas!P10/100)*1.429)+((1-(Paėmimas!Q10/100)-(Paėmimas!P10/100))*1.251)</f>
        <v>1.2973599999999998</v>
      </c>
      <c r="H10" s="187">
        <f>H2O!K7</f>
        <v>6.3521730209331739</v>
      </c>
      <c r="I10" s="51">
        <f>(E10/(1-(H10/1000))*((273+Paėmimas!F10)/273)*(1013/(Paėmimas!H10+Paėmimas!I10)))</f>
        <v>3.0023070190737765E-2</v>
      </c>
      <c r="J10" s="51">
        <f>(I10/(Paėmimas!M10*60)/((3.142*((Paėmimas!K10/1000)*(Paėmimas!K10/1000))/4)))</f>
        <v>4.3335152286464513</v>
      </c>
      <c r="K10" s="63">
        <f>J10/Paėmimas!G10</f>
        <v>1.0353315592397001</v>
      </c>
      <c r="L10" s="17"/>
      <c r="M10" s="53"/>
      <c r="N10" s="33"/>
    </row>
    <row r="11" spans="1:17" ht="15" customHeight="1" x14ac:dyDescent="0.3">
      <c r="A11" s="52"/>
      <c r="B11" s="21"/>
      <c r="C11" s="258"/>
      <c r="D11" s="187">
        <f>Paėmimas!L11</f>
        <v>0.03</v>
      </c>
      <c r="E11" s="61">
        <f>D11*(273/(273+Paėmimas!O11)*(Paėmimas!H11-Paėmimas!J11)/1013)</f>
        <v>2.5711684497294881E-2</v>
      </c>
      <c r="F11" s="53"/>
      <c r="G11" s="60">
        <f>((Paėmimas!Q11/100)*1.965)+((Paėmimas!P11/100)*1.429)+((1-(Paėmimas!Q11/100)-(Paėmimas!P11/100))*1.251)</f>
        <v>1.2973599999999998</v>
      </c>
      <c r="H11" s="187">
        <f>H2O!K7</f>
        <v>6.3521730209331739</v>
      </c>
      <c r="I11" s="51">
        <f>(E11/(1-(H11/1000))*((273+Paėmimas!F11)/273)*(1013/(Paėmimas!H11+Paėmimas!I11)))</f>
        <v>3.0023070190737765E-2</v>
      </c>
      <c r="J11" s="51">
        <f>(I11/(Paėmimas!M11*60)/((3.142*((Paėmimas!K11/1000)*(Paėmimas!K11/1000))/4)))</f>
        <v>4.3335152286464513</v>
      </c>
      <c r="K11" s="63">
        <f>J11/Paėmimas!G11</f>
        <v>1.0353315592397001</v>
      </c>
      <c r="L11" s="17"/>
      <c r="M11" s="53"/>
      <c r="N11" s="33"/>
    </row>
    <row r="12" spans="1:17" ht="15" customHeight="1" thickBot="1" x14ac:dyDescent="0.35">
      <c r="A12" s="52"/>
      <c r="B12" s="21"/>
      <c r="C12" s="258"/>
      <c r="D12" s="187">
        <f>Paėmimas!L12</f>
        <v>0.03</v>
      </c>
      <c r="E12" s="61">
        <f>D12*(273/(273+Paėmimas!O12)*(Paėmimas!H12-Paėmimas!J12)/1013)</f>
        <v>2.5711684497294881E-2</v>
      </c>
      <c r="F12" s="53"/>
      <c r="G12" s="60">
        <f>((Paėmimas!Q12/100)*1.965)+((Paėmimas!P12/100)*1.429)+((1-(Paėmimas!Q12/100)-(Paėmimas!P12/100))*1.251)</f>
        <v>1.2973599999999998</v>
      </c>
      <c r="H12" s="187">
        <f>H2O!K7</f>
        <v>6.3521730209331739</v>
      </c>
      <c r="I12" s="51">
        <f>(E12/(1-(H12/1000))*((273+Paėmimas!F12)/273)*(1013/(Paėmimas!H12+Paėmimas!I12)))</f>
        <v>3.0023070190737765E-2</v>
      </c>
      <c r="J12" s="51">
        <f>(I12/(Paėmimas!M12*60)/((3.142*((Paėmimas!K12/1000)*(Paėmimas!K12/1000))/4)))</f>
        <v>4.3335152286464513</v>
      </c>
      <c r="K12" s="63">
        <f>J12/Paėmimas!G12</f>
        <v>1.0353315592397001</v>
      </c>
      <c r="L12" s="17"/>
      <c r="M12" s="53"/>
      <c r="N12" s="33"/>
    </row>
    <row r="13" spans="1:17" ht="15" customHeight="1" x14ac:dyDescent="0.3">
      <c r="A13" s="52"/>
      <c r="B13" s="21"/>
      <c r="C13" s="258"/>
      <c r="D13" s="187">
        <f>Paėmimas!L13</f>
        <v>0.03</v>
      </c>
      <c r="E13" s="61">
        <f>D13*(273/(273+Paėmimas!O13)*(Paėmimas!H13-Paėmimas!J13)/1013)</f>
        <v>2.5711684497294881E-2</v>
      </c>
      <c r="F13" s="53"/>
      <c r="G13" s="60">
        <f>((Paėmimas!Q13/100)*1.965)+((Paėmimas!P13/100)*1.429)+((1-(Paėmimas!Q13/100)-(Paėmimas!P13/100))*1.251)</f>
        <v>1.2973599999999998</v>
      </c>
      <c r="H13" s="187">
        <f>H2O!K7</f>
        <v>6.3521730209331739</v>
      </c>
      <c r="I13" s="51">
        <f>(E13/(1-(H13/1000))*((273+Paėmimas!F13)/273)*(1013/(Paėmimas!H13+Paėmimas!I13)))</f>
        <v>3.0023070190737765E-2</v>
      </c>
      <c r="J13" s="51">
        <f>(I13/(Paėmimas!M13*60)/((3.142*((Paėmimas!K13/1000)*(Paėmimas!K13/1000))/4)))</f>
        <v>4.3335152286464513</v>
      </c>
      <c r="K13" s="63">
        <f>J13/Paėmimas!G13</f>
        <v>1.0353315592397001</v>
      </c>
      <c r="L13" s="17"/>
      <c r="M13" s="53"/>
      <c r="N13" s="33"/>
    </row>
    <row r="14" spans="1:17" ht="15" customHeight="1" x14ac:dyDescent="0.3">
      <c r="A14" s="52"/>
      <c r="B14" s="21"/>
      <c r="C14" s="258"/>
      <c r="D14" s="187">
        <f>Paėmimas!L14</f>
        <v>0.03</v>
      </c>
      <c r="E14" s="61">
        <f>D14*(273/(273+Paėmimas!O14)*(Paėmimas!H14-Paėmimas!J14)/1013)</f>
        <v>2.5711684497294881E-2</v>
      </c>
      <c r="F14" s="53"/>
      <c r="G14" s="60">
        <f>((Paėmimas!Q14/100)*1.965)+((Paėmimas!P14/100)*1.429)+((1-(Paėmimas!Q14/100)-(Paėmimas!P14/100))*1.251)</f>
        <v>1.2973599999999998</v>
      </c>
      <c r="H14" s="187">
        <f>H2O!K7</f>
        <v>6.3521730209331739</v>
      </c>
      <c r="I14" s="51">
        <f>(E14/(1-(H14/1000))*((273+Paėmimas!F14)/273)*(1013/(Paėmimas!H14+Paėmimas!I14)))</f>
        <v>3.0023070190737765E-2</v>
      </c>
      <c r="J14" s="51">
        <f>(I14/(Paėmimas!M14*60)/((3.142*((Paėmimas!K14/1000)*(Paėmimas!K14/1000))/4)))</f>
        <v>4.3335152286464513</v>
      </c>
      <c r="K14" s="63">
        <f>J14/Paėmimas!G14</f>
        <v>1.0353315592397001</v>
      </c>
      <c r="L14" s="17"/>
      <c r="M14" s="53"/>
      <c r="N14" s="33"/>
    </row>
    <row r="15" spans="1:17" ht="15" customHeight="1" x14ac:dyDescent="0.3">
      <c r="A15" s="52"/>
      <c r="B15" s="21"/>
      <c r="C15" s="258"/>
      <c r="D15" s="187">
        <f>Paėmimas!L15</f>
        <v>0.03</v>
      </c>
      <c r="E15" s="61">
        <f>D15*(273/(273+Paėmimas!O15)*(Paėmimas!H15-Paėmimas!J15)/1013)</f>
        <v>2.5711684497294881E-2</v>
      </c>
      <c r="F15" s="53"/>
      <c r="G15" s="60">
        <f>((Paėmimas!Q15/100)*1.965)+((Paėmimas!P15/100)*1.429)+((1-(Paėmimas!Q15/100)-(Paėmimas!P15/100))*1.251)</f>
        <v>1.2973599999999998</v>
      </c>
      <c r="H15" s="187">
        <f>H2O!K7</f>
        <v>6.3521730209331739</v>
      </c>
      <c r="I15" s="51">
        <f>(E15/(1-(H15/1000))*((273+Paėmimas!F15)/273)*(1013/(Paėmimas!H15+Paėmimas!I15)))</f>
        <v>3.0023070190737765E-2</v>
      </c>
      <c r="J15" s="51">
        <f>(I15/(Paėmimas!M15*60)/((3.142*((Paėmimas!K15/1000)*(Paėmimas!K15/1000))/4)))</f>
        <v>4.3335152286464513</v>
      </c>
      <c r="K15" s="63">
        <f>J15/Paėmimas!G15</f>
        <v>1.0353315592397001</v>
      </c>
      <c r="L15" s="17"/>
      <c r="M15" s="53"/>
      <c r="N15" s="33"/>
    </row>
    <row r="16" spans="1:17" ht="15" customHeight="1" x14ac:dyDescent="0.3">
      <c r="A16" s="52"/>
      <c r="B16" s="21"/>
      <c r="C16" s="258"/>
      <c r="D16" s="187">
        <f>Paėmimas!L16</f>
        <v>0.03</v>
      </c>
      <c r="E16" s="61">
        <f>D16*(273/(273+Paėmimas!O16)*(Paėmimas!H16-Paėmimas!J16)/1013)</f>
        <v>2.5711684497294881E-2</v>
      </c>
      <c r="F16" s="53"/>
      <c r="G16" s="60">
        <f>((Paėmimas!Q16/100)*1.965)+((Paėmimas!P16/100)*1.429)+((1-(Paėmimas!Q16/100)-(Paėmimas!P16/100))*1.251)</f>
        <v>1.2973599999999998</v>
      </c>
      <c r="H16" s="187">
        <f>H2O!K7</f>
        <v>6.3521730209331739</v>
      </c>
      <c r="I16" s="51">
        <f>(E16/(1-(H16/1000))*((273+Paėmimas!F16)/273)*(1013/(Paėmimas!H16+Paėmimas!I16)))</f>
        <v>3.0023070190737765E-2</v>
      </c>
      <c r="J16" s="51">
        <f>(I16/(Paėmimas!M16*60)/((3.142*((Paėmimas!K16/1000)*(Paėmimas!K16/1000))/4)))</f>
        <v>4.3335152286464513</v>
      </c>
      <c r="K16" s="63">
        <f>J16/Paėmimas!G16</f>
        <v>1.0353315592397001</v>
      </c>
      <c r="L16" s="17"/>
      <c r="M16" s="53"/>
      <c r="N16" s="33"/>
    </row>
    <row r="17" spans="1:14" ht="15" customHeight="1" x14ac:dyDescent="0.3">
      <c r="A17" s="52"/>
      <c r="B17" s="21"/>
      <c r="C17" s="258"/>
      <c r="D17" s="187">
        <f>Paėmimas!L17</f>
        <v>0.03</v>
      </c>
      <c r="E17" s="61">
        <f>D17*(273/(273+Paėmimas!O17)*(Paėmimas!H17-Paėmimas!J17)/1013)</f>
        <v>2.5711684497294881E-2</v>
      </c>
      <c r="F17" s="53"/>
      <c r="G17" s="60">
        <f>((Paėmimas!Q17/100)*1.965)+((Paėmimas!P17/100)*1.429)+((1-(Paėmimas!Q17/100)-(Paėmimas!P17/100))*1.251)</f>
        <v>1.2973599999999998</v>
      </c>
      <c r="H17" s="187">
        <f>H2O!K7</f>
        <v>6.3521730209331739</v>
      </c>
      <c r="I17" s="51">
        <f>(E17/(1-(H17/1000))*((273+Paėmimas!F17)/273)*(1013/(Paėmimas!H17+Paėmimas!I17)))</f>
        <v>3.0023070190737765E-2</v>
      </c>
      <c r="J17" s="51">
        <f>(I17/(Paėmimas!M17*60)/((3.142*((Paėmimas!K17/1000)*(Paėmimas!K17/1000))/4)))</f>
        <v>4.3335152286464513</v>
      </c>
      <c r="K17" s="63">
        <f>J17/Paėmimas!G17</f>
        <v>1.0353315592397001</v>
      </c>
      <c r="L17" s="17"/>
      <c r="M17" s="53"/>
      <c r="N17" s="33"/>
    </row>
    <row r="18" spans="1:14" ht="15" customHeight="1" x14ac:dyDescent="0.3">
      <c r="A18" s="52"/>
      <c r="B18" s="21"/>
      <c r="C18" s="258"/>
      <c r="D18" s="187">
        <f>Paėmimas!L18</f>
        <v>0.03</v>
      </c>
      <c r="E18" s="61">
        <f>D18*(273/(273+Paėmimas!O18)*(Paėmimas!H18-Paėmimas!J18)/1013)</f>
        <v>2.5711684497294881E-2</v>
      </c>
      <c r="F18" s="53"/>
      <c r="G18" s="60">
        <f>((Paėmimas!Q18/100)*1.965)+((Paėmimas!P18/100)*1.429)+((1-(Paėmimas!Q18/100)-(Paėmimas!P18/100))*1.251)</f>
        <v>1.2973599999999998</v>
      </c>
      <c r="H18" s="187">
        <f>H2O!K7</f>
        <v>6.3521730209331739</v>
      </c>
      <c r="I18" s="51">
        <f>(E18/(1-(H18/1000))*((273+Paėmimas!F18)/273)*(1013/(Paėmimas!H18+Paėmimas!I18)))</f>
        <v>3.0023070190737765E-2</v>
      </c>
      <c r="J18" s="51">
        <f>(I18/(Paėmimas!M18*60)/((3.142*((Paėmimas!K18/1000)*(Paėmimas!K18/1000))/4)))</f>
        <v>4.3335152286464513</v>
      </c>
      <c r="K18" s="63">
        <f>J18/Paėmimas!G18</f>
        <v>1.0353315592397001</v>
      </c>
      <c r="L18" s="17"/>
      <c r="M18" s="53"/>
      <c r="N18" s="33"/>
    </row>
    <row r="19" spans="1:14" ht="15" customHeight="1" x14ac:dyDescent="0.3">
      <c r="A19" s="52"/>
      <c r="B19" s="21"/>
      <c r="C19" s="258"/>
      <c r="D19" s="187">
        <f>Paėmimas!L19</f>
        <v>0.03</v>
      </c>
      <c r="E19" s="61">
        <f>D19*(273/(273+Paėmimas!O19)*(Paėmimas!H19-Paėmimas!J19)/1013)</f>
        <v>2.5711684497294881E-2</v>
      </c>
      <c r="F19" s="53"/>
      <c r="G19" s="60">
        <f>((Paėmimas!Q19/100)*1.965)+((Paėmimas!P19/100)*1.429)+((1-(Paėmimas!Q19/100)-(Paėmimas!P19/100))*1.251)</f>
        <v>1.2973599999999998</v>
      </c>
      <c r="H19" s="187">
        <f>H2O!K7</f>
        <v>6.3521730209331739</v>
      </c>
      <c r="I19" s="51">
        <f>(E19/(1-(H19/1000))*((273+Paėmimas!F19)/273)*(1013/(Paėmimas!H19+Paėmimas!I19)))</f>
        <v>3.0023070190737765E-2</v>
      </c>
      <c r="J19" s="51">
        <f>(I19/(Paėmimas!M19*60)/((3.142*((Paėmimas!K19/1000)*(Paėmimas!K19/1000))/4)))</f>
        <v>4.3335152286464513</v>
      </c>
      <c r="K19" s="63">
        <f>J19/Paėmimas!G19</f>
        <v>1.0353315592397001</v>
      </c>
      <c r="L19" s="17"/>
      <c r="M19" s="53"/>
      <c r="N19" s="33"/>
    </row>
    <row r="20" spans="1:14" ht="15" customHeight="1" x14ac:dyDescent="0.3">
      <c r="A20" s="52"/>
      <c r="B20" s="21"/>
      <c r="C20" s="258"/>
      <c r="D20" s="187">
        <f>Paėmimas!L20</f>
        <v>0.03</v>
      </c>
      <c r="E20" s="61">
        <f>D20*(273/(273+Paėmimas!O20)*(Paėmimas!H20-Paėmimas!J20)/1013)</f>
        <v>2.5711684497294881E-2</v>
      </c>
      <c r="F20" s="53"/>
      <c r="G20" s="60">
        <f>((Paėmimas!Q20/100)*1.965)+((Paėmimas!P20/100)*1.429)+((1-(Paėmimas!Q20/100)-(Paėmimas!P20/100))*1.251)</f>
        <v>1.2973599999999998</v>
      </c>
      <c r="H20" s="187">
        <f>H2O!K7</f>
        <v>6.3521730209331739</v>
      </c>
      <c r="I20" s="51">
        <f>(E20/(1-(H20/1000))*((273+Paėmimas!F20)/273)*(1013/(Paėmimas!H20+Paėmimas!I20)))</f>
        <v>3.0023070190737765E-2</v>
      </c>
      <c r="J20" s="51">
        <f>(I20/(Paėmimas!M20*60)/((3.142*((Paėmimas!K20/1000)*(Paėmimas!K20/1000))/4)))</f>
        <v>4.3335152286464513</v>
      </c>
      <c r="K20" s="63">
        <f>J20/Paėmimas!G20</f>
        <v>1.0353315592397001</v>
      </c>
      <c r="L20" s="17"/>
      <c r="M20" s="53"/>
      <c r="N20" s="33"/>
    </row>
    <row r="21" spans="1:14" ht="15" customHeight="1" x14ac:dyDescent="0.3">
      <c r="A21" s="52"/>
      <c r="B21" s="21"/>
      <c r="C21" s="258"/>
      <c r="D21" s="187">
        <f>Paėmimas!L21</f>
        <v>0.03</v>
      </c>
      <c r="E21" s="61">
        <f>D21*(273/(273+Paėmimas!O21)*(Paėmimas!H21-Paėmimas!J21)/1013)</f>
        <v>2.5711684497294881E-2</v>
      </c>
      <c r="F21" s="53"/>
      <c r="G21" s="60">
        <f>((Paėmimas!Q21/100)*1.965)+((Paėmimas!P21/100)*1.429)+((1-(Paėmimas!Q21/100)-(Paėmimas!P21/100))*1.251)</f>
        <v>1.2973599999999998</v>
      </c>
      <c r="H21" s="187">
        <f>H2O!K7</f>
        <v>6.3521730209331739</v>
      </c>
      <c r="I21" s="51">
        <f>(E21/(1-(H21/1000))*((273+Paėmimas!F21)/273)*(1013/(Paėmimas!H21+Paėmimas!I21)))</f>
        <v>3.0023070190737765E-2</v>
      </c>
      <c r="J21" s="51">
        <f>(I21/(Paėmimas!M21*60)/((3.142*((Paėmimas!K21/1000)*(Paėmimas!K21/1000))/4)))</f>
        <v>4.3335152286464513</v>
      </c>
      <c r="K21" s="63">
        <f>J21/Paėmimas!G21</f>
        <v>1.0353315592397001</v>
      </c>
      <c r="L21" s="17"/>
      <c r="M21" s="53"/>
      <c r="N21" s="33"/>
    </row>
    <row r="22" spans="1:14" ht="15" customHeight="1" x14ac:dyDescent="0.3">
      <c r="A22" s="54"/>
      <c r="B22" s="55"/>
      <c r="C22" s="259"/>
      <c r="D22" s="187">
        <f>Paėmimas!L22</f>
        <v>0.03</v>
      </c>
      <c r="E22" s="61">
        <f>D22*(273/(273+Paėmimas!O22)*(Paėmimas!H22-Paėmimas!J22)/1013)</f>
        <v>2.5711684497294881E-2</v>
      </c>
      <c r="F22" s="56"/>
      <c r="G22" s="60">
        <f>((Paėmimas!Q22/100)*1.965)+((Paėmimas!P22/100)*1.429)+((1-(Paėmimas!Q22/100)-(Paėmimas!P22/100))*1.251)</f>
        <v>1.2973599999999998</v>
      </c>
      <c r="H22" s="187">
        <f>H2O!K7</f>
        <v>6.3521730209331739</v>
      </c>
      <c r="I22" s="51">
        <f>(E22/(1-(H22/1000))*((273+Paėmimas!F22)/273)*(1013/(Paėmimas!H22+Paėmimas!I22)))</f>
        <v>3.0023070190737765E-2</v>
      </c>
      <c r="J22" s="51">
        <f>(I22/(Paėmimas!M22*60)/((3.142*((Paėmimas!K22/1000)*(Paėmimas!K22/1000))/4)))</f>
        <v>4.3335152286464513</v>
      </c>
      <c r="K22" s="63">
        <f>J22/Paėmimas!G22</f>
        <v>1.0353315592397001</v>
      </c>
      <c r="L22" s="57"/>
      <c r="M22" s="56"/>
      <c r="N22" s="20"/>
    </row>
    <row r="23" spans="1:14" x14ac:dyDescent="0.3">
      <c r="C23" s="65"/>
      <c r="D23" s="65"/>
      <c r="E23" s="65"/>
      <c r="F23" s="65"/>
      <c r="G23" s="63">
        <f>AVERAGE(G6:G22)</f>
        <v>1.2973599999999998</v>
      </c>
      <c r="H23" s="65"/>
      <c r="I23" s="75">
        <f>SUM(I6:I22)</f>
        <v>0.51039219324254193</v>
      </c>
      <c r="J23" s="65"/>
    </row>
    <row r="24" spans="1:14" ht="28" x14ac:dyDescent="0.3">
      <c r="C24" s="66"/>
      <c r="D24" s="66"/>
      <c r="E24" s="66"/>
      <c r="F24" s="66"/>
      <c r="G24" s="43" t="s">
        <v>26</v>
      </c>
      <c r="H24" s="66"/>
      <c r="I24" s="43" t="s">
        <v>131</v>
      </c>
      <c r="J24" s="66"/>
    </row>
    <row r="25" spans="1:14" x14ac:dyDescent="0.3">
      <c r="C25" s="66"/>
      <c r="D25" s="66"/>
      <c r="E25" s="66"/>
      <c r="F25" s="66"/>
      <c r="H25" s="66"/>
      <c r="I25" s="66"/>
      <c r="J25" s="66"/>
    </row>
    <row r="299" spans="3:4" x14ac:dyDescent="0.3">
      <c r="C299" s="24"/>
      <c r="D299" s="14" t="s">
        <v>10</v>
      </c>
    </row>
    <row r="300" spans="3:4" x14ac:dyDescent="0.3">
      <c r="C300" s="25"/>
      <c r="D300" s="14" t="s">
        <v>11</v>
      </c>
    </row>
  </sheetData>
  <sheetProtection formatCells="0" formatColumns="0" formatRows="0"/>
  <mergeCells count="3">
    <mergeCell ref="C2:M2"/>
    <mergeCell ref="C1:D1"/>
    <mergeCell ref="C6:C22"/>
  </mergeCells>
  <phoneticPr fontId="0" type="noConversion"/>
  <pageMargins left="0.39370078740157483" right="0" top="0.74803149606299213" bottom="0.19685039370078741" header="0.31496062992125984" footer="0.31496062992125984"/>
  <pageSetup paperSize="9" scale="68" fitToHeight="0" orientation="landscape" r:id="rId1"/>
  <headerFooter alignWithMargins="0">
    <oddFooter>&amp;CPuslapių &amp;P &amp;R&amp;"Times New Roman,Paryškintasis"E5-5_02         
2022-02-01, EV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EDA9-7C25-4C01-9DCA-8D685240AFBD}">
  <sheetPr codeName="Lapas4">
    <pageSetUpPr fitToPage="1"/>
  </sheetPr>
  <dimension ref="A1:R8"/>
  <sheetViews>
    <sheetView zoomScale="110" zoomScaleNormal="110" workbookViewId="0">
      <selection activeCell="N17" sqref="N17"/>
    </sheetView>
  </sheetViews>
  <sheetFormatPr defaultColWidth="9.1796875" defaultRowHeight="14" x14ac:dyDescent="0.3"/>
  <cols>
    <col min="1" max="1" width="11.7265625" style="14" customWidth="1"/>
    <col min="2" max="2" width="13.453125" style="14" customWidth="1"/>
    <col min="3" max="3" width="24.54296875" style="14" customWidth="1"/>
    <col min="4" max="4" width="8.1796875" style="14" customWidth="1"/>
    <col min="5" max="5" width="11.54296875" style="14" customWidth="1"/>
    <col min="6" max="6" width="12.26953125" style="14" customWidth="1"/>
    <col min="7" max="7" width="11" style="14" customWidth="1"/>
    <col min="8" max="9" width="10.26953125" style="14" customWidth="1"/>
    <col min="10" max="10" width="11.1796875" style="14" customWidth="1"/>
    <col min="11" max="11" width="14.26953125" style="14" customWidth="1"/>
    <col min="12" max="12" width="12.1796875" style="14" customWidth="1"/>
    <col min="13" max="13" width="13.7265625" style="14" customWidth="1"/>
    <col min="14" max="14" width="17.7265625" style="14" customWidth="1"/>
    <col min="15" max="15" width="8" style="14" customWidth="1"/>
    <col min="16" max="16" width="13" style="14" customWidth="1"/>
    <col min="17" max="17" width="9.1796875" style="14"/>
    <col min="18" max="18" width="9.54296875" style="14" bestFit="1" customWidth="1"/>
    <col min="19" max="16384" width="9.1796875" style="14"/>
  </cols>
  <sheetData>
    <row r="1" spans="1:18" ht="27.75" customHeight="1" x14ac:dyDescent="0.3">
      <c r="C1" s="256" t="s">
        <v>19</v>
      </c>
      <c r="D1" s="256"/>
      <c r="R1" s="16"/>
    </row>
    <row r="2" spans="1:18" x14ac:dyDescent="0.3">
      <c r="A2" s="255" t="s">
        <v>96</v>
      </c>
      <c r="B2" s="255"/>
      <c r="C2" s="255"/>
      <c r="D2" s="255"/>
      <c r="E2" s="255"/>
      <c r="F2" s="255"/>
      <c r="G2" s="255"/>
      <c r="H2" s="255"/>
      <c r="I2" s="255"/>
      <c r="J2" s="255"/>
      <c r="K2" s="255"/>
      <c r="L2" s="255"/>
      <c r="M2" s="255"/>
      <c r="N2" s="255"/>
      <c r="O2" s="78"/>
    </row>
    <row r="3" spans="1:18" x14ac:dyDescent="0.3">
      <c r="F3" s="27"/>
      <c r="L3" s="16"/>
      <c r="M3" s="16"/>
    </row>
    <row r="4" spans="1:18" ht="12.75" customHeight="1" x14ac:dyDescent="0.3">
      <c r="L4" s="16"/>
      <c r="M4" s="16"/>
    </row>
    <row r="5" spans="1:18" ht="88.5" customHeight="1" x14ac:dyDescent="0.3">
      <c r="A5" s="86" t="s">
        <v>8</v>
      </c>
      <c r="B5" s="86" t="s">
        <v>44</v>
      </c>
      <c r="C5" s="12" t="s">
        <v>9</v>
      </c>
      <c r="D5" s="12" t="s">
        <v>7</v>
      </c>
      <c r="E5" s="109" t="s">
        <v>68</v>
      </c>
      <c r="F5" s="109" t="s">
        <v>69</v>
      </c>
      <c r="G5" s="109" t="s">
        <v>70</v>
      </c>
      <c r="H5" s="109" t="s">
        <v>71</v>
      </c>
      <c r="I5" s="109" t="s">
        <v>72</v>
      </c>
      <c r="J5" s="109" t="s">
        <v>73</v>
      </c>
      <c r="K5" s="109" t="s">
        <v>74</v>
      </c>
      <c r="L5" s="109" t="s">
        <v>75</v>
      </c>
      <c r="M5" s="244" t="s">
        <v>76</v>
      </c>
      <c r="N5" s="12" t="s">
        <v>12</v>
      </c>
      <c r="O5" s="12" t="s">
        <v>99</v>
      </c>
      <c r="P5" s="48" t="s">
        <v>6</v>
      </c>
    </row>
    <row r="6" spans="1:18" ht="22.5" customHeight="1" x14ac:dyDescent="0.3">
      <c r="A6" s="203" t="str">
        <f>Paėmimas!A6</f>
        <v>XXXX-XX-XX</v>
      </c>
      <c r="B6" s="204" t="str">
        <f>Svėrimas!A6</f>
        <v>XX</v>
      </c>
      <c r="C6" s="288" t="str">
        <f>Paėmimas!C6</f>
        <v>XXXX</v>
      </c>
      <c r="D6" s="205">
        <f>Svėrimas!C6</f>
        <v>1</v>
      </c>
      <c r="E6" s="206">
        <f>Svėrimas!G6</f>
        <v>4.0517000000000003</v>
      </c>
      <c r="F6" s="207">
        <f>Svėrimas!L6</f>
        <v>4.0567000000000002</v>
      </c>
      <c r="G6" s="207">
        <f>Svėrimas!M9</f>
        <v>1.0000000000021103E-4</v>
      </c>
      <c r="H6" s="117">
        <f>Svėrimas!M11/O6</f>
        <v>9.9999999996214228E-5</v>
      </c>
      <c r="I6" s="208">
        <f>Svėrimas!M16</f>
        <v>0</v>
      </c>
      <c r="J6" s="209">
        <f>Aerodinamika!F6</f>
        <v>0.43709863645401298</v>
      </c>
      <c r="K6" s="87">
        <f>((F6-E6-G6+H6+I6)/J6)*1000</f>
        <v>11.439065654742544</v>
      </c>
      <c r="L6" s="178">
        <f>G6/Paėmimas!L23*1000</f>
        <v>0.19607843137296271</v>
      </c>
      <c r="M6" s="105">
        <f>((F6-E6)+H6)/G6</f>
        <v>50.999999999853451</v>
      </c>
      <c r="N6" s="210" t="str">
        <f>Svėrimas!N6</f>
        <v>XX</v>
      </c>
      <c r="O6" s="47">
        <v>1</v>
      </c>
      <c r="P6" s="211" t="str">
        <f>Paėmimas!S6</f>
        <v>1 linija, 1 filtras</v>
      </c>
    </row>
    <row r="7" spans="1:18" ht="19.5" customHeight="1" x14ac:dyDescent="0.3">
      <c r="A7" s="190"/>
      <c r="B7" s="191"/>
      <c r="C7" s="288"/>
      <c r="D7" s="194"/>
      <c r="E7" s="195"/>
      <c r="F7" s="196"/>
      <c r="G7" s="197"/>
      <c r="H7" s="197"/>
      <c r="I7" s="197"/>
      <c r="J7" s="198"/>
      <c r="K7" s="199"/>
      <c r="L7" s="200"/>
      <c r="M7" s="95"/>
      <c r="N7" s="201"/>
      <c r="O7" s="33"/>
      <c r="P7" s="19"/>
    </row>
    <row r="8" spans="1:18" ht="22.5" customHeight="1" x14ac:dyDescent="0.3">
      <c r="A8" s="192"/>
      <c r="B8" s="193"/>
      <c r="C8" s="289"/>
      <c r="D8" s="194"/>
      <c r="E8" s="195"/>
      <c r="F8" s="196"/>
      <c r="G8" s="196"/>
      <c r="H8" s="196"/>
      <c r="I8" s="196"/>
      <c r="J8" s="198"/>
      <c r="K8" s="199"/>
      <c r="L8" s="200"/>
      <c r="M8" s="96"/>
      <c r="N8" s="202"/>
      <c r="O8" s="20"/>
      <c r="P8" s="19"/>
    </row>
  </sheetData>
  <sheetProtection algorithmName="SHA-512" hashValue="14kcj2toGw8XrtILH/cT6h3IUll8M2++lPCiRhafw8Q0EO6XXCTLQF0YeWM7xv3saJnN1w9QQMwIJSNssJMrag==" saltValue="Je2eMD1uBcvglWYBl3H26w==" spinCount="100000" sheet="1" formatCells="0" formatColumns="0" formatRows="0"/>
  <mergeCells count="3">
    <mergeCell ref="C6:C8"/>
    <mergeCell ref="C1:D1"/>
    <mergeCell ref="A2:N2"/>
  </mergeCells>
  <phoneticPr fontId="0" type="noConversion"/>
  <pageMargins left="0.59055118110236227" right="0.39370078740157483" top="0.74803149606299213" bottom="0.35433070866141736" header="0.31496062992125984" footer="0.31496062992125984"/>
  <pageSetup paperSize="9" fitToHeight="0" orientation="landscape" r:id="rId1"/>
  <headerFooter alignWithMargins="0">
    <oddFooter>&amp;CPuslapių &amp;P &amp;R&amp;"Times New Roman,Paryškintasis"E5-5_02         
2022-02-01, EV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CBA1-822C-4C0F-89AB-CB2C7AD5643F}">
  <dimension ref="A1:V16"/>
  <sheetViews>
    <sheetView zoomScale="50" zoomScaleNormal="50" workbookViewId="0">
      <pane ySplit="5" topLeftCell="A6" activePane="bottomLeft" state="frozen"/>
      <selection pane="bottomLeft" activeCell="J21" sqref="J21"/>
    </sheetView>
  </sheetViews>
  <sheetFormatPr defaultColWidth="9.1796875" defaultRowHeight="14" x14ac:dyDescent="0.3"/>
  <cols>
    <col min="1" max="1" width="13.7265625" style="14" customWidth="1"/>
    <col min="2" max="2" width="25.1796875" style="14" customWidth="1"/>
    <col min="3" max="3" width="7.453125" style="14" customWidth="1"/>
    <col min="4" max="4" width="12.81640625" style="14" customWidth="1"/>
    <col min="5" max="5" width="11.1796875" style="14" customWidth="1"/>
    <col min="6" max="6" width="10.81640625" style="14" customWidth="1"/>
    <col min="7" max="7" width="10.453125" style="14" customWidth="1"/>
    <col min="8" max="8" width="18" style="14" customWidth="1"/>
    <col min="9" max="9" width="12.26953125" style="14" customWidth="1"/>
    <col min="10" max="10" width="10.81640625" style="14" customWidth="1"/>
    <col min="11" max="11" width="11" style="14" customWidth="1"/>
    <col min="12" max="12" width="11.1796875" style="14" customWidth="1"/>
    <col min="13" max="13" width="20.7265625" style="14" customWidth="1"/>
    <col min="14" max="14" width="16.81640625" style="14" customWidth="1"/>
    <col min="15" max="15" width="32.453125" style="14" customWidth="1"/>
    <col min="16" max="16384" width="9.1796875" style="14"/>
  </cols>
  <sheetData>
    <row r="1" spans="1:22" ht="26.25" customHeight="1" x14ac:dyDescent="0.3">
      <c r="C1" s="256" t="s">
        <v>20</v>
      </c>
      <c r="D1" s="256"/>
      <c r="E1" s="256"/>
      <c r="F1" s="256"/>
    </row>
    <row r="2" spans="1:22" ht="19.5" customHeight="1" x14ac:dyDescent="0.3">
      <c r="A2" s="255" t="s">
        <v>97</v>
      </c>
      <c r="B2" s="255"/>
      <c r="C2" s="255"/>
      <c r="D2" s="255"/>
      <c r="E2" s="255"/>
      <c r="F2" s="255"/>
      <c r="G2" s="255"/>
      <c r="H2" s="255"/>
      <c r="I2" s="255"/>
      <c r="J2" s="255"/>
      <c r="K2" s="255"/>
      <c r="L2" s="255"/>
      <c r="M2" s="255"/>
      <c r="N2" s="255"/>
      <c r="O2" s="255"/>
      <c r="V2" s="16"/>
    </row>
    <row r="4" spans="1:22" ht="60" customHeight="1" x14ac:dyDescent="0.3">
      <c r="A4" s="294" t="s">
        <v>77</v>
      </c>
      <c r="B4" s="294" t="s">
        <v>9</v>
      </c>
      <c r="C4" s="302" t="s">
        <v>78</v>
      </c>
      <c r="D4" s="302" t="s">
        <v>79</v>
      </c>
      <c r="E4" s="302" t="s">
        <v>80</v>
      </c>
      <c r="F4" s="302"/>
      <c r="G4" s="302"/>
      <c r="H4" s="302" t="s">
        <v>14</v>
      </c>
      <c r="I4" s="298" t="s">
        <v>81</v>
      </c>
      <c r="J4" s="293" t="s">
        <v>82</v>
      </c>
      <c r="K4" s="293"/>
      <c r="L4" s="293"/>
      <c r="M4" s="300" t="s">
        <v>83</v>
      </c>
      <c r="N4" s="293" t="s">
        <v>14</v>
      </c>
      <c r="O4" s="296" t="s">
        <v>6</v>
      </c>
    </row>
    <row r="5" spans="1:22" ht="16.5" customHeight="1" x14ac:dyDescent="0.3">
      <c r="A5" s="295"/>
      <c r="B5" s="295"/>
      <c r="C5" s="303"/>
      <c r="D5" s="302"/>
      <c r="E5" s="110">
        <v>1</v>
      </c>
      <c r="F5" s="110">
        <v>2</v>
      </c>
      <c r="G5" s="110">
        <v>3</v>
      </c>
      <c r="H5" s="302"/>
      <c r="I5" s="299"/>
      <c r="J5" s="12">
        <v>1</v>
      </c>
      <c r="K5" s="12">
        <v>2</v>
      </c>
      <c r="L5" s="12">
        <v>3</v>
      </c>
      <c r="M5" s="301"/>
      <c r="N5" s="293"/>
      <c r="O5" s="297"/>
    </row>
    <row r="6" spans="1:22" ht="15" customHeight="1" x14ac:dyDescent="0.3">
      <c r="A6" s="212" t="str">
        <f>Paėmimas!B6</f>
        <v>XX</v>
      </c>
      <c r="B6" s="290" t="str">
        <f>Paėmimas!C6</f>
        <v>XXXX</v>
      </c>
      <c r="C6" s="122">
        <v>1</v>
      </c>
      <c r="D6" s="214" t="str">
        <f>Paėmimas!A6</f>
        <v>XXXX-XX-XX</v>
      </c>
      <c r="E6" s="234">
        <v>4.0517000000000003</v>
      </c>
      <c r="F6" s="234">
        <v>4.0517000000000003</v>
      </c>
      <c r="G6" s="234">
        <v>4.0517000000000003</v>
      </c>
      <c r="H6" s="215" t="str">
        <f>Paėmimas!R6</f>
        <v>XX</v>
      </c>
      <c r="I6" s="28" t="s">
        <v>138</v>
      </c>
      <c r="J6" s="234">
        <v>4.0567000000000002</v>
      </c>
      <c r="K6" s="234">
        <v>4.0567000000000002</v>
      </c>
      <c r="L6" s="234">
        <v>4.0567000000000002</v>
      </c>
      <c r="M6" s="171">
        <f>L6-G6</f>
        <v>4.9999999999998934E-3</v>
      </c>
      <c r="N6" s="30" t="s">
        <v>137</v>
      </c>
      <c r="O6" s="216" t="str">
        <f>Paėmimas!S6</f>
        <v>1 linija, 1 filtras</v>
      </c>
    </row>
    <row r="7" spans="1:22" x14ac:dyDescent="0.3">
      <c r="A7" s="213"/>
      <c r="B7" s="291"/>
      <c r="C7" s="31"/>
      <c r="D7" s="28"/>
      <c r="E7" s="172"/>
      <c r="F7" s="172"/>
      <c r="G7" s="172"/>
      <c r="H7" s="29"/>
      <c r="I7" s="28"/>
      <c r="J7" s="172"/>
      <c r="K7" s="172"/>
      <c r="L7" s="172"/>
      <c r="M7" s="174">
        <f>L7-G7</f>
        <v>0</v>
      </c>
      <c r="N7" s="30"/>
      <c r="O7" s="32"/>
    </row>
    <row r="8" spans="1:22" x14ac:dyDescent="0.3">
      <c r="A8" s="93"/>
      <c r="B8" s="291"/>
      <c r="C8" s="31"/>
      <c r="D8" s="28"/>
      <c r="E8" s="172"/>
      <c r="F8" s="172"/>
      <c r="G8" s="172"/>
      <c r="H8" s="29"/>
      <c r="I8" s="28"/>
      <c r="J8" s="172"/>
      <c r="K8" s="172"/>
      <c r="L8" s="172"/>
      <c r="M8" s="174">
        <f>L8-G8</f>
        <v>0</v>
      </c>
      <c r="N8" s="89"/>
      <c r="O8" s="32"/>
    </row>
    <row r="9" spans="1:22" ht="17" x14ac:dyDescent="0.45">
      <c r="A9" s="93"/>
      <c r="B9" s="291"/>
      <c r="C9" s="31">
        <v>2</v>
      </c>
      <c r="D9" s="28"/>
      <c r="E9" s="235">
        <v>3.7018</v>
      </c>
      <c r="F9" s="235">
        <v>3.7018</v>
      </c>
      <c r="G9" s="235">
        <v>3.7018</v>
      </c>
      <c r="H9" s="89"/>
      <c r="I9" s="88"/>
      <c r="J9" s="235">
        <v>3.7019000000000002</v>
      </c>
      <c r="K9" s="235">
        <v>3.7019000000000002</v>
      </c>
      <c r="L9" s="235">
        <v>3.7019000000000002</v>
      </c>
      <c r="M9" s="174">
        <f>L9-G9</f>
        <v>1.0000000000021103E-4</v>
      </c>
      <c r="N9" s="89"/>
      <c r="O9" s="34" t="s">
        <v>86</v>
      </c>
      <c r="P9" s="35"/>
    </row>
    <row r="10" spans="1:22" x14ac:dyDescent="0.3">
      <c r="A10" s="93"/>
      <c r="B10" s="291"/>
      <c r="C10" s="31"/>
      <c r="D10" s="88"/>
      <c r="E10" s="172"/>
      <c r="F10" s="172"/>
      <c r="G10" s="173"/>
      <c r="H10" s="89"/>
      <c r="I10" s="88"/>
      <c r="J10" s="175"/>
      <c r="K10" s="172"/>
      <c r="L10" s="173"/>
      <c r="M10" s="243"/>
      <c r="N10" s="89"/>
      <c r="O10" s="111"/>
    </row>
    <row r="11" spans="1:22" ht="17" x14ac:dyDescent="0.45">
      <c r="A11" s="93"/>
      <c r="B11" s="291"/>
      <c r="C11" s="31">
        <v>41</v>
      </c>
      <c r="D11" s="88"/>
      <c r="E11" s="235">
        <v>56.4998</v>
      </c>
      <c r="F11" s="235">
        <v>56.4998</v>
      </c>
      <c r="G11" s="236">
        <v>56.4998</v>
      </c>
      <c r="H11" s="89"/>
      <c r="I11" s="88"/>
      <c r="J11" s="240">
        <v>56.499899999999997</v>
      </c>
      <c r="K11" s="235">
        <v>56.499899999999997</v>
      </c>
      <c r="L11" s="236">
        <v>56.499899999999997</v>
      </c>
      <c r="M11" s="174">
        <f>L11-G11</f>
        <v>9.9999999996214228E-5</v>
      </c>
      <c r="N11" s="89"/>
      <c r="O11" s="92" t="s">
        <v>87</v>
      </c>
    </row>
    <row r="12" spans="1:22" ht="33" customHeight="1" x14ac:dyDescent="0.45">
      <c r="A12" s="93"/>
      <c r="B12" s="291"/>
      <c r="C12" s="106" t="s">
        <v>40</v>
      </c>
      <c r="D12" s="88"/>
      <c r="E12" s="237">
        <v>49.838799999999999</v>
      </c>
      <c r="F12" s="237">
        <v>49.838799999999999</v>
      </c>
      <c r="G12" s="238">
        <v>49.838799999999999</v>
      </c>
      <c r="H12" s="89"/>
      <c r="I12" s="88"/>
      <c r="J12" s="241">
        <v>49.838799999999999</v>
      </c>
      <c r="K12" s="237">
        <v>49.838799999999999</v>
      </c>
      <c r="L12" s="238">
        <v>49.838799999999999</v>
      </c>
      <c r="M12" s="174">
        <f t="shared" ref="M12:M15" si="0">L12-G12</f>
        <v>0</v>
      </c>
      <c r="N12" s="89"/>
      <c r="O12" s="112" t="s">
        <v>88</v>
      </c>
    </row>
    <row r="13" spans="1:22" ht="17" x14ac:dyDescent="0.45">
      <c r="A13" s="93"/>
      <c r="B13" s="291"/>
      <c r="C13" s="107" t="s">
        <v>41</v>
      </c>
      <c r="D13" s="88"/>
      <c r="E13" s="235">
        <v>54.789299999999997</v>
      </c>
      <c r="F13" s="235">
        <v>54.789299999999997</v>
      </c>
      <c r="G13" s="235">
        <v>54.789299999999997</v>
      </c>
      <c r="H13" s="89"/>
      <c r="I13" s="88"/>
      <c r="J13" s="235">
        <v>54.789400000000001</v>
      </c>
      <c r="K13" s="235">
        <v>54.789400000000001</v>
      </c>
      <c r="L13" s="235">
        <v>54.789400000000001</v>
      </c>
      <c r="M13" s="174">
        <f t="shared" si="0"/>
        <v>1.0000000000331966E-4</v>
      </c>
      <c r="N13" s="89"/>
      <c r="O13" s="113" t="s">
        <v>89</v>
      </c>
    </row>
    <row r="14" spans="1:22" ht="17" x14ac:dyDescent="0.45">
      <c r="A14" s="93"/>
      <c r="B14" s="291"/>
      <c r="C14" s="107" t="s">
        <v>42</v>
      </c>
      <c r="D14" s="88"/>
      <c r="E14" s="235">
        <v>57.3979</v>
      </c>
      <c r="F14" s="235">
        <v>57.3979</v>
      </c>
      <c r="G14" s="235">
        <v>57.3979</v>
      </c>
      <c r="H14" s="89"/>
      <c r="I14" s="88"/>
      <c r="J14" s="235">
        <v>57.397799999999997</v>
      </c>
      <c r="K14" s="235">
        <v>57.397799999999997</v>
      </c>
      <c r="L14" s="235">
        <v>57.397799999999997</v>
      </c>
      <c r="M14" s="174">
        <f t="shared" si="0"/>
        <v>-1.0000000000331966E-4</v>
      </c>
      <c r="N14" s="89"/>
      <c r="O14" s="114" t="s">
        <v>90</v>
      </c>
    </row>
    <row r="15" spans="1:22" ht="17" x14ac:dyDescent="0.45">
      <c r="A15" s="93"/>
      <c r="B15" s="291"/>
      <c r="C15" s="108" t="s">
        <v>43</v>
      </c>
      <c r="D15" s="88"/>
      <c r="E15" s="234">
        <v>53.927900000000001</v>
      </c>
      <c r="F15" s="234">
        <v>53.927900000000001</v>
      </c>
      <c r="G15" s="239">
        <v>53.927900000000001</v>
      </c>
      <c r="H15" s="89"/>
      <c r="I15" s="88"/>
      <c r="J15" s="242">
        <v>53.927900000000001</v>
      </c>
      <c r="K15" s="234">
        <v>53.927900000000001</v>
      </c>
      <c r="L15" s="239">
        <v>53.927900000000001</v>
      </c>
      <c r="M15" s="174">
        <f t="shared" si="0"/>
        <v>0</v>
      </c>
      <c r="N15" s="89"/>
      <c r="O15" s="114" t="s">
        <v>91</v>
      </c>
    </row>
    <row r="16" spans="1:22" ht="31.5" customHeight="1" x14ac:dyDescent="0.45">
      <c r="A16" s="94"/>
      <c r="B16" s="292"/>
      <c r="C16" s="31"/>
      <c r="D16" s="90"/>
      <c r="E16" s="19"/>
      <c r="F16" s="19"/>
      <c r="G16" s="31"/>
      <c r="H16" s="91"/>
      <c r="I16" s="90"/>
      <c r="J16" s="175"/>
      <c r="K16" s="172"/>
      <c r="L16" s="173"/>
      <c r="M16" s="174">
        <f>AVERAGE(M13:M15)+M12</f>
        <v>0</v>
      </c>
      <c r="N16" s="91"/>
      <c r="O16" s="115" t="s">
        <v>92</v>
      </c>
    </row>
  </sheetData>
  <sheetProtection algorithmName="SHA-512" hashValue="E6OFOELekALtVqXHFsWyKWyHFhihadC1ysirCovWb2LwcpwW4V0yaBjnKBjDLZzWfO6bxSPcQ3TQRcE4rlQNjA==" saltValue="Zw/KfGe6fd8kaDrpjhPRrA==" spinCount="100000" sheet="1" formatCells="0" formatColumns="0" formatRows="0"/>
  <autoFilter ref="C4:O6" xr:uid="{0AF1360B-BFDA-4695-966E-202C6D97088E}">
    <sortState xmlns:xlrd2="http://schemas.microsoft.com/office/spreadsheetml/2017/richdata2" ref="C7:T14">
      <sortCondition ref="H4:H6"/>
    </sortState>
  </autoFilter>
  <mergeCells count="14">
    <mergeCell ref="B6:B16"/>
    <mergeCell ref="C1:F1"/>
    <mergeCell ref="A2:O2"/>
    <mergeCell ref="N4:N5"/>
    <mergeCell ref="A4:A5"/>
    <mergeCell ref="B4:B5"/>
    <mergeCell ref="O4:O5"/>
    <mergeCell ref="I4:I5"/>
    <mergeCell ref="M4:M5"/>
    <mergeCell ref="J4:L4"/>
    <mergeCell ref="C4:C5"/>
    <mergeCell ref="D4:D5"/>
    <mergeCell ref="E4:G4"/>
    <mergeCell ref="H4:H5"/>
  </mergeCells>
  <phoneticPr fontId="6" type="noConversion"/>
  <pageMargins left="0.70866141732283472" right="0.70866141732283472" top="0.74803149606299213" bottom="0.74803149606299213" header="0.31496062992125984" footer="0.31496062992125984"/>
  <pageSetup paperSize="9" scale="89" orientation="landscape" r:id="rId1"/>
  <headerFooter>
    <oddHeader>&amp;L     
   FSVP5/3-76-5
AAA Aplinkos tyrimų departamentas</oddHeader>
    <oddFooter>&amp;CPuslapių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345F-501D-4FB5-9142-C3CE0522A332}">
  <dimension ref="A3:D10"/>
  <sheetViews>
    <sheetView workbookViewId="0">
      <selection activeCell="A12" sqref="A12"/>
    </sheetView>
  </sheetViews>
  <sheetFormatPr defaultColWidth="9.1796875" defaultRowHeight="15.5" x14ac:dyDescent="0.25"/>
  <cols>
    <col min="1" max="1" width="14.7265625" style="97" customWidth="1"/>
    <col min="2" max="2" width="15.26953125" style="97" customWidth="1"/>
    <col min="3" max="3" width="13.453125" style="97" customWidth="1"/>
    <col min="4" max="4" width="21.26953125" style="97" customWidth="1"/>
    <col min="5" max="16384" width="9.1796875" style="97"/>
  </cols>
  <sheetData>
    <row r="3" spans="1:4" ht="30" customHeight="1" x14ac:dyDescent="0.25">
      <c r="A3" s="304" t="s">
        <v>36</v>
      </c>
      <c r="B3" s="304"/>
      <c r="C3" s="304"/>
      <c r="D3" s="304"/>
    </row>
    <row r="5" spans="1:4" ht="67.5" customHeight="1" x14ac:dyDescent="0.25">
      <c r="A5" s="98" t="s">
        <v>84</v>
      </c>
      <c r="B5" s="99" t="s">
        <v>37</v>
      </c>
      <c r="C5" s="99" t="s">
        <v>38</v>
      </c>
      <c r="D5" s="99" t="s">
        <v>39</v>
      </c>
    </row>
    <row r="6" spans="1:4" x14ac:dyDescent="0.25">
      <c r="A6" s="100">
        <f>(B6*C6*D6)/1000000</f>
        <v>1.944</v>
      </c>
      <c r="B6" s="101">
        <v>30</v>
      </c>
      <c r="C6" s="102">
        <v>5400</v>
      </c>
      <c r="D6" s="103">
        <v>12</v>
      </c>
    </row>
    <row r="10" spans="1:4" x14ac:dyDescent="0.25">
      <c r="C10" s="104"/>
    </row>
  </sheetData>
  <sheetProtection algorithmName="SHA-512" hashValue="Sl3YWQzIuLNDhnvKVeOF57Zijv7kABEehZ0yc0bJX23wne2FQF38GNvMoQ3By7bPBhO+yxnMNLRTWl+5s5HvVg==" saltValue="P/O8vTW2hm96HwYfd7/kXg==" spinCount="100000" sheet="1" objects="1" scenarios="1" formatCells="0" formatColumns="0" formatRows="0"/>
  <mergeCells count="1">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as" ma:contentTypeID="0x010100BAB57CF81AE55C4698AAD22D302297F0" ma:contentTypeVersion="18" ma:contentTypeDescription="Kurkite naują dokumentą." ma:contentTypeScope="" ma:versionID="49ab401eb4052690d2a2629974c22fd6">
  <xsd:schema xmlns:xsd="http://www.w3.org/2001/XMLSchema" xmlns:xs="http://www.w3.org/2001/XMLSchema" xmlns:p="http://schemas.microsoft.com/office/2006/metadata/properties" xmlns:ns2="453e7e53-5eb2-45cf-b2ab-34c867e554b8" xmlns:ns3="aa0d983d-359a-438c-9953-3af1a8ac0831" targetNamespace="http://schemas.microsoft.com/office/2006/metadata/properties" ma:root="true" ma:fieldsID="ab9969d50e0b13c63bc5bd0499c928dc" ns2:_="" ns3:_="">
    <xsd:import namespace="453e7e53-5eb2-45cf-b2ab-34c867e554b8"/>
    <xsd:import namespace="aa0d983d-359a-438c-9953-3af1a8ac08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e7e53-5eb2-45cf-b2ab-34c867e554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Vaizdų žymės" ma:readOnly="false" ma:fieldId="{5cf76f15-5ced-4ddc-b409-7134ff3c332f}" ma:taxonomyMulti="true" ma:sspId="993cf2ba-b7a7-49f7-97d1-76e12a88c412"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0d983d-359a-438c-9953-3af1a8ac083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2c4fa3c-500e-4213-91e5-1b9e2014ea63}" ma:internalName="TaxCatchAll" ma:showField="CatchAllData" ma:web="aa0d983d-359a-438c-9953-3af1a8ac083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Bendrinta su išsamia informacija"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3e7e53-5eb2-45cf-b2ab-34c867e554b8">
      <Terms xmlns="http://schemas.microsoft.com/office/infopath/2007/PartnerControls"/>
    </lcf76f155ced4ddcb4097134ff3c332f>
    <TaxCatchAll xmlns="aa0d983d-359a-438c-9953-3af1a8ac0831" xsi:nil="true"/>
  </documentManagement>
</p:properties>
</file>

<file path=customXml/itemProps1.xml><?xml version="1.0" encoding="utf-8"?>
<ds:datastoreItem xmlns:ds="http://schemas.openxmlformats.org/officeDocument/2006/customXml" ds:itemID="{605DD0A7-BC00-4D8E-8AD3-26E2A9FDEA54}">
  <ds:schemaRefs>
    <ds:schemaRef ds:uri="http://schemas.microsoft.com/sharepoint/v3/contenttype/forms"/>
  </ds:schemaRefs>
</ds:datastoreItem>
</file>

<file path=customXml/itemProps2.xml><?xml version="1.0" encoding="utf-8"?>
<ds:datastoreItem xmlns:ds="http://schemas.openxmlformats.org/officeDocument/2006/customXml" ds:itemID="{9703A619-DCB0-4BDF-96BA-CEA752E58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3e7e53-5eb2-45cf-b2ab-34c867e554b8"/>
    <ds:schemaRef ds:uri="aa0d983d-359a-438c-9953-3af1a8ac08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9F4DDD-DF1A-450D-8BF1-976CA47CFD58}">
  <ds:schemaRefs>
    <ds:schemaRef ds:uri="http://schemas.microsoft.com/office/2006/metadata/properties"/>
    <ds:schemaRef ds:uri="http://schemas.microsoft.com/office/infopath/2007/PartnerControls"/>
    <ds:schemaRef ds:uri="453e7e53-5eb2-45cf-b2ab-34c867e554b8"/>
    <ds:schemaRef ds:uri="aa0d983d-359a-438c-9953-3af1a8ac08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Darbalapiai</vt:lpstr>
      </vt:variant>
      <vt:variant>
        <vt:i4>8</vt:i4>
      </vt:variant>
      <vt:variant>
        <vt:lpstr>Įvardytieji diapazonai</vt:lpstr>
      </vt:variant>
      <vt:variant>
        <vt:i4>8</vt:i4>
      </vt:variant>
    </vt:vector>
  </HeadingPairs>
  <TitlesOfParts>
    <vt:vector size="16" baseType="lpstr">
      <vt:lpstr>Compatibility Report</vt:lpstr>
      <vt:lpstr>Greitis</vt:lpstr>
      <vt:lpstr>H2O</vt:lpstr>
      <vt:lpstr>Paėmimas</vt:lpstr>
      <vt:lpstr>Aerodinamika</vt:lpstr>
      <vt:lpstr>Koncentracija </vt:lpstr>
      <vt:lpstr>Svėrimas</vt:lpstr>
      <vt:lpstr>Koncentracijos ribinės vertės</vt:lpstr>
      <vt:lpstr>Aerodinamika!Print_Area</vt:lpstr>
      <vt:lpstr>'Koncentracija '!Print_Area</vt:lpstr>
      <vt:lpstr>Paėmimas!Print_Area</vt:lpstr>
      <vt:lpstr>Svėrimas!Print_Area</vt:lpstr>
      <vt:lpstr>Aerodinamika!Print_Titles</vt:lpstr>
      <vt:lpstr>'Koncentracija '!Print_Titles</vt:lpstr>
      <vt:lpstr>Paėmimas!Print_Titles</vt:lpstr>
      <vt:lpstr>Svėrimas!Print_Titles</vt:lpstr>
    </vt:vector>
  </TitlesOfParts>
  <Company>VAKS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Tomas Vilkickas</cp:lastModifiedBy>
  <cp:lastPrinted>2025-03-10T12:38:23Z</cp:lastPrinted>
  <dcterms:created xsi:type="dcterms:W3CDTF">2010-09-30T07:40:58Z</dcterms:created>
  <dcterms:modified xsi:type="dcterms:W3CDTF">2026-03-26T12:07:44Z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as">
    <vt:lpwstr/>
  </property>
  <property fmtid="{D5CDD505-2E9C-101B-9397-08002B2CF9AE}" pid="3" name="Statusas_2">
    <vt:lpwstr/>
  </property>
  <property fmtid="{D5CDD505-2E9C-101B-9397-08002B2CF9AE}" pid="4" name="lcf76f155ced4ddcb4097134ff3c332f">
    <vt:lpwstr/>
  </property>
  <property fmtid="{D5CDD505-2E9C-101B-9397-08002B2CF9AE}" pid="5" name="TaxCatchAll">
    <vt:lpwstr/>
  </property>
  <property fmtid="{D5CDD505-2E9C-101B-9397-08002B2CF9AE}" pid="6" name="MediaServiceImageTags">
    <vt:lpwstr/>
  </property>
  <property fmtid="{D5CDD505-2E9C-101B-9397-08002B2CF9AE}" pid="7" name="ContentTypeId">
    <vt:lpwstr>0x010100BAB57CF81AE55C4698AAD22D302297F0</vt:lpwstr>
  </property>
</Properties>
</file>