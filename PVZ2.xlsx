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Šios_darbaknygės" defaultThemeVersion="124226"/>
  <mc:AlternateContent xmlns:mc="http://schemas.openxmlformats.org/markup-compatibility/2006">
    <mc:Choice Requires="x15">
      <x15ac:absPath xmlns:x15ac="http://schemas.microsoft.com/office/spreadsheetml/2010/11/ac" url="https://agentura2020.sharepoint.com/sites/VidurioLietuvosaplinkostyrimuskyrius/Bendrai naudojami dokumentai/EB7-014 Darbuotojų failai/Tomo/Python 3.14.3/Skaiciavimai/"/>
    </mc:Choice>
  </mc:AlternateContent>
  <xr:revisionPtr revIDLastSave="1" documentId="8_{9216244B-CFBA-4143-A519-E463F52612D0}" xr6:coauthVersionLast="47" xr6:coauthVersionMax="47" xr10:uidLastSave="{D6945156-4103-492B-89A9-884392078EF5}"/>
  <workbookProtection workbookAlgorithmName="SHA-512" workbookHashValue="Kk54ag9ImqTncQsqV7PcaNGRro/3kYoEKFl8q6vcBRTn3/Xg+oN1UCiXWk/LuUg3F3fng86CvkRAeYb6QmrkaA==" workbookSaltValue="ZcTpRu/F72OWXHaAa/zcKg==" workbookSpinCount="100000" lockStructure="1"/>
  <bookViews>
    <workbookView xWindow="-110" yWindow="-110" windowWidth="19420" windowHeight="10300" tabRatio="821" firstSheet="1" activeTab="6" xr2:uid="{B097D0E3-85A4-46F7-964F-ABE00A6941B9}"/>
  </bookViews>
  <sheets>
    <sheet name="Compatibility Report" sheetId="4" state="hidden" r:id="rId1"/>
    <sheet name="H2O" sheetId="20" r:id="rId2"/>
    <sheet name="Paėmimas" sheetId="11" r:id="rId3"/>
    <sheet name="Aerodinamika " sheetId="1" r:id="rId4"/>
    <sheet name="Koncentracija " sheetId="2" r:id="rId5"/>
    <sheet name="Svėrimas" sheetId="12" r:id="rId6"/>
    <sheet name="Koncentracijos ribinės vertės" sheetId="22" r:id="rId7"/>
  </sheets>
  <definedNames>
    <definedName name="_xlnm._FilterDatabase" localSheetId="5" hidden="1">Svėrimas!$C$4:$O$6</definedName>
    <definedName name="_xlnm.Print_Area" localSheetId="3">'Aerodinamika '!$C$1:$M$5</definedName>
    <definedName name="_xlnm.Print_Area" localSheetId="4">'Koncentracija '!$C$1:$N$5</definedName>
    <definedName name="_xlnm.Print_Area" localSheetId="2">Paėmimas!$A$1:$S$5</definedName>
    <definedName name="_xlnm.Print_Area" localSheetId="5">Svėrimas!$C$1:$O$11</definedName>
    <definedName name="_xlnm.Print_Titles" localSheetId="3">'Aerodinamika '!$1:$5</definedName>
    <definedName name="_xlnm.Print_Titles" localSheetId="4">'Koncentracija '!$2:$5</definedName>
    <definedName name="_xlnm.Print_Titles" localSheetId="2">Paėmimas!$1:$5</definedName>
    <definedName name="_xlnm.Print_Titles" localSheetId="5">Svėrimas!$3:$4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1" l="1"/>
  <c r="M15" i="11" l="1"/>
  <c r="A6" i="22"/>
  <c r="M15" i="12" l="1"/>
  <c r="M14" i="12"/>
  <c r="M13" i="12"/>
  <c r="M12" i="12"/>
  <c r="M16" i="12" l="1"/>
  <c r="I6" i="2" s="1"/>
  <c r="V9" i="11"/>
  <c r="T9" i="11"/>
  <c r="U9" i="11"/>
  <c r="A6" i="1"/>
  <c r="Q14" i="11" l="1"/>
  <c r="G14" i="1" s="1"/>
  <c r="Q8" i="11"/>
  <c r="Q13" i="11"/>
  <c r="G13" i="1" s="1"/>
  <c r="Q7" i="11"/>
  <c r="Q9" i="11"/>
  <c r="Q12" i="11"/>
  <c r="Q11" i="11"/>
  <c r="Q10" i="11"/>
  <c r="Q6" i="11"/>
  <c r="P10" i="11"/>
  <c r="P14" i="11"/>
  <c r="P11" i="11"/>
  <c r="P9" i="11"/>
  <c r="P8" i="11"/>
  <c r="P13" i="11"/>
  <c r="P7" i="11"/>
  <c r="P12" i="11"/>
  <c r="P6" i="11"/>
  <c r="F13" i="11"/>
  <c r="F7" i="11"/>
  <c r="F11" i="11"/>
  <c r="F12" i="11"/>
  <c r="F6" i="11"/>
  <c r="F9" i="11"/>
  <c r="F14" i="11"/>
  <c r="F8" i="11"/>
  <c r="F10" i="11"/>
  <c r="L14" i="11"/>
  <c r="D14" i="1" s="1"/>
  <c r="E14" i="1" s="1"/>
  <c r="L13" i="11"/>
  <c r="D13" i="1" s="1"/>
  <c r="E13" i="1" s="1"/>
  <c r="G9" i="1" l="1"/>
  <c r="G10" i="1"/>
  <c r="G11" i="1"/>
  <c r="G12" i="1"/>
  <c r="O6" i="12" l="1"/>
  <c r="P6" i="2"/>
  <c r="N6" i="1"/>
  <c r="L9" i="11" l="1"/>
  <c r="D9" i="1" s="1"/>
  <c r="E9" i="1" s="1"/>
  <c r="L10" i="11"/>
  <c r="D10" i="1" s="1"/>
  <c r="E10" i="1" s="1"/>
  <c r="L11" i="11"/>
  <c r="D11" i="1" s="1"/>
  <c r="E11" i="1" s="1"/>
  <c r="L12" i="11"/>
  <c r="D12" i="1" s="1"/>
  <c r="E12" i="1" s="1"/>
  <c r="G7" i="1" l="1"/>
  <c r="G8" i="1"/>
  <c r="G6" i="1" l="1"/>
  <c r="G15" i="1" s="1"/>
  <c r="B6" i="1"/>
  <c r="C6" i="1"/>
  <c r="B6" i="12"/>
  <c r="H6" i="12"/>
  <c r="D6" i="12"/>
  <c r="G7" i="20" l="1"/>
  <c r="H7" i="20" s="1"/>
  <c r="K7" i="20" s="1"/>
  <c r="B6" i="2"/>
  <c r="N6" i="2"/>
  <c r="C6" i="2"/>
  <c r="M9" i="12"/>
  <c r="M6" i="1"/>
  <c r="A6" i="2"/>
  <c r="M11" i="12"/>
  <c r="H6" i="2" s="1"/>
  <c r="M8" i="12"/>
  <c r="M7" i="12"/>
  <c r="M6" i="12"/>
  <c r="F6" i="2"/>
  <c r="E6" i="2"/>
  <c r="D6" i="2"/>
  <c r="L7" i="11"/>
  <c r="D7" i="1" s="1"/>
  <c r="E7" i="1" s="1"/>
  <c r="L8" i="11"/>
  <c r="D8" i="1" s="1"/>
  <c r="E8" i="1" s="1"/>
  <c r="H14" i="1" l="1"/>
  <c r="H13" i="1"/>
  <c r="H12" i="1"/>
  <c r="H11" i="1"/>
  <c r="H10" i="1"/>
  <c r="H9" i="1"/>
  <c r="H8" i="1"/>
  <c r="H7" i="1"/>
  <c r="H6" i="1"/>
  <c r="G6" i="2"/>
  <c r="L15" i="11"/>
  <c r="L6" i="2" s="1"/>
  <c r="D6" i="1"/>
  <c r="M6" i="2" l="1"/>
  <c r="E6" i="1"/>
  <c r="F6" i="1" l="1"/>
  <c r="J6" i="2" s="1"/>
  <c r="K6" i="2" s="1"/>
  <c r="I10" i="1" l="1"/>
  <c r="J10" i="1" s="1"/>
  <c r="K10" i="1" s="1"/>
  <c r="I9" i="1"/>
  <c r="J9" i="1" s="1"/>
  <c r="K9" i="1" s="1"/>
  <c r="I14" i="1"/>
  <c r="J14" i="1" s="1"/>
  <c r="K14" i="1" s="1"/>
  <c r="I8" i="1"/>
  <c r="J8" i="1" s="1"/>
  <c r="K8" i="1" s="1"/>
  <c r="I13" i="1"/>
  <c r="J13" i="1" s="1"/>
  <c r="K13" i="1" s="1"/>
  <c r="I7" i="1"/>
  <c r="J7" i="1" s="1"/>
  <c r="K7" i="1" s="1"/>
  <c r="I12" i="1"/>
  <c r="J12" i="1" s="1"/>
  <c r="K12" i="1" s="1"/>
  <c r="I11" i="1"/>
  <c r="J11" i="1" s="1"/>
  <c r="K11" i="1" s="1"/>
  <c r="I6" i="1" l="1"/>
  <c r="J6" i="1" s="1"/>
  <c r="K6" i="1" s="1"/>
  <c r="L6" i="1" s="1"/>
</calcChain>
</file>

<file path=xl/sharedStrings.xml><?xml version="1.0" encoding="utf-8"?>
<sst xmlns="http://schemas.openxmlformats.org/spreadsheetml/2006/main" count="202" uniqueCount="127">
  <si>
    <t>Compatibility Report for Izo dulkes.xls</t>
  </si>
  <si>
    <t>Run on 2010.09.30 22:52</t>
  </si>
  <si>
    <t>The following features in this workbook are not supported by earlier versions of Excel. These features may be lost or degraded when you save this workbook in an earlier file format.</t>
  </si>
  <si>
    <t>Minor loss of fidelity</t>
  </si>
  <si>
    <t># of occurrences</t>
  </si>
  <si>
    <t>Some cells or styles in this workbook contain formatting that is not supported by the selected file format. These formats will be converted to the closest format available.</t>
  </si>
  <si>
    <t>Pastabos</t>
  </si>
  <si>
    <t xml:space="preserve">Filtro Nr. </t>
  </si>
  <si>
    <t>Matavimo data</t>
  </si>
  <si>
    <t>Objekto pavadinimas, adresas, taršos šaltinio Nr.</t>
  </si>
  <si>
    <t>Įvestiniai duomenys</t>
  </si>
  <si>
    <t>Suskaičiuoti duomenys</t>
  </si>
  <si>
    <t>Skaičiavimus atlikusio asmens inicialai, data</t>
  </si>
  <si>
    <t>Darbuotojo inicialai, data</t>
  </si>
  <si>
    <t xml:space="preserve"> </t>
  </si>
  <si>
    <t>Atsakingo asmens inicialai, data</t>
  </si>
  <si>
    <t>Izokine-tiškumas (0,95-1,15)</t>
  </si>
  <si>
    <t xml:space="preserve"> Izokine-tiškumo vidurkis  (0,95-1,15)</t>
  </si>
  <si>
    <t>EFSVPATD/3-3-1
AAA Aplinkos tyrimų departamentas</t>
  </si>
  <si>
    <t>EFSVPATD/3-3-2
AAA Aplinkos tyrimų departamentas</t>
  </si>
  <si>
    <t>EFSVPATD/3-3-3
AAA Aplinkos tyrimų departamentas</t>
  </si>
  <si>
    <t>FSVPATD/3-3-4
AAA Aplinkos tyrimų departamentas</t>
  </si>
  <si>
    <t>Išretėjimas, -hPa</t>
  </si>
  <si>
    <t>Paėmimo greitis, l/min</t>
  </si>
  <si>
    <t>Atmosf. Slėgis, hPa</t>
  </si>
  <si>
    <t>TŠ 001   H2O</t>
  </si>
  <si>
    <t>Vandens kondensato masė m H2O, kg</t>
  </si>
  <si>
    <t>Prasiurbtas dujų tūris normaliosiomis sąlygomis Vmn, Nm3</t>
  </si>
  <si>
    <t>Vidurkis qn, (kg/m3)</t>
  </si>
  <si>
    <t>1 filtras</t>
  </si>
  <si>
    <t>Pratraukto dujų tūrio suma H2O, Nm3. Įrašyti į "Dujų tūris pagal ISO" W stulpelį</t>
  </si>
  <si>
    <t>Išmatuotas vandens kiekis 10ltr*10 min.  Įrašyti iš "Dujų tūris pagal ISO" T stulpelio</t>
  </si>
  <si>
    <t>UAB ,,XXX". Taršos šaltinis Nr. 001.</t>
  </si>
  <si>
    <t>O2iš, (%) vidurkis</t>
  </si>
  <si>
    <t>CO2iš, (%) vidurkis</t>
  </si>
  <si>
    <t xml:space="preserve"> Ėminių ėmimo laikas t, min.</t>
  </si>
  <si>
    <t>Temp. prie aspirato-riaus, Vtr oC</t>
  </si>
  <si>
    <t>Dujų tūris normaliom sąlygom, Vn   l.</t>
  </si>
  <si>
    <t xml:space="preserve"> tor vidurkis, °C</t>
  </si>
  <si>
    <t>Patikrinimas, ar planuojamas surinkti dulkių kiekis suderinamas su tuščiojo ėminio verte ir ar filtras nebus per daug apkrautas</t>
  </si>
  <si>
    <t>Mažiausia ėminio ėmimo trukmė t, 30 min</t>
  </si>
  <si>
    <t>Tikėtina dulkių koncentracija cexs, mg/Nm3;</t>
  </si>
  <si>
    <t>Planuojamas dujų tūrio siurbimo greitis matavimo metu ortakio sąlygomis Vo, l/min.</t>
  </si>
  <si>
    <t>00</t>
  </si>
  <si>
    <t>01</t>
  </si>
  <si>
    <t>02</t>
  </si>
  <si>
    <t>03</t>
  </si>
  <si>
    <r>
      <t>Planuojama surinkti dulkių masė m, g (</t>
    </r>
    <r>
      <rPr>
        <sz val="12"/>
        <color rgb="FFFF0000"/>
        <rFont val="Times New Roman"/>
        <family val="1"/>
        <charset val="186"/>
      </rPr>
      <t>&lt;2,20 g</t>
    </r>
    <r>
      <rPr>
        <sz val="12"/>
        <rFont val="Times New Roman"/>
        <family val="1"/>
        <charset val="186"/>
      </rPr>
      <t>)</t>
    </r>
  </si>
  <si>
    <t>Ėminių   registracijos Nr. T-107-2026-E-</t>
  </si>
  <si>
    <t>Ortakio skersmuo d (m)</t>
  </si>
  <si>
    <r>
      <t>Temperatūra ortakyje t</t>
    </r>
    <r>
      <rPr>
        <b/>
        <vertAlign val="subscript"/>
        <sz val="11"/>
        <rFont val="Times New Roman"/>
        <family val="1"/>
        <charset val="186"/>
      </rPr>
      <t>or</t>
    </r>
    <r>
      <rPr>
        <b/>
        <sz val="11"/>
        <rFont val="Times New Roman"/>
        <family val="1"/>
        <charset val="186"/>
      </rPr>
      <t xml:space="preserve"> (°C)</t>
    </r>
  </si>
  <si>
    <r>
      <t>Vidutinis srauto greitis ortakyje w</t>
    </r>
    <r>
      <rPr>
        <b/>
        <vertAlign val="subscript"/>
        <sz val="11"/>
        <rFont val="Times New Roman"/>
        <family val="1"/>
        <charset val="186"/>
      </rPr>
      <t>or</t>
    </r>
    <r>
      <rPr>
        <b/>
        <sz val="11"/>
        <rFont val="Times New Roman"/>
        <family val="1"/>
        <charset val="186"/>
      </rPr>
      <t xml:space="preserve"> (m/s)</t>
    </r>
  </si>
  <si>
    <t>Atmosfe-rinis slėgis  P (hPa)</t>
  </si>
  <si>
    <r>
      <t>Statinis slėgis ortakyje  ΔP</t>
    </r>
    <r>
      <rPr>
        <b/>
        <vertAlign val="subscript"/>
        <sz val="11"/>
        <rFont val="Times New Roman"/>
        <family val="1"/>
        <charset val="186"/>
      </rPr>
      <t>or</t>
    </r>
    <r>
      <rPr>
        <b/>
        <sz val="11"/>
        <rFont val="Times New Roman"/>
        <family val="1"/>
        <charset val="186"/>
      </rPr>
      <t xml:space="preserve"> (hPa)</t>
    </r>
  </si>
  <si>
    <r>
      <t>Slėgis prieš rotametrą ΔP</t>
    </r>
    <r>
      <rPr>
        <b/>
        <vertAlign val="subscript"/>
        <sz val="11"/>
        <rFont val="Times New Roman"/>
        <family val="1"/>
        <charset val="186"/>
      </rPr>
      <t>r</t>
    </r>
    <r>
      <rPr>
        <b/>
        <sz val="11"/>
        <rFont val="Times New Roman"/>
        <family val="1"/>
        <charset val="186"/>
      </rPr>
      <t xml:space="preserve"> (±hPa)</t>
    </r>
  </si>
  <si>
    <r>
      <t>Antgalio diametras d</t>
    </r>
    <r>
      <rPr>
        <b/>
        <vertAlign val="subscript"/>
        <sz val="11"/>
        <rFont val="Times New Roman"/>
        <family val="1"/>
        <charset val="186"/>
      </rPr>
      <t>a</t>
    </r>
    <r>
      <rPr>
        <b/>
        <sz val="11"/>
        <rFont val="Times New Roman"/>
        <family val="1"/>
        <charset val="186"/>
      </rPr>
      <t xml:space="preserve"> (mm)</t>
    </r>
  </si>
  <si>
    <r>
      <t>Prasiurbtas  dujų tūris V</t>
    </r>
    <r>
      <rPr>
        <b/>
        <vertAlign val="subscript"/>
        <sz val="11"/>
        <rFont val="Times New Roman"/>
        <family val="1"/>
        <charset val="186"/>
      </rPr>
      <t>m</t>
    </r>
    <r>
      <rPr>
        <b/>
        <sz val="11"/>
        <rFont val="Times New Roman"/>
        <family val="1"/>
        <charset val="186"/>
      </rPr>
      <t xml:space="preserve"> (m3)</t>
    </r>
  </si>
  <si>
    <t xml:space="preserve">Siurbimo laikas t (min) </t>
  </si>
  <si>
    <t xml:space="preserve">Siurbimo greitis Vo (l/min) </t>
  </si>
  <si>
    <r>
      <t>Siurbiamų dujų temperatūra prieš rotametrą t</t>
    </r>
    <r>
      <rPr>
        <b/>
        <vertAlign val="subscript"/>
        <sz val="11"/>
        <rFont val="Times New Roman"/>
        <family val="1"/>
        <charset val="186"/>
      </rPr>
      <t>r</t>
    </r>
    <r>
      <rPr>
        <b/>
        <sz val="11"/>
        <rFont val="Times New Roman"/>
        <family val="1"/>
        <charset val="186"/>
      </rPr>
      <t xml:space="preserve"> (°C)</t>
    </r>
  </si>
  <si>
    <r>
      <t>O</t>
    </r>
    <r>
      <rPr>
        <b/>
        <vertAlign val="subscript"/>
        <sz val="11"/>
        <rFont val="Times New Roman"/>
        <family val="1"/>
        <charset val="186"/>
      </rPr>
      <t>2iš</t>
    </r>
    <r>
      <rPr>
        <b/>
        <sz val="11"/>
        <rFont val="Times New Roman"/>
        <family val="1"/>
        <charset val="186"/>
      </rPr>
      <t xml:space="preserve"> (%) (ore 21 %)</t>
    </r>
  </si>
  <si>
    <r>
      <t>CO</t>
    </r>
    <r>
      <rPr>
        <b/>
        <vertAlign val="subscript"/>
        <sz val="11"/>
        <rFont val="Times New Roman"/>
        <family val="1"/>
        <charset val="186"/>
      </rPr>
      <t>2iš</t>
    </r>
    <r>
      <rPr>
        <b/>
        <sz val="11"/>
        <rFont val="Times New Roman"/>
        <family val="1"/>
        <charset val="186"/>
      </rPr>
      <t xml:space="preserve"> (%) (ore 0,04 %)</t>
    </r>
  </si>
  <si>
    <t>Išmatuota O2 koncentracija (%)</t>
  </si>
  <si>
    <t>Išmatuota CO2 koncentracija (%)</t>
  </si>
  <si>
    <t>Temperatūra ortakyje tor (°C)</t>
  </si>
  <si>
    <t>Suma Vm (m3)</t>
  </si>
  <si>
    <t>Ėminių  registracijos Nr. T-107-2026-E-</t>
  </si>
  <si>
    <t>Prasiurbtas  dujų tūris Vm (m3)</t>
  </si>
  <si>
    <t>Prasiurbtas dujų tūris normaliosiomis sąlygomis Vmn (Nm3)</t>
  </si>
  <si>
    <t>Prasiurbto dujų tūrio normaliosiomis sąlygomis suma Vmn(sum) (Nm3)</t>
  </si>
  <si>
    <r>
      <t>Filtro svoris prieš KD ėmimą m</t>
    </r>
    <r>
      <rPr>
        <b/>
        <vertAlign val="subscript"/>
        <sz val="10"/>
        <rFont val="Times New Roman"/>
        <family val="1"/>
        <charset val="186"/>
      </rPr>
      <t>pr</t>
    </r>
    <r>
      <rPr>
        <b/>
        <sz val="10"/>
        <rFont val="Times New Roman"/>
        <family val="1"/>
        <charset val="186"/>
      </rPr>
      <t xml:space="preserve"> (g)</t>
    </r>
  </si>
  <si>
    <r>
      <t xml:space="preserve"> Filtro svoris po KD ėmimo m</t>
    </r>
    <r>
      <rPr>
        <b/>
        <vertAlign val="subscript"/>
        <sz val="10"/>
        <rFont val="Times New Roman"/>
        <family val="1"/>
        <charset val="186"/>
      </rPr>
      <t>po</t>
    </r>
    <r>
      <rPr>
        <b/>
        <sz val="10"/>
        <rFont val="Times New Roman"/>
        <family val="1"/>
        <charset val="186"/>
      </rPr>
      <t xml:space="preserve"> (g)</t>
    </r>
  </si>
  <si>
    <r>
      <t>Tuščiojo ėminio KD svoris m</t>
    </r>
    <r>
      <rPr>
        <b/>
        <vertAlign val="subscript"/>
        <sz val="10"/>
        <rFont val="Times New Roman"/>
        <family val="1"/>
        <charset val="186"/>
      </rPr>
      <t>t</t>
    </r>
    <r>
      <rPr>
        <b/>
        <sz val="10"/>
        <rFont val="Times New Roman"/>
        <family val="1"/>
        <charset val="186"/>
      </rPr>
      <t xml:space="preserve"> (g)</t>
    </r>
  </si>
  <si>
    <r>
      <t>Nuosėdų kiekis m</t>
    </r>
    <r>
      <rPr>
        <b/>
        <vertAlign val="subscript"/>
        <sz val="10"/>
        <rFont val="Times New Roman"/>
        <family val="1"/>
        <charset val="186"/>
      </rPr>
      <t>n</t>
    </r>
    <r>
      <rPr>
        <b/>
        <sz val="10"/>
        <rFont val="Times New Roman"/>
        <family val="1"/>
        <charset val="186"/>
      </rPr>
      <t xml:space="preserve"> (g)</t>
    </r>
  </si>
  <si>
    <r>
      <t>Indų svorių pokytis m</t>
    </r>
    <r>
      <rPr>
        <b/>
        <vertAlign val="subscript"/>
        <sz val="10"/>
        <rFont val="Times New Roman"/>
        <family val="1"/>
        <charset val="186"/>
      </rPr>
      <t>It</t>
    </r>
    <r>
      <rPr>
        <b/>
        <sz val="10"/>
        <rFont val="Times New Roman"/>
        <family val="1"/>
        <charset val="186"/>
      </rPr>
      <t xml:space="preserve"> (g)</t>
    </r>
  </si>
  <si>
    <r>
      <t>Sausų dujų tūris n.s. Vmn</t>
    </r>
    <r>
      <rPr>
        <b/>
        <vertAlign val="subscript"/>
        <sz val="10"/>
        <rFont val="Times New Roman"/>
        <family val="1"/>
        <charset val="186"/>
      </rPr>
      <t xml:space="preserve"> </t>
    </r>
    <r>
      <rPr>
        <b/>
        <sz val="10"/>
        <rFont val="Times New Roman"/>
        <family val="1"/>
        <charset val="186"/>
      </rPr>
      <t>(Nm</t>
    </r>
    <r>
      <rPr>
        <b/>
        <vertAlign val="superscript"/>
        <sz val="10"/>
        <rFont val="Times New Roman"/>
        <family val="1"/>
        <charset val="186"/>
      </rPr>
      <t>3</t>
    </r>
    <r>
      <rPr>
        <b/>
        <sz val="10"/>
        <rFont val="Times New Roman"/>
        <family val="1"/>
        <charset val="186"/>
      </rPr>
      <t>)</t>
    </r>
  </si>
  <si>
    <r>
      <t>Kietų dalelių koncentracija c</t>
    </r>
    <r>
      <rPr>
        <b/>
        <vertAlign val="subscript"/>
        <sz val="10"/>
        <rFont val="Times New Roman"/>
        <family val="1"/>
        <charset val="186"/>
      </rPr>
      <t>1</t>
    </r>
    <r>
      <rPr>
        <b/>
        <sz val="10"/>
        <rFont val="Times New Roman"/>
        <family val="1"/>
        <charset val="186"/>
      </rPr>
      <t xml:space="preserve">  (neįvert. O2</t>
    </r>
    <r>
      <rPr>
        <b/>
        <vertAlign val="subscript"/>
        <sz val="10"/>
        <rFont val="Times New Roman"/>
        <family val="1"/>
        <charset val="186"/>
      </rPr>
      <t xml:space="preserve">) </t>
    </r>
    <r>
      <rPr>
        <b/>
        <sz val="10"/>
        <rFont val="Times New Roman"/>
        <family val="1"/>
        <charset val="186"/>
      </rPr>
      <t>(mg/Nm</t>
    </r>
    <r>
      <rPr>
        <b/>
        <vertAlign val="superscript"/>
        <sz val="10"/>
        <rFont val="Times New Roman"/>
        <family val="1"/>
        <charset val="186"/>
      </rPr>
      <t>3</t>
    </r>
    <r>
      <rPr>
        <b/>
        <sz val="10"/>
        <rFont val="Times New Roman"/>
        <family val="1"/>
        <charset val="186"/>
      </rPr>
      <t>)</t>
    </r>
  </si>
  <si>
    <t>Sausų dujų tankis normaliosioms sąlygomis qn (kg/m3)</t>
  </si>
  <si>
    <t>Drėgmės kiekis X (%)</t>
  </si>
  <si>
    <r>
      <t>Pratrauktas drėgnų dujų tūris realiomis sąlygomis V</t>
    </r>
    <r>
      <rPr>
        <b/>
        <vertAlign val="subscript"/>
        <sz val="11"/>
        <rFont val="Times New Roman"/>
        <family val="1"/>
        <charset val="186"/>
      </rPr>
      <t xml:space="preserve">mk </t>
    </r>
    <r>
      <rPr>
        <b/>
        <sz val="11"/>
        <rFont val="Times New Roman"/>
        <family val="1"/>
        <charset val="186"/>
      </rPr>
      <t>(m</t>
    </r>
    <r>
      <rPr>
        <b/>
        <vertAlign val="superscript"/>
        <sz val="11"/>
        <rFont val="Times New Roman"/>
        <family val="1"/>
        <charset val="186"/>
      </rPr>
      <t>3</t>
    </r>
    <r>
      <rPr>
        <b/>
        <sz val="11"/>
        <rFont val="Times New Roman"/>
        <family val="1"/>
        <charset val="186"/>
      </rPr>
      <t>)</t>
    </r>
  </si>
  <si>
    <r>
      <t xml:space="preserve">Dujų srauto greitis antgalyje v </t>
    </r>
    <r>
      <rPr>
        <b/>
        <vertAlign val="subscript"/>
        <sz val="11"/>
        <rFont val="Times New Roman"/>
        <family val="1"/>
        <charset val="186"/>
      </rPr>
      <t>antg.</t>
    </r>
    <r>
      <rPr>
        <b/>
        <sz val="11"/>
        <rFont val="Times New Roman"/>
        <family val="1"/>
        <charset val="186"/>
      </rPr>
      <t xml:space="preserve"> (m/s)</t>
    </r>
  </si>
  <si>
    <t>Ėminių registracijos Nr. T-107-2026-E-</t>
  </si>
  <si>
    <t xml:space="preserve">Filtro/ indo Nr. </t>
  </si>
  <si>
    <t>Tuščio filtro/indo svėrimo data</t>
  </si>
  <si>
    <r>
      <t>Filtro/indo svoris prieš KD ėmimą m</t>
    </r>
    <r>
      <rPr>
        <b/>
        <vertAlign val="subscript"/>
        <sz val="11"/>
        <rFont val="Times New Roman"/>
        <family val="1"/>
      </rPr>
      <t>pr</t>
    </r>
    <r>
      <rPr>
        <b/>
        <sz val="11"/>
        <rFont val="Times New Roman"/>
        <family val="1"/>
        <charset val="186"/>
      </rPr>
      <t xml:space="preserve"> (g)</t>
    </r>
  </si>
  <si>
    <t xml:space="preserve"> Filtro/indo su ėminiu svėrimo data</t>
  </si>
  <si>
    <r>
      <t xml:space="preserve"> Filtro/indo svoris po KD ėmimo m</t>
    </r>
    <r>
      <rPr>
        <b/>
        <vertAlign val="subscript"/>
        <sz val="11"/>
        <rFont val="Times New Roman"/>
        <family val="1"/>
      </rPr>
      <t>po</t>
    </r>
    <r>
      <rPr>
        <b/>
        <sz val="11"/>
        <rFont val="Times New Roman"/>
        <family val="1"/>
        <charset val="186"/>
      </rPr>
      <t xml:space="preserve"> (g)</t>
    </r>
  </si>
  <si>
    <t>Skerspjūvio plotas A  (m2)</t>
  </si>
  <si>
    <r>
      <t>Tuščiasis ėminys (m</t>
    </r>
    <r>
      <rPr>
        <vertAlign val="subscript"/>
        <sz val="11"/>
        <rFont val="Times New Roman"/>
        <family val="1"/>
      </rPr>
      <t>t)</t>
    </r>
  </si>
  <si>
    <r>
      <t>Išplautos nuosėdos (m</t>
    </r>
    <r>
      <rPr>
        <vertAlign val="subscript"/>
        <sz val="11"/>
        <rFont val="Times New Roman"/>
        <family val="1"/>
      </rPr>
      <t>n)</t>
    </r>
  </si>
  <si>
    <r>
      <t>Išvalytos ėminių sistemos tuščiasis ėminys (m</t>
    </r>
    <r>
      <rPr>
        <vertAlign val="subscript"/>
        <sz val="11"/>
        <rFont val="Times New Roman"/>
        <family val="1"/>
      </rPr>
      <t>It)</t>
    </r>
  </si>
  <si>
    <r>
      <t>Tušti indai svorio kontrolei (m</t>
    </r>
    <r>
      <rPr>
        <vertAlign val="subscript"/>
        <sz val="11"/>
        <rFont val="Times New Roman"/>
        <family val="1"/>
      </rPr>
      <t>It1)</t>
    </r>
  </si>
  <si>
    <r>
      <t>Tušti indai svorio kontrolei (m</t>
    </r>
    <r>
      <rPr>
        <vertAlign val="subscript"/>
        <sz val="11"/>
        <rFont val="Times New Roman"/>
        <family val="1"/>
      </rPr>
      <t>It2)</t>
    </r>
  </si>
  <si>
    <r>
      <t>Tušti indai svorio kontrolei (m</t>
    </r>
    <r>
      <rPr>
        <vertAlign val="subscript"/>
        <sz val="11"/>
        <rFont val="Times New Roman"/>
        <family val="1"/>
      </rPr>
      <t>It3)</t>
    </r>
  </si>
  <si>
    <r>
      <t>Tuščių indų ir išvalytos ėminių sistemos tuščiojo ėminio svorio pokytis (m</t>
    </r>
    <r>
      <rPr>
        <vertAlign val="subscript"/>
        <sz val="11"/>
        <rFont val="Times New Roman"/>
        <family val="1"/>
      </rPr>
      <t>Itp)</t>
    </r>
  </si>
  <si>
    <t>Suma t, min</t>
  </si>
  <si>
    <t>XXXXX</t>
  </si>
  <si>
    <t>X</t>
  </si>
  <si>
    <t>XX</t>
  </si>
  <si>
    <t>XXXX</t>
  </si>
  <si>
    <t>XXXXXX</t>
  </si>
  <si>
    <t>XXXXXXX</t>
  </si>
  <si>
    <t>Skaičiuoklė kietųjų dalelių koncentracijai nustatyti. Kietųjų dalelių koncentracijos nustatymas</t>
  </si>
  <si>
    <t>Skaičiuoklė kietųjų dalelių koncentracijai nustatyti. Svėrimas</t>
  </si>
  <si>
    <t>Skaičiuoklė kietųjų dalelių koncentracijai nustatyti. Izokinetiškumo nustatymas</t>
  </si>
  <si>
    <t>Skaičiuoklė kietųjų dalelių koncentracijai nustatyti. Pradinių duomenų nustatymas</t>
  </si>
  <si>
    <t>Drėgmės kiekis X (%) (izokinetinei sistemai)</t>
  </si>
  <si>
    <t>Informacija</t>
  </si>
  <si>
    <t>1. Įvestiniai duomenys -žaliuose langeliuose</t>
  </si>
  <si>
    <t>2. Išėjimo duomenys - geltonuose langeliuose</t>
  </si>
  <si>
    <t>3. Skaičiuoklių tikrinimui - duomenis esančius tik žaliuose langeliuose perkelti į tikrinamą skaičiuoklę</t>
  </si>
  <si>
    <t xml:space="preserve">4. Patikrinti, ar geltonuose langeliuose tokie patys išėjimo duomenys, atspausdinti ir padaryti įrašą, kad  skaičiavimai teisingi </t>
  </si>
  <si>
    <t>5. Skaičiuoklė gali būti naudojama ir kitiems metodams.</t>
  </si>
  <si>
    <t>6.  *Pažymėti stulpeliai gali būti nenurodyti, jeigu skaičiavimai atliekami ir rezultatai pateikiami kitose skaičiuoklėse ar formose.</t>
  </si>
  <si>
    <t xml:space="preserve">Patikrino: Skaičiuoklė patikrinta rankiniu būdu. Skaičiavimai teisingi.            </t>
  </si>
  <si>
    <t>V. Palubeckis</t>
  </si>
  <si>
    <t xml:space="preserve">         (data)</t>
  </si>
  <si>
    <t>(v., pavardė)</t>
  </si>
  <si>
    <t>Patvirtino: Skaičiuoklę galima taikyti KD skaičiavimui pagal ISO 9096:2017, SVP ATD/3-2, LST EN 13284-1:2018, LAND 43-2013.</t>
  </si>
  <si>
    <t>(data)</t>
  </si>
  <si>
    <t>E7-14_02     2026-01-02, V.P.</t>
  </si>
  <si>
    <t>S. Čekanauskas</t>
  </si>
  <si>
    <r>
      <t>Kietųjų dalelių svoris  m</t>
    </r>
    <r>
      <rPr>
        <b/>
        <vertAlign val="subscript"/>
        <sz val="11"/>
        <color theme="1"/>
        <rFont val="Times New Roman"/>
        <family val="1"/>
      </rPr>
      <t>f</t>
    </r>
    <r>
      <rPr>
        <b/>
        <sz val="11"/>
        <color theme="1"/>
        <rFont val="Times New Roman"/>
        <family val="1"/>
      </rPr>
      <t xml:space="preserve">/Svorių pokytis (g) (&lt;2,20 g </t>
    </r>
    <r>
      <rPr>
        <b/>
        <sz val="10"/>
        <color theme="1"/>
        <rFont val="Times New Roman"/>
        <family val="1"/>
      </rPr>
      <t>filtro talpumas)</t>
    </r>
  </si>
  <si>
    <r>
      <t>Tuščiojo filtro vertė m</t>
    </r>
    <r>
      <rPr>
        <b/>
        <i/>
        <sz val="10"/>
        <color theme="1"/>
        <rFont val="Times New Roman"/>
        <family val="1"/>
        <charset val="186"/>
      </rPr>
      <t>ft</t>
    </r>
    <r>
      <rPr>
        <b/>
        <sz val="10"/>
        <color theme="1"/>
        <rFont val="Times New Roman"/>
        <family val="1"/>
        <charset val="186"/>
      </rPr>
      <t xml:space="preserve"> (mg/m3) (&lt; 2 mg/m3)</t>
    </r>
  </si>
  <si>
    <t>Surinktų dulkių ir tuščiojo ėminio santykis mFtk (&gt;5)</t>
  </si>
  <si>
    <t>Filtrų skaičius Fsk (vnt.)</t>
  </si>
  <si>
    <t>Skaičiuoklė kietųjų dalelių koncentracijai nustatyti. H2O skaičiavimas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</si>
</sst>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0"/>
    <numFmt numFmtId="165" formatCode="0.0000"/>
    <numFmt numFmtId="166" formatCode="0.000"/>
    <numFmt numFmtId="167" formatCode="0.0"/>
    <numFmt numFmtId="168" formatCode="0.000000"/>
    <numFmt numFmtId="169" formatCode="0.0;[Red]0.0"/>
    <numFmt numFmtId="170" formatCode="yyyy\-mm\-dd;@"/>
    <numFmt numFmtId="171" formatCode="0;[Red]0"/>
    <numFmt numFmtId="172" formatCode="yyyy\-mm\-dd"/>
  </numFmts>
  <fonts count="32" x14ac:knownFonts="1">
    <font>
      <sz val="10"/>
      <name val="Arial"/>
      <charset val="186"/>
    </font>
    <font>
      <sz val="10"/>
      <name val="Arial"/>
      <family val="2"/>
      <charset val="186"/>
    </font>
    <font>
      <b/>
      <sz val="10"/>
      <name val="Arial"/>
      <family val="2"/>
      <charset val="186"/>
    </font>
    <font>
      <sz val="10"/>
      <name val="Times New Roman"/>
      <family val="1"/>
      <charset val="186"/>
    </font>
    <font>
      <sz val="11"/>
      <name val="Times New Roman"/>
      <family val="1"/>
      <charset val="186"/>
    </font>
    <font>
      <sz val="10"/>
      <name val="Arial"/>
      <family val="2"/>
      <charset val="186"/>
    </font>
    <font>
      <sz val="8"/>
      <name val="Arial"/>
      <family val="2"/>
      <charset val="186"/>
    </font>
    <font>
      <sz val="8"/>
      <name val="Arial"/>
      <family val="2"/>
      <charset val="186"/>
    </font>
    <font>
      <b/>
      <sz val="11"/>
      <name val="Times New Roman"/>
      <family val="1"/>
      <charset val="186"/>
    </font>
    <font>
      <b/>
      <sz val="12"/>
      <name val="Times New Roman"/>
      <family val="1"/>
      <charset val="186"/>
    </font>
    <font>
      <sz val="11"/>
      <color theme="1"/>
      <name val="Times New Roman"/>
      <family val="1"/>
      <charset val="186"/>
    </font>
    <font>
      <b/>
      <sz val="11"/>
      <color theme="1"/>
      <name val="Times New Roman"/>
      <family val="1"/>
      <charset val="186"/>
    </font>
    <font>
      <b/>
      <sz val="12"/>
      <color theme="1"/>
      <name val="Times New Roman"/>
      <family val="1"/>
      <charset val="186"/>
    </font>
    <font>
      <sz val="11"/>
      <color rgb="FFFF0000"/>
      <name val="Times New Roman"/>
      <family val="1"/>
      <charset val="186"/>
    </font>
    <font>
      <b/>
      <sz val="10"/>
      <name val="Times New Roman"/>
      <family val="1"/>
      <charset val="186"/>
    </font>
    <font>
      <sz val="12"/>
      <name val="Times New Roman"/>
      <family val="1"/>
      <charset val="186"/>
    </font>
    <font>
      <sz val="12"/>
      <color rgb="FFFF0000"/>
      <name val="Times New Roman"/>
      <family val="1"/>
      <charset val="186"/>
    </font>
    <font>
      <sz val="12"/>
      <name val="Times New Roman"/>
      <family val="2"/>
      <charset val="186"/>
    </font>
    <font>
      <b/>
      <vertAlign val="subscript"/>
      <sz val="11"/>
      <name val="Times New Roman"/>
      <family val="1"/>
      <charset val="186"/>
    </font>
    <font>
      <b/>
      <vertAlign val="superscript"/>
      <sz val="11"/>
      <name val="Times New Roman"/>
      <family val="1"/>
      <charset val="186"/>
    </font>
    <font>
      <b/>
      <vertAlign val="subscript"/>
      <sz val="10"/>
      <name val="Times New Roman"/>
      <family val="1"/>
      <charset val="186"/>
    </font>
    <font>
      <b/>
      <vertAlign val="superscript"/>
      <sz val="10"/>
      <name val="Times New Roman"/>
      <family val="1"/>
      <charset val="186"/>
    </font>
    <font>
      <b/>
      <vertAlign val="subscript"/>
      <sz val="11"/>
      <name val="Times New Roman"/>
      <family val="1"/>
    </font>
    <font>
      <b/>
      <sz val="11"/>
      <name val="Times New Roman"/>
      <family val="1"/>
    </font>
    <font>
      <vertAlign val="subscript"/>
      <sz val="11"/>
      <name val="Times New Roman"/>
      <family val="1"/>
    </font>
    <font>
      <sz val="11"/>
      <name val="Times New Roman"/>
      <family val="1"/>
    </font>
    <font>
      <sz val="11"/>
      <color rgb="FF000000"/>
      <name val="Times New Roman"/>
      <family val="1"/>
      <charset val="186"/>
    </font>
    <font>
      <b/>
      <sz val="11"/>
      <color theme="1"/>
      <name val="Times New Roman"/>
      <family val="1"/>
    </font>
    <font>
      <b/>
      <vertAlign val="subscript"/>
      <sz val="11"/>
      <color theme="1"/>
      <name val="Times New Roman"/>
      <family val="1"/>
    </font>
    <font>
      <b/>
      <sz val="10"/>
      <color theme="1"/>
      <name val="Times New Roman"/>
      <family val="1"/>
    </font>
    <font>
      <b/>
      <sz val="10"/>
      <color theme="1"/>
      <name val="Times New Roman"/>
      <family val="1"/>
      <charset val="186"/>
    </font>
    <font>
      <b/>
      <i/>
      <sz val="10"/>
      <color theme="1"/>
      <name val="Times New Roman"/>
      <family val="1"/>
      <charset val="186"/>
    </font>
  </fonts>
  <fills count="11">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rgb="FF92D050"/>
        <bgColor indexed="64"/>
      </patternFill>
    </fill>
    <fill>
      <patternFill patternType="solid">
        <fgColor theme="0" tint="-0.14999847407452621"/>
        <bgColor indexed="64"/>
      </patternFill>
    </fill>
    <fill>
      <patternFill patternType="solid">
        <fgColor rgb="FFFFFF00"/>
        <bgColor rgb="FF000000"/>
      </patternFill>
    </fill>
    <fill>
      <patternFill patternType="solid">
        <fgColor rgb="FF00B050"/>
        <bgColor indexed="64"/>
      </patternFill>
    </fill>
    <fill>
      <patternFill patternType="solid">
        <fgColor theme="0"/>
        <bgColor indexed="64"/>
      </patternFill>
    </fill>
    <fill>
      <patternFill patternType="solid">
        <fgColor rgb="FF92D050"/>
        <bgColor rgb="FF000000"/>
      </patternFill>
    </fill>
  </fills>
  <borders count="20">
    <border>
      <left/>
      <right/>
      <top/>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style="medium">
        <color indexed="64"/>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1" fillId="0" borderId="0"/>
    <xf numFmtId="9" fontId="5" fillId="0" borderId="0" applyFont="0" applyFill="0" applyBorder="0" applyAlignment="0" applyProtection="0"/>
    <xf numFmtId="9" fontId="1" fillId="0" borderId="0" applyFont="0" applyFill="0" applyBorder="0" applyAlignment="0" applyProtection="0"/>
  </cellStyleXfs>
  <cellXfs count="232">
    <xf numFmtId="0" fontId="0" fillId="0" borderId="0" xfId="0"/>
    <xf numFmtId="0" fontId="2"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2" fillId="0" borderId="0" xfId="0" applyFont="1" applyAlignment="1">
      <alignment horizontal="center" vertical="top" wrapText="1"/>
    </xf>
    <xf numFmtId="0" fontId="0" fillId="0" borderId="0" xfId="0"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0" fontId="10" fillId="0" borderId="4"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locked="0"/>
    </xf>
    <xf numFmtId="0" fontId="8" fillId="0" borderId="5" xfId="1" applyFont="1" applyBorder="1" applyAlignment="1" applyProtection="1">
      <alignment horizontal="center" vertical="center" wrapText="1"/>
      <protection locked="0"/>
    </xf>
    <xf numFmtId="0" fontId="8" fillId="0" borderId="4" xfId="0" applyFont="1" applyBorder="1" applyAlignment="1" applyProtection="1">
      <alignment horizontal="center" vertical="center" wrapText="1"/>
      <protection locked="0"/>
    </xf>
    <xf numFmtId="0" fontId="9" fillId="0" borderId="4" xfId="0" applyFont="1" applyBorder="1" applyAlignment="1" applyProtection="1">
      <alignment horizontal="center" vertical="center"/>
      <protection locked="0"/>
    </xf>
    <xf numFmtId="0" fontId="4" fillId="0" borderId="0" xfId="0" applyFont="1" applyProtection="1">
      <protection locked="0"/>
    </xf>
    <xf numFmtId="0" fontId="10" fillId="0" borderId="0" xfId="0" applyFont="1" applyAlignment="1" applyProtection="1">
      <alignment horizontal="center" vertical="center" wrapText="1"/>
      <protection locked="0"/>
    </xf>
    <xf numFmtId="0" fontId="4" fillId="0" borderId="0" xfId="0" applyFont="1" applyAlignment="1" applyProtection="1">
      <alignment horizontal="right"/>
      <protection locked="0"/>
    </xf>
    <xf numFmtId="2" fontId="4" fillId="0" borderId="10" xfId="0" applyNumberFormat="1" applyFont="1" applyBorder="1" applyAlignment="1" applyProtection="1">
      <alignment horizontal="center" vertical="center"/>
      <protection locked="0"/>
    </xf>
    <xf numFmtId="165" fontId="4" fillId="0" borderId="10" xfId="0" applyNumberFormat="1" applyFont="1" applyBorder="1" applyAlignment="1" applyProtection="1">
      <alignment horizontal="center" vertical="center"/>
      <protection locked="0"/>
    </xf>
    <xf numFmtId="0" fontId="4" fillId="0" borderId="4" xfId="0" applyFont="1" applyBorder="1" applyAlignment="1" applyProtection="1">
      <alignment horizontal="center" vertical="center"/>
      <protection locked="0"/>
    </xf>
    <xf numFmtId="0" fontId="4" fillId="0" borderId="8" xfId="0" applyFont="1" applyBorder="1" applyAlignment="1" applyProtection="1">
      <alignment horizontal="center" vertical="center"/>
      <protection locked="0"/>
    </xf>
    <xf numFmtId="0" fontId="4" fillId="0" borderId="10" xfId="0" applyFont="1" applyBorder="1" applyAlignment="1" applyProtection="1">
      <alignment horizontal="center" vertical="center" wrapText="1"/>
      <protection locked="0"/>
    </xf>
    <xf numFmtId="0" fontId="10" fillId="0" borderId="0" xfId="0" applyFont="1" applyAlignment="1" applyProtection="1">
      <alignment horizontal="center" wrapText="1"/>
      <protection locked="0"/>
    </xf>
    <xf numFmtId="0" fontId="4" fillId="0" borderId="0" xfId="1" applyFont="1" applyProtection="1">
      <protection locked="0"/>
    </xf>
    <xf numFmtId="0" fontId="4" fillId="3" borderId="0" xfId="0" applyFont="1" applyFill="1" applyProtection="1">
      <protection locked="0"/>
    </xf>
    <xf numFmtId="0" fontId="4" fillId="4" borderId="0" xfId="0" applyFont="1" applyFill="1" applyProtection="1">
      <protection locked="0"/>
    </xf>
    <xf numFmtId="2" fontId="4" fillId="0" borderId="0" xfId="0" applyNumberFormat="1" applyFont="1" applyAlignment="1" applyProtection="1">
      <alignment vertical="center"/>
      <protection locked="0"/>
    </xf>
    <xf numFmtId="0" fontId="8" fillId="0" borderId="0" xfId="0" applyFont="1" applyProtection="1">
      <protection locked="0"/>
    </xf>
    <xf numFmtId="172" fontId="4" fillId="0" borderId="10" xfId="0" applyNumberFormat="1" applyFont="1" applyBorder="1" applyAlignment="1" applyProtection="1">
      <alignment horizontal="center" vertical="center"/>
      <protection locked="0"/>
    </xf>
    <xf numFmtId="164" fontId="4" fillId="0" borderId="11" xfId="0" applyNumberFormat="1"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4" fillId="0" borderId="7" xfId="0" applyFont="1" applyBorder="1" applyAlignment="1" applyProtection="1">
      <alignment horizontal="center" vertical="center"/>
      <protection locked="0"/>
    </xf>
    <xf numFmtId="0" fontId="4" fillId="0" borderId="10" xfId="0" applyFont="1" applyBorder="1" applyAlignment="1" applyProtection="1">
      <alignment horizontal="center" vertical="center"/>
      <protection locked="0"/>
    </xf>
    <xf numFmtId="0" fontId="4" fillId="0" borderId="7" xfId="0" applyFont="1" applyBorder="1" applyProtection="1">
      <protection locked="0"/>
    </xf>
    <xf numFmtId="0" fontId="4" fillId="0" borderId="11" xfId="0" applyFont="1" applyBorder="1" applyProtection="1">
      <protection locked="0"/>
    </xf>
    <xf numFmtId="170" fontId="4" fillId="0" borderId="10" xfId="0" applyNumberFormat="1"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3" fillId="0" borderId="0" xfId="0" applyFont="1" applyProtection="1">
      <protection locked="0"/>
    </xf>
    <xf numFmtId="49" fontId="9" fillId="0" borderId="0" xfId="0" applyNumberFormat="1" applyFont="1" applyAlignment="1" applyProtection="1">
      <alignment horizontal="center" vertical="center"/>
      <protection locked="0"/>
    </xf>
    <xf numFmtId="0" fontId="11" fillId="0" borderId="4" xfId="0" applyFont="1" applyBorder="1" applyAlignment="1" applyProtection="1">
      <alignment horizontal="center" vertical="center" wrapText="1"/>
      <protection locked="0"/>
    </xf>
    <xf numFmtId="167" fontId="9" fillId="0" borderId="4" xfId="0" applyNumberFormat="1" applyFont="1" applyBorder="1" applyAlignment="1" applyProtection="1">
      <alignment horizontal="center" vertical="center"/>
      <protection locked="0"/>
    </xf>
    <xf numFmtId="0" fontId="4" fillId="0" borderId="5" xfId="0" applyFont="1" applyBorder="1" applyAlignment="1" applyProtection="1">
      <alignment horizontal="center" vertical="center" wrapText="1"/>
      <protection locked="0"/>
    </xf>
    <xf numFmtId="0" fontId="3" fillId="0" borderId="4" xfId="0" applyFont="1" applyBorder="1" applyProtection="1">
      <protection locked="0"/>
    </xf>
    <xf numFmtId="166" fontId="12" fillId="0" borderId="4" xfId="0" applyNumberFormat="1" applyFont="1" applyBorder="1" applyAlignment="1" applyProtection="1">
      <alignment horizontal="center" vertical="center"/>
      <protection locked="0"/>
    </xf>
    <xf numFmtId="0" fontId="8" fillId="0" borderId="5" xfId="0" applyFont="1" applyBorder="1" applyAlignment="1" applyProtection="1">
      <alignment horizontal="center" vertical="center" wrapText="1"/>
      <protection locked="0"/>
    </xf>
    <xf numFmtId="170" fontId="4" fillId="0" borderId="5" xfId="0" applyNumberFormat="1" applyFont="1" applyBorder="1" applyAlignment="1" applyProtection="1">
      <alignment horizontal="center" vertical="center"/>
      <protection locked="0"/>
    </xf>
    <xf numFmtId="0" fontId="4" fillId="0" borderId="5" xfId="0" applyFont="1" applyBorder="1" applyAlignment="1" applyProtection="1">
      <alignment horizontal="center" vertical="center"/>
      <protection locked="0"/>
    </xf>
    <xf numFmtId="0" fontId="8" fillId="0" borderId="4" xfId="0" applyFont="1" applyBorder="1" applyAlignment="1" applyProtection="1">
      <alignment horizontal="center" vertical="center"/>
      <protection locked="0"/>
    </xf>
    <xf numFmtId="0" fontId="3" fillId="0" borderId="4" xfId="0" applyFont="1" applyBorder="1" applyAlignment="1" applyProtection="1">
      <alignment horizontal="center" vertical="center"/>
      <protection locked="0"/>
    </xf>
    <xf numFmtId="0" fontId="10" fillId="0" borderId="0" xfId="0" applyFont="1" applyAlignment="1" applyProtection="1">
      <alignment vertical="top" wrapText="1"/>
      <protection locked="0"/>
    </xf>
    <xf numFmtId="166" fontId="4" fillId="2" borderId="4" xfId="0" applyNumberFormat="1" applyFont="1" applyFill="1" applyBorder="1" applyAlignment="1">
      <alignment horizontal="center" vertical="center"/>
    </xf>
    <xf numFmtId="170" fontId="4" fillId="0" borderId="10" xfId="0" applyNumberFormat="1" applyFont="1" applyBorder="1" applyAlignment="1" applyProtection="1">
      <alignment vertical="center"/>
      <protection locked="0"/>
    </xf>
    <xf numFmtId="166" fontId="4" fillId="0" borderId="10" xfId="0" applyNumberFormat="1" applyFont="1" applyBorder="1" applyAlignment="1" applyProtection="1">
      <alignment horizontal="center" vertical="center"/>
      <protection locked="0"/>
    </xf>
    <xf numFmtId="170" fontId="4" fillId="0" borderId="8" xfId="0" applyNumberFormat="1" applyFont="1" applyBorder="1" applyAlignment="1" applyProtection="1">
      <alignment vertical="center"/>
      <protection locked="0"/>
    </xf>
    <xf numFmtId="0" fontId="4" fillId="0" borderId="8" xfId="0" applyFont="1" applyBorder="1" applyAlignment="1" applyProtection="1">
      <alignment horizontal="center" vertical="center" wrapText="1"/>
      <protection locked="0"/>
    </xf>
    <xf numFmtId="166" fontId="4" fillId="0" borderId="8" xfId="0" applyNumberFormat="1" applyFont="1" applyBorder="1" applyAlignment="1" applyProtection="1">
      <alignment horizontal="center" vertical="center"/>
      <protection locked="0"/>
    </xf>
    <xf numFmtId="2" fontId="4" fillId="0" borderId="8" xfId="0" applyNumberFormat="1" applyFont="1" applyBorder="1" applyAlignment="1" applyProtection="1">
      <alignment horizontal="center" vertical="center"/>
      <protection locked="0"/>
    </xf>
    <xf numFmtId="164" fontId="4" fillId="2" borderId="4" xfId="0" applyNumberFormat="1" applyFont="1" applyFill="1" applyBorder="1" applyAlignment="1">
      <alignment horizontal="center" vertical="center"/>
    </xf>
    <xf numFmtId="2" fontId="9" fillId="2" borderId="4" xfId="0" applyNumberFormat="1" applyFont="1" applyFill="1" applyBorder="1" applyAlignment="1">
      <alignment horizontal="center" vertical="center"/>
    </xf>
    <xf numFmtId="168" fontId="9" fillId="2" borderId="4" xfId="0" applyNumberFormat="1" applyFont="1" applyFill="1" applyBorder="1" applyAlignment="1">
      <alignment horizontal="center" vertical="center"/>
    </xf>
    <xf numFmtId="167" fontId="4" fillId="2" borderId="4" xfId="0" applyNumberFormat="1" applyFont="1" applyFill="1" applyBorder="1" applyAlignment="1">
      <alignment horizontal="center" vertical="center"/>
    </xf>
    <xf numFmtId="166" fontId="4" fillId="2" borderId="5" xfId="0" applyNumberFormat="1" applyFont="1" applyFill="1" applyBorder="1" applyAlignment="1">
      <alignment horizontal="center" vertical="center"/>
    </xf>
    <xf numFmtId="2" fontId="4" fillId="2" borderId="4" xfId="0" applyNumberFormat="1" applyFont="1" applyFill="1" applyBorder="1" applyAlignment="1">
      <alignment horizontal="center" vertical="center"/>
    </xf>
    <xf numFmtId="168" fontId="4" fillId="2" borderId="4" xfId="0" applyNumberFormat="1" applyFont="1" applyFill="1" applyBorder="1" applyAlignment="1">
      <alignment horizontal="center" vertical="center"/>
    </xf>
    <xf numFmtId="168" fontId="4" fillId="2" borderId="5" xfId="0" applyNumberFormat="1" applyFont="1" applyFill="1" applyBorder="1" applyAlignment="1">
      <alignment horizontal="center" vertical="center"/>
    </xf>
    <xf numFmtId="168" fontId="8" fillId="2" borderId="5" xfId="0" applyNumberFormat="1" applyFont="1" applyFill="1" applyBorder="1" applyAlignment="1">
      <alignment horizontal="center" vertical="center"/>
    </xf>
    <xf numFmtId="2" fontId="4" fillId="2" borderId="5" xfId="0" applyNumberFormat="1" applyFont="1" applyFill="1" applyBorder="1" applyAlignment="1">
      <alignment horizontal="center" vertical="center"/>
    </xf>
    <xf numFmtId="2" fontId="8" fillId="2" borderId="4" xfId="0" applyNumberFormat="1" applyFont="1" applyFill="1" applyBorder="1" applyAlignment="1">
      <alignment horizontal="center" vertical="center"/>
    </xf>
    <xf numFmtId="2" fontId="8" fillId="2" borderId="5" xfId="0" applyNumberFormat="1" applyFont="1" applyFill="1" applyBorder="1" applyAlignment="1">
      <alignment horizontal="center" vertical="center"/>
    </xf>
    <xf numFmtId="166" fontId="8" fillId="0" borderId="15" xfId="0" applyNumberFormat="1" applyFont="1" applyBorder="1" applyAlignment="1">
      <alignment vertical="center"/>
    </xf>
    <xf numFmtId="166" fontId="8" fillId="0" borderId="0" xfId="0" applyNumberFormat="1" applyFont="1" applyAlignment="1">
      <alignment vertical="center"/>
    </xf>
    <xf numFmtId="0" fontId="9" fillId="0" borderId="4" xfId="0" applyFont="1" applyBorder="1" applyAlignment="1">
      <alignment horizontal="center" vertical="center"/>
    </xf>
    <xf numFmtId="166" fontId="9" fillId="0" borderId="4" xfId="0" applyNumberFormat="1" applyFont="1" applyBorder="1" applyAlignment="1" applyProtection="1">
      <alignment horizontal="center" vertical="center"/>
      <protection locked="0"/>
    </xf>
    <xf numFmtId="2" fontId="9" fillId="0" borderId="4" xfId="0" applyNumberFormat="1" applyFont="1" applyBorder="1" applyAlignment="1">
      <alignment horizontal="center" vertical="center"/>
    </xf>
    <xf numFmtId="168" fontId="9" fillId="0" borderId="4" xfId="0" applyNumberFormat="1" applyFont="1" applyBorder="1" applyAlignment="1">
      <alignment horizontal="center" vertical="center"/>
    </xf>
    <xf numFmtId="165" fontId="9" fillId="0" borderId="4" xfId="0" applyNumberFormat="1" applyFont="1" applyBorder="1" applyAlignment="1">
      <alignment horizontal="center" vertical="center"/>
    </xf>
    <xf numFmtId="0" fontId="9" fillId="0" borderId="4" xfId="0" applyFont="1" applyBorder="1" applyAlignment="1" applyProtection="1">
      <alignment horizontal="center" vertical="center" wrapText="1"/>
      <protection locked="0"/>
    </xf>
    <xf numFmtId="168" fontId="12" fillId="0" borderId="4" xfId="0" applyNumberFormat="1" applyFont="1" applyBorder="1" applyAlignment="1">
      <alignment horizontal="center" vertical="center"/>
    </xf>
    <xf numFmtId="166" fontId="12" fillId="0" borderId="4" xfId="0" applyNumberFormat="1" applyFont="1" applyBorder="1" applyAlignment="1">
      <alignment horizontal="center" vertical="center"/>
    </xf>
    <xf numFmtId="0" fontId="4" fillId="0" borderId="9" xfId="0" applyFont="1" applyBorder="1" applyAlignment="1" applyProtection="1">
      <alignment horizontal="center" vertical="center"/>
      <protection locked="0"/>
    </xf>
    <xf numFmtId="172" fontId="4" fillId="0" borderId="10" xfId="0" applyNumberFormat="1" applyFont="1" applyBorder="1" applyAlignment="1" applyProtection="1">
      <alignment vertical="center"/>
      <protection locked="0"/>
    </xf>
    <xf numFmtId="172" fontId="4" fillId="0" borderId="8" xfId="0" applyNumberFormat="1" applyFont="1" applyBorder="1" applyAlignment="1" applyProtection="1">
      <alignment vertical="center"/>
      <protection locked="0"/>
    </xf>
    <xf numFmtId="0" fontId="4" fillId="0" borderId="14" xfId="0" applyFont="1" applyBorder="1" applyProtection="1">
      <protection locked="0"/>
    </xf>
    <xf numFmtId="164" fontId="4" fillId="0" borderId="10" xfId="0" applyNumberFormat="1" applyFont="1" applyBorder="1" applyAlignment="1" applyProtection="1">
      <alignment vertical="center"/>
      <protection locked="0"/>
    </xf>
    <xf numFmtId="164" fontId="4" fillId="0" borderId="8" xfId="0" applyNumberFormat="1" applyFont="1" applyBorder="1" applyAlignment="1" applyProtection="1">
      <alignment vertical="center"/>
      <protection locked="0"/>
    </xf>
    <xf numFmtId="0" fontId="4" fillId="0" borderId="10" xfId="0" applyFont="1" applyBorder="1" applyAlignment="1" applyProtection="1">
      <alignment vertical="center" wrapText="1"/>
      <protection locked="0"/>
    </xf>
    <xf numFmtId="0" fontId="4" fillId="0" borderId="8" xfId="0" applyFont="1" applyBorder="1" applyAlignment="1" applyProtection="1">
      <alignment vertical="center" wrapText="1"/>
      <protection locked="0"/>
    </xf>
    <xf numFmtId="0" fontId="4" fillId="0" borderId="0" xfId="0" applyFont="1" applyAlignment="1" applyProtection="1">
      <alignment vertical="center"/>
      <protection locked="0"/>
    </xf>
    <xf numFmtId="0" fontId="4"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0" fontId="4" fillId="0" borderId="0" xfId="0" applyFont="1" applyAlignment="1" applyProtection="1">
      <alignment horizontal="center" vertical="center"/>
      <protection locked="0"/>
    </xf>
    <xf numFmtId="167" fontId="4" fillId="0" borderId="5" xfId="0" applyNumberFormat="1" applyFont="1" applyBorder="1" applyAlignment="1" applyProtection="1">
      <alignment horizontal="center" vertical="center"/>
      <protection locked="0"/>
    </xf>
    <xf numFmtId="167" fontId="4" fillId="0" borderId="10" xfId="0" applyNumberFormat="1" applyFont="1" applyBorder="1" applyAlignment="1" applyProtection="1">
      <alignment horizontal="center" vertical="center"/>
      <protection locked="0"/>
    </xf>
    <xf numFmtId="0" fontId="4" fillId="0" borderId="10" xfId="0" applyFont="1" applyBorder="1" applyAlignment="1" applyProtection="1">
      <alignment vertical="center"/>
      <protection locked="0"/>
    </xf>
    <xf numFmtId="0" fontId="4" fillId="0" borderId="8" xfId="0" applyFont="1" applyBorder="1" applyAlignment="1" applyProtection="1">
      <alignment vertical="center"/>
      <protection locked="0"/>
    </xf>
    <xf numFmtId="166" fontId="8" fillId="2" borderId="4" xfId="0" applyNumberFormat="1" applyFont="1" applyFill="1" applyBorder="1" applyAlignment="1">
      <alignment horizontal="center" vertical="center"/>
    </xf>
    <xf numFmtId="0" fontId="4" fillId="0" borderId="0" xfId="1" applyFont="1" applyAlignment="1" applyProtection="1">
      <alignment vertical="center"/>
      <protection locked="0"/>
    </xf>
    <xf numFmtId="0" fontId="8" fillId="0" borderId="4" xfId="1" applyFont="1" applyBorder="1" applyAlignment="1" applyProtection="1">
      <alignment horizontal="center" vertical="center" wrapText="1"/>
      <protection locked="0"/>
    </xf>
    <xf numFmtId="167" fontId="8" fillId="2" borderId="4" xfId="0" applyNumberFormat="1" applyFont="1" applyFill="1" applyBorder="1" applyAlignment="1">
      <alignment horizontal="center" vertical="center"/>
    </xf>
    <xf numFmtId="167" fontId="4" fillId="7" borderId="4" xfId="0" applyNumberFormat="1" applyFont="1" applyFill="1" applyBorder="1" applyAlignment="1">
      <alignment horizontal="center" vertical="center"/>
    </xf>
    <xf numFmtId="167" fontId="8" fillId="2" borderId="8" xfId="0" applyNumberFormat="1" applyFont="1" applyFill="1" applyBorder="1" applyAlignment="1">
      <alignment horizontal="center" vertical="center"/>
    </xf>
    <xf numFmtId="164" fontId="8" fillId="2" borderId="5" xfId="0" applyNumberFormat="1" applyFont="1" applyFill="1" applyBorder="1" applyAlignment="1">
      <alignment horizontal="center" vertical="center"/>
    </xf>
    <xf numFmtId="167" fontId="8" fillId="2" borderId="5" xfId="0" applyNumberFormat="1" applyFont="1" applyFill="1" applyBorder="1" applyAlignment="1">
      <alignment horizontal="center" vertical="center"/>
    </xf>
    <xf numFmtId="165" fontId="4" fillId="0" borderId="4" xfId="0" applyNumberFormat="1" applyFont="1" applyBorder="1" applyAlignment="1" applyProtection="1">
      <alignment horizontal="center" vertical="center"/>
      <protection locked="0"/>
    </xf>
    <xf numFmtId="165" fontId="4" fillId="0" borderId="6" xfId="0" applyNumberFormat="1" applyFont="1" applyBorder="1" applyAlignment="1" applyProtection="1">
      <alignment horizontal="center" vertical="center"/>
      <protection locked="0"/>
    </xf>
    <xf numFmtId="165" fontId="4" fillId="0" borderId="7" xfId="0" applyNumberFormat="1" applyFont="1" applyBorder="1" applyAlignment="1" applyProtection="1">
      <alignment horizontal="center" vertical="center"/>
      <protection locked="0"/>
    </xf>
    <xf numFmtId="0" fontId="15" fillId="0" borderId="0" xfId="0" applyFont="1" applyAlignment="1" applyProtection="1">
      <alignment horizontal="center" vertical="center"/>
      <protection locked="0"/>
    </xf>
    <xf numFmtId="0" fontId="15" fillId="8" borderId="4" xfId="0" applyFont="1" applyFill="1" applyBorder="1" applyAlignment="1" applyProtection="1">
      <alignment horizontal="center" vertical="center" wrapText="1"/>
      <protection locked="0"/>
    </xf>
    <xf numFmtId="0" fontId="15" fillId="0" borderId="4" xfId="0" applyFont="1" applyBorder="1" applyAlignment="1" applyProtection="1">
      <alignment horizontal="center" vertical="center" wrapText="1"/>
      <protection locked="0"/>
    </xf>
    <xf numFmtId="2" fontId="15" fillId="2" borderId="4" xfId="0" applyNumberFormat="1" applyFont="1" applyFill="1" applyBorder="1" applyAlignment="1">
      <alignment horizontal="center" vertical="center"/>
    </xf>
    <xf numFmtId="0" fontId="15" fillId="0" borderId="4" xfId="0" applyFont="1" applyBorder="1" applyAlignment="1" applyProtection="1">
      <alignment horizontal="center" vertical="center"/>
      <protection locked="0"/>
    </xf>
    <xf numFmtId="0" fontId="16" fillId="0" borderId="4" xfId="0" applyFont="1" applyBorder="1" applyAlignment="1" applyProtection="1">
      <alignment horizontal="center" vertical="center"/>
      <protection locked="0"/>
    </xf>
    <xf numFmtId="1" fontId="16" fillId="0" borderId="4" xfId="0" applyNumberFormat="1" applyFont="1" applyBorder="1" applyAlignment="1" applyProtection="1">
      <alignment horizontal="center" vertical="center"/>
      <protection locked="0"/>
    </xf>
    <xf numFmtId="0" fontId="17" fillId="0" borderId="0" xfId="0" applyFont="1" applyAlignment="1" applyProtection="1">
      <alignment horizontal="center" vertical="center"/>
      <protection locked="0"/>
    </xf>
    <xf numFmtId="49" fontId="4" fillId="0" borderId="13" xfId="0" applyNumberFormat="1" applyFont="1" applyBorder="1" applyAlignment="1" applyProtection="1">
      <alignment horizontal="center" vertical="center"/>
      <protection locked="0"/>
    </xf>
    <xf numFmtId="49" fontId="4" fillId="0" borderId="4" xfId="0" applyNumberFormat="1" applyFont="1" applyBorder="1" applyAlignment="1" applyProtection="1">
      <alignment horizontal="center" vertical="center"/>
      <protection locked="0"/>
    </xf>
    <xf numFmtId="49" fontId="4" fillId="0" borderId="9" xfId="0" applyNumberFormat="1" applyFont="1" applyBorder="1" applyAlignment="1" applyProtection="1">
      <alignment horizontal="center" vertical="center"/>
      <protection locked="0"/>
    </xf>
    <xf numFmtId="166" fontId="4" fillId="0" borderId="4" xfId="0" applyNumberFormat="1" applyFont="1" applyBorder="1" applyAlignment="1" applyProtection="1">
      <alignment horizontal="center" vertical="top" wrapText="1"/>
      <protection locked="0"/>
    </xf>
    <xf numFmtId="0" fontId="14" fillId="0" borderId="4" xfId="0" applyFont="1" applyBorder="1" applyAlignment="1" applyProtection="1">
      <alignment horizontal="center" vertical="center" wrapText="1"/>
      <protection locked="0"/>
    </xf>
    <xf numFmtId="0" fontId="13" fillId="0" borderId="0" xfId="0" applyFont="1" applyAlignment="1" applyProtection="1">
      <alignment vertical="center"/>
      <protection locked="0"/>
    </xf>
    <xf numFmtId="0" fontId="8" fillId="9" borderId="4" xfId="0" applyFont="1" applyFill="1" applyBorder="1" applyAlignment="1" applyProtection="1">
      <alignment horizontal="center" vertical="center" wrapText="1"/>
      <protection locked="0"/>
    </xf>
    <xf numFmtId="0" fontId="4" fillId="0" borderId="4" xfId="0" applyFont="1" applyBorder="1" applyProtection="1">
      <protection locked="0"/>
    </xf>
    <xf numFmtId="0" fontId="25" fillId="0" borderId="16" xfId="0" applyFont="1" applyBorder="1" applyAlignment="1" applyProtection="1">
      <alignment wrapText="1"/>
      <protection locked="0"/>
    </xf>
    <xf numFmtId="0" fontId="25" fillId="0" borderId="7" xfId="0" applyFont="1" applyBorder="1" applyProtection="1">
      <protection locked="0"/>
    </xf>
    <xf numFmtId="0" fontId="25" fillId="0" borderId="14" xfId="0" applyFont="1" applyBorder="1" applyProtection="1">
      <protection locked="0"/>
    </xf>
    <xf numFmtId="0" fontId="25" fillId="0" borderId="14" xfId="0" applyFont="1" applyBorder="1" applyAlignment="1" applyProtection="1">
      <alignment wrapText="1"/>
      <protection locked="0"/>
    </xf>
    <xf numFmtId="1" fontId="8" fillId="2" borderId="4" xfId="0" applyNumberFormat="1" applyFont="1" applyFill="1" applyBorder="1" applyAlignment="1">
      <alignment horizontal="center" vertical="center"/>
    </xf>
    <xf numFmtId="0" fontId="26" fillId="10" borderId="4" xfId="0" applyFont="1" applyFill="1" applyBorder="1" applyAlignment="1">
      <alignment horizontal="center" vertical="center"/>
    </xf>
    <xf numFmtId="167" fontId="4" fillId="5" borderId="4" xfId="0" applyNumberFormat="1" applyFont="1" applyFill="1" applyBorder="1" applyAlignment="1" applyProtection="1">
      <alignment horizontal="center" vertical="center"/>
      <protection locked="0"/>
    </xf>
    <xf numFmtId="167" fontId="26" fillId="10" borderId="4" xfId="0" applyNumberFormat="1" applyFont="1" applyFill="1" applyBorder="1" applyAlignment="1">
      <alignment horizontal="center" vertical="center"/>
    </xf>
    <xf numFmtId="2" fontId="26" fillId="10" borderId="4" xfId="0" applyNumberFormat="1" applyFont="1" applyFill="1" applyBorder="1" applyAlignment="1">
      <alignment horizontal="center" vertical="center"/>
    </xf>
    <xf numFmtId="0" fontId="4" fillId="5" borderId="4" xfId="0" applyFont="1" applyFill="1" applyBorder="1" applyAlignment="1" applyProtection="1">
      <alignment horizontal="center" vertical="center"/>
      <protection locked="0"/>
    </xf>
    <xf numFmtId="1" fontId="4" fillId="5" borderId="4" xfId="0" applyNumberFormat="1" applyFont="1" applyFill="1" applyBorder="1" applyAlignment="1" applyProtection="1">
      <alignment horizontal="center" vertical="center"/>
      <protection locked="0"/>
    </xf>
    <xf numFmtId="2" fontId="8" fillId="0" borderId="4" xfId="0" applyNumberFormat="1" applyFont="1" applyBorder="1" applyAlignment="1" applyProtection="1">
      <alignment horizontal="center" vertical="center" wrapText="1"/>
      <protection locked="0"/>
    </xf>
    <xf numFmtId="0" fontId="4" fillId="0" borderId="4" xfId="0" applyFont="1" applyBorder="1" applyAlignment="1" applyProtection="1">
      <alignment horizontal="center" vertical="center" wrapText="1"/>
      <protection locked="0"/>
    </xf>
    <xf numFmtId="0" fontId="9" fillId="5" borderId="4" xfId="0" applyFont="1" applyFill="1" applyBorder="1" applyAlignment="1" applyProtection="1">
      <alignment horizontal="center" vertical="center"/>
      <protection locked="0"/>
    </xf>
    <xf numFmtId="1" fontId="9" fillId="5" borderId="4" xfId="0" applyNumberFormat="1" applyFont="1" applyFill="1" applyBorder="1" applyAlignment="1" applyProtection="1">
      <alignment horizontal="center" vertical="center"/>
      <protection locked="0"/>
    </xf>
    <xf numFmtId="167" fontId="9" fillId="5" borderId="4" xfId="0" applyNumberFormat="1" applyFont="1" applyFill="1" applyBorder="1" applyAlignment="1" applyProtection="1">
      <alignment horizontal="center" vertical="center"/>
      <protection locked="0"/>
    </xf>
    <xf numFmtId="166" fontId="12" fillId="5" borderId="4" xfId="0" applyNumberFormat="1" applyFont="1" applyFill="1" applyBorder="1" applyAlignment="1" applyProtection="1">
      <alignment horizontal="center" vertical="center"/>
      <protection locked="0"/>
    </xf>
    <xf numFmtId="2" fontId="4" fillId="5" borderId="5" xfId="0" applyNumberFormat="1" applyFont="1" applyFill="1" applyBorder="1" applyAlignment="1" applyProtection="1">
      <alignment horizontal="center" vertical="center"/>
      <protection locked="0"/>
    </xf>
    <xf numFmtId="165" fontId="4" fillId="5" borderId="5" xfId="0" applyNumberFormat="1" applyFont="1" applyFill="1" applyBorder="1" applyAlignment="1" applyProtection="1">
      <alignment horizontal="center" vertical="center"/>
      <protection locked="0"/>
    </xf>
    <xf numFmtId="164" fontId="4" fillId="0" borderId="10" xfId="0" applyNumberFormat="1" applyFont="1" applyBorder="1" applyAlignment="1" applyProtection="1">
      <alignment horizontal="center" vertical="center"/>
      <protection locked="0"/>
    </xf>
    <xf numFmtId="164" fontId="4" fillId="2" borderId="9" xfId="0" applyNumberFormat="1" applyFont="1" applyFill="1" applyBorder="1" applyAlignment="1">
      <alignment horizontal="center" vertical="center"/>
    </xf>
    <xf numFmtId="164" fontId="4" fillId="2" borderId="6" xfId="0" applyNumberFormat="1" applyFont="1" applyFill="1" applyBorder="1" applyAlignment="1">
      <alignment horizontal="center" vertical="center"/>
    </xf>
    <xf numFmtId="164" fontId="4" fillId="2" borderId="8" xfId="0" applyNumberFormat="1" applyFont="1" applyFill="1" applyBorder="1" applyAlignment="1">
      <alignment horizontal="center" vertical="center"/>
    </xf>
    <xf numFmtId="168" fontId="4" fillId="2" borderId="10" xfId="0" applyNumberFormat="1" applyFont="1" applyFill="1" applyBorder="1" applyAlignment="1">
      <alignment horizontal="center" vertical="center"/>
    </xf>
    <xf numFmtId="0" fontId="8" fillId="0" borderId="0" xfId="0" applyFont="1"/>
    <xf numFmtId="0" fontId="8" fillId="0" borderId="0" xfId="0" applyFont="1" applyAlignment="1">
      <alignment horizontal="center" vertical="center"/>
    </xf>
    <xf numFmtId="2" fontId="4" fillId="10" borderId="4" xfId="0" applyNumberFormat="1" applyFont="1" applyFill="1" applyBorder="1" applyAlignment="1">
      <alignment horizontal="center" vertical="center"/>
    </xf>
    <xf numFmtId="167" fontId="4" fillId="10" borderId="18" xfId="0" applyNumberFormat="1" applyFont="1" applyFill="1" applyBorder="1" applyAlignment="1">
      <alignment horizontal="center" vertical="center"/>
    </xf>
    <xf numFmtId="167" fontId="4" fillId="10" borderId="19" xfId="0" applyNumberFormat="1" applyFont="1" applyFill="1" applyBorder="1" applyAlignment="1">
      <alignment horizontal="center" vertical="center"/>
    </xf>
    <xf numFmtId="2" fontId="14" fillId="5" borderId="4" xfId="0" applyNumberFormat="1" applyFont="1" applyFill="1" applyBorder="1" applyAlignment="1" applyProtection="1">
      <alignment horizontal="center" vertical="center"/>
      <protection locked="0"/>
    </xf>
    <xf numFmtId="2" fontId="26" fillId="10" borderId="4" xfId="0" applyNumberFormat="1" applyFont="1" applyFill="1" applyBorder="1" applyAlignment="1" applyProtection="1">
      <alignment horizontal="center" vertical="center"/>
      <protection locked="0"/>
    </xf>
    <xf numFmtId="0" fontId="26" fillId="10" borderId="4" xfId="0" applyFont="1" applyFill="1" applyBorder="1" applyAlignment="1" applyProtection="1">
      <alignment horizontal="center" vertical="center"/>
      <protection locked="0"/>
    </xf>
    <xf numFmtId="167" fontId="26" fillId="10" borderId="4" xfId="0" applyNumberFormat="1" applyFont="1" applyFill="1" applyBorder="1" applyAlignment="1" applyProtection="1">
      <alignment horizontal="center" vertical="center"/>
      <protection locked="0"/>
    </xf>
    <xf numFmtId="0" fontId="4" fillId="0" borderId="5" xfId="0" applyFont="1" applyBorder="1" applyAlignment="1">
      <alignment horizontal="center" vertical="center" wrapText="1"/>
    </xf>
    <xf numFmtId="170" fontId="4" fillId="0" borderId="5" xfId="0" applyNumberFormat="1" applyFont="1" applyBorder="1" applyAlignment="1">
      <alignment vertical="center"/>
    </xf>
    <xf numFmtId="166" fontId="4" fillId="0" borderId="5" xfId="0" applyNumberFormat="1" applyFont="1" applyBorder="1" applyAlignment="1">
      <alignment horizontal="center" vertical="center"/>
    </xf>
    <xf numFmtId="1" fontId="4" fillId="0" borderId="5" xfId="0" applyNumberFormat="1" applyFont="1" applyBorder="1" applyAlignment="1">
      <alignment horizontal="center" vertical="center"/>
    </xf>
    <xf numFmtId="0" fontId="4" fillId="0" borderId="8" xfId="0" applyFont="1" applyBorder="1" applyAlignment="1">
      <alignment horizontal="center" vertical="center"/>
    </xf>
    <xf numFmtId="166" fontId="4" fillId="0" borderId="12" xfId="0" applyNumberFormat="1" applyFont="1" applyBorder="1" applyAlignment="1">
      <alignment horizontal="center" vertical="center"/>
    </xf>
    <xf numFmtId="14" fontId="4" fillId="0" borderId="10" xfId="0" applyNumberFormat="1" applyFont="1" applyBorder="1" applyAlignment="1">
      <alignment vertical="center"/>
    </xf>
    <xf numFmtId="14" fontId="4" fillId="0" borderId="8" xfId="0" applyNumberFormat="1" applyFont="1" applyBorder="1" applyAlignment="1">
      <alignment vertical="center"/>
    </xf>
    <xf numFmtId="0" fontId="4" fillId="0" borderId="10" xfId="0" applyFont="1" applyBorder="1" applyAlignment="1">
      <alignment horizontal="center" vertical="center" wrapText="1"/>
    </xf>
    <xf numFmtId="172" fontId="4" fillId="0" borderId="10" xfId="0" applyNumberFormat="1" applyFont="1" applyBorder="1" applyAlignment="1">
      <alignment horizontal="center" vertical="center"/>
    </xf>
    <xf numFmtId="164" fontId="4" fillId="0" borderId="11" xfId="0" applyNumberFormat="1" applyFont="1" applyBorder="1" applyAlignment="1">
      <alignment horizontal="center" vertical="center"/>
    </xf>
    <xf numFmtId="0" fontId="4" fillId="0" borderId="14" xfId="0" applyFont="1" applyBorder="1" applyAlignment="1">
      <alignment horizontal="center" vertical="center"/>
    </xf>
    <xf numFmtId="164" fontId="4" fillId="5" borderId="8" xfId="0" applyNumberFormat="1" applyFont="1" applyFill="1" applyBorder="1" applyAlignment="1" applyProtection="1">
      <alignment horizontal="center" vertical="center"/>
      <protection locked="0"/>
    </xf>
    <xf numFmtId="164" fontId="4" fillId="5" borderId="4" xfId="0" applyNumberFormat="1" applyFont="1" applyFill="1" applyBorder="1" applyAlignment="1" applyProtection="1">
      <alignment horizontal="center" vertical="center"/>
      <protection locked="0"/>
    </xf>
    <xf numFmtId="164" fontId="4" fillId="5" borderId="6" xfId="0" applyNumberFormat="1" applyFont="1" applyFill="1" applyBorder="1" applyAlignment="1" applyProtection="1">
      <alignment horizontal="center" vertical="center"/>
      <protection locked="0"/>
    </xf>
    <xf numFmtId="164" fontId="4" fillId="5" borderId="5" xfId="0" applyNumberFormat="1" applyFont="1" applyFill="1" applyBorder="1" applyAlignment="1" applyProtection="1">
      <alignment horizontal="center" vertical="center"/>
      <protection locked="0"/>
    </xf>
    <xf numFmtId="164" fontId="4" fillId="5" borderId="13" xfId="0" applyNumberFormat="1" applyFont="1" applyFill="1" applyBorder="1" applyAlignment="1" applyProtection="1">
      <alignment horizontal="center" vertical="center"/>
      <protection locked="0"/>
    </xf>
    <xf numFmtId="164" fontId="4" fillId="5" borderId="9" xfId="0" applyNumberFormat="1" applyFont="1" applyFill="1" applyBorder="1" applyAlignment="1" applyProtection="1">
      <alignment horizontal="center" vertical="center"/>
      <protection locked="0"/>
    </xf>
    <xf numFmtId="164" fontId="4" fillId="5" borderId="7" xfId="0" applyNumberFormat="1" applyFont="1" applyFill="1" applyBorder="1" applyAlignment="1" applyProtection="1">
      <alignment horizontal="center" vertical="center"/>
      <protection locked="0"/>
    </xf>
    <xf numFmtId="164" fontId="4" fillId="5" borderId="16" xfId="0" applyNumberFormat="1" applyFont="1" applyFill="1" applyBorder="1" applyAlignment="1" applyProtection="1">
      <alignment horizontal="center" vertical="center"/>
      <protection locked="0"/>
    </xf>
    <xf numFmtId="164" fontId="4" fillId="5" borderId="14" xfId="0" applyNumberFormat="1" applyFont="1" applyFill="1" applyBorder="1" applyAlignment="1" applyProtection="1">
      <alignment horizontal="center" vertical="center"/>
      <protection locked="0"/>
    </xf>
    <xf numFmtId="171" fontId="4" fillId="0" borderId="10" xfId="0" applyNumberFormat="1" applyFont="1" applyBorder="1" applyAlignment="1">
      <alignment horizontal="center" vertical="center" wrapText="1"/>
    </xf>
    <xf numFmtId="171" fontId="4" fillId="0" borderId="4" xfId="0" applyNumberFormat="1" applyFont="1" applyBorder="1" applyAlignment="1">
      <alignment horizontal="center" vertical="center" wrapText="1"/>
    </xf>
    <xf numFmtId="14" fontId="3" fillId="0" borderId="0" xfId="0" applyNumberFormat="1" applyFont="1" applyProtection="1">
      <protection locked="0"/>
    </xf>
    <xf numFmtId="14" fontId="4" fillId="0" borderId="0" xfId="0" applyNumberFormat="1" applyFont="1" applyProtection="1">
      <protection locked="0"/>
    </xf>
    <xf numFmtId="0" fontId="25" fillId="0" borderId="0" xfId="0" applyFont="1"/>
    <xf numFmtId="14" fontId="25" fillId="0" borderId="0" xfId="0" applyNumberFormat="1" applyFont="1"/>
    <xf numFmtId="0" fontId="25" fillId="0" borderId="0" xfId="0" applyFont="1" applyProtection="1">
      <protection locked="0"/>
    </xf>
    <xf numFmtId="14" fontId="25" fillId="0" borderId="0" xfId="0" applyNumberFormat="1" applyFont="1" applyProtection="1">
      <protection locked="0"/>
    </xf>
    <xf numFmtId="0" fontId="3" fillId="0" borderId="0" xfId="0" applyFont="1" applyAlignment="1" applyProtection="1">
      <alignment vertical="center"/>
      <protection locked="0"/>
    </xf>
    <xf numFmtId="0" fontId="30" fillId="0" borderId="4" xfId="0" applyFont="1" applyBorder="1" applyAlignment="1" applyProtection="1">
      <alignment horizontal="center" vertical="center" wrapText="1"/>
      <protection locked="0"/>
    </xf>
    <xf numFmtId="0" fontId="30" fillId="0" borderId="5" xfId="0" applyFont="1" applyBorder="1" applyAlignment="1" applyProtection="1">
      <alignment horizontal="center" vertical="center" wrapText="1"/>
      <protection locked="0"/>
    </xf>
    <xf numFmtId="164" fontId="8" fillId="2" borderId="11" xfId="0" applyNumberFormat="1" applyFont="1" applyFill="1" applyBorder="1" applyAlignment="1">
      <alignment vertical="center"/>
    </xf>
    <xf numFmtId="164" fontId="8" fillId="9" borderId="11" xfId="0" applyNumberFormat="1" applyFont="1" applyFill="1" applyBorder="1" applyAlignment="1">
      <alignment vertical="center"/>
    </xf>
    <xf numFmtId="166" fontId="4" fillId="9" borderId="14" xfId="0" applyNumberFormat="1" applyFont="1" applyFill="1" applyBorder="1" applyAlignment="1">
      <alignment horizontal="center" vertical="center"/>
    </xf>
    <xf numFmtId="0" fontId="4" fillId="9" borderId="8" xfId="0" applyFont="1" applyFill="1" applyBorder="1" applyAlignment="1" applyProtection="1">
      <alignment horizontal="center" vertical="center"/>
      <protection locked="0"/>
    </xf>
    <xf numFmtId="164" fontId="8" fillId="2" borderId="10" xfId="0" applyNumberFormat="1" applyFont="1" applyFill="1" applyBorder="1" applyAlignment="1">
      <alignment vertical="center"/>
    </xf>
    <xf numFmtId="164" fontId="8" fillId="2" borderId="8" xfId="0" applyNumberFormat="1" applyFont="1" applyFill="1" applyBorder="1" applyAlignment="1">
      <alignment vertical="center"/>
    </xf>
    <xf numFmtId="14" fontId="4" fillId="0" borderId="10" xfId="0" applyNumberFormat="1" applyFont="1" applyBorder="1" applyAlignment="1">
      <alignment horizontal="center" vertical="center"/>
    </xf>
    <xf numFmtId="169" fontId="4" fillId="0" borderId="10" xfId="0" applyNumberFormat="1" applyFont="1" applyBorder="1" applyAlignment="1">
      <alignment horizontal="center" vertical="top" wrapText="1"/>
    </xf>
    <xf numFmtId="169" fontId="4" fillId="0" borderId="8" xfId="0" applyNumberFormat="1" applyFont="1" applyBorder="1" applyAlignment="1">
      <alignment horizontal="center" vertical="top" wrapText="1"/>
    </xf>
    <xf numFmtId="0" fontId="10" fillId="6" borderId="0" xfId="0" applyFont="1" applyFill="1" applyAlignment="1" applyProtection="1">
      <alignment horizontal="center" vertical="center" wrapText="1"/>
      <protection locked="0"/>
    </xf>
    <xf numFmtId="0" fontId="8" fillId="0" borderId="0" xfId="0" applyFont="1" applyAlignment="1">
      <alignment horizontal="center" vertical="center"/>
    </xf>
    <xf numFmtId="0" fontId="3" fillId="0" borderId="0" xfId="0" applyFont="1" applyAlignment="1" applyProtection="1">
      <alignment horizontal="center"/>
      <protection locked="0"/>
    </xf>
    <xf numFmtId="0" fontId="9" fillId="0" borderId="0" xfId="0" applyFont="1" applyAlignment="1" applyProtection="1">
      <alignment horizontal="center" vertical="center"/>
      <protection locked="0"/>
    </xf>
    <xf numFmtId="0" fontId="10" fillId="0" borderId="13" xfId="0" applyFont="1" applyBorder="1" applyAlignment="1" applyProtection="1">
      <alignment horizontal="center" vertical="top" wrapText="1"/>
      <protection locked="0"/>
    </xf>
    <xf numFmtId="0" fontId="10" fillId="0" borderId="11" xfId="0" applyFont="1" applyBorder="1" applyAlignment="1" applyProtection="1">
      <alignment horizontal="center" vertical="top" wrapText="1"/>
      <protection locked="0"/>
    </xf>
    <xf numFmtId="0" fontId="10" fillId="0" borderId="9" xfId="0" applyFont="1" applyBorder="1" applyAlignment="1" applyProtection="1">
      <alignment horizontal="center" vertical="top" wrapText="1"/>
      <protection locked="0"/>
    </xf>
    <xf numFmtId="0" fontId="10" fillId="0" borderId="5" xfId="0" applyFont="1" applyBorder="1" applyAlignment="1" applyProtection="1">
      <alignment horizontal="center" vertical="top" wrapText="1"/>
      <protection locked="0"/>
    </xf>
    <xf numFmtId="0" fontId="10" fillId="0" borderId="10" xfId="0" applyFont="1" applyBorder="1" applyAlignment="1" applyProtection="1">
      <alignment horizontal="center" vertical="top" wrapText="1"/>
      <protection locked="0"/>
    </xf>
    <xf numFmtId="0" fontId="10" fillId="0" borderId="8" xfId="0" applyFont="1" applyBorder="1" applyAlignment="1" applyProtection="1">
      <alignment horizontal="center" vertical="top" wrapText="1"/>
      <protection locked="0"/>
    </xf>
    <xf numFmtId="14" fontId="3" fillId="0" borderId="0" xfId="0" applyNumberFormat="1" applyFont="1" applyAlignment="1" applyProtection="1">
      <alignment horizontal="center" vertical="center"/>
      <protection locked="0"/>
    </xf>
    <xf numFmtId="0" fontId="4" fillId="0" borderId="0" xfId="0" applyFont="1" applyAlignment="1" applyProtection="1">
      <alignment horizontal="center" vertical="center"/>
      <protection locked="0"/>
    </xf>
    <xf numFmtId="14" fontId="4" fillId="0" borderId="0" xfId="0" applyNumberFormat="1" applyFont="1" applyAlignment="1" applyProtection="1">
      <alignment horizontal="center" vertical="center"/>
      <protection locked="0"/>
    </xf>
    <xf numFmtId="0" fontId="4" fillId="0" borderId="4" xfId="0" applyFont="1" applyBorder="1" applyAlignment="1">
      <alignment horizontal="center" vertical="center" wrapText="1"/>
    </xf>
    <xf numFmtId="0" fontId="4" fillId="0" borderId="5" xfId="0" applyFont="1" applyBorder="1" applyAlignment="1" applyProtection="1">
      <alignment horizontal="center" vertical="center" wrapText="1"/>
      <protection locked="0"/>
    </xf>
    <xf numFmtId="0" fontId="4" fillId="0" borderId="10"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wrapText="1"/>
      <protection locked="0"/>
    </xf>
    <xf numFmtId="0" fontId="23" fillId="0" borderId="0" xfId="0" applyFont="1" applyAlignment="1">
      <alignment horizontal="center" vertical="center"/>
    </xf>
    <xf numFmtId="0" fontId="8" fillId="0" borderId="0" xfId="0" applyFont="1" applyAlignment="1" applyProtection="1">
      <alignment horizontal="center" vertical="center"/>
      <protection locked="0"/>
    </xf>
    <xf numFmtId="0" fontId="10" fillId="0" borderId="5" xfId="0" applyFont="1" applyBorder="1" applyAlignment="1">
      <alignment horizontal="center" vertical="top" wrapText="1"/>
    </xf>
    <xf numFmtId="0" fontId="10" fillId="0" borderId="10" xfId="0" applyFont="1" applyBorder="1" applyAlignment="1">
      <alignment horizontal="center" vertical="top" wrapText="1"/>
    </xf>
    <xf numFmtId="0" fontId="10" fillId="0" borderId="8" xfId="0" applyFont="1" applyBorder="1" applyAlignment="1">
      <alignment horizontal="center" vertical="top" wrapText="1"/>
    </xf>
    <xf numFmtId="0" fontId="4" fillId="0" borderId="10" xfId="0" applyFont="1" applyBorder="1" applyAlignment="1">
      <alignment horizontal="center" vertical="top" wrapText="1"/>
    </xf>
    <xf numFmtId="0" fontId="4" fillId="0" borderId="8" xfId="0" applyFont="1" applyBorder="1" applyAlignment="1">
      <alignment horizontal="center" vertical="top" wrapText="1"/>
    </xf>
    <xf numFmtId="0" fontId="8" fillId="0" borderId="4"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8" fillId="0" borderId="10"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shrinkToFit="1"/>
      <protection locked="0"/>
    </xf>
    <xf numFmtId="0" fontId="8" fillId="0" borderId="8" xfId="0" applyFont="1" applyBorder="1" applyAlignment="1" applyProtection="1">
      <alignment horizontal="center" vertical="center" wrapText="1" shrinkToFit="1"/>
      <protection locked="0"/>
    </xf>
    <xf numFmtId="0" fontId="8" fillId="9" borderId="5" xfId="0" applyFont="1" applyFill="1" applyBorder="1" applyAlignment="1" applyProtection="1">
      <alignment horizontal="center" vertical="center" wrapText="1"/>
      <protection locked="0"/>
    </xf>
    <xf numFmtId="0" fontId="8" fillId="9" borderId="8" xfId="0" applyFont="1" applyFill="1" applyBorder="1" applyAlignment="1" applyProtection="1">
      <alignment horizontal="center" vertical="center" wrapText="1"/>
      <protection locked="0"/>
    </xf>
    <xf numFmtId="0" fontId="27" fillId="0" borderId="5" xfId="0" applyFont="1" applyBorder="1" applyAlignment="1" applyProtection="1">
      <alignment horizontal="center" vertical="center" wrapText="1"/>
      <protection locked="0"/>
    </xf>
    <xf numFmtId="0" fontId="27" fillId="0" borderId="17" xfId="0" applyFont="1" applyBorder="1" applyAlignment="1" applyProtection="1">
      <alignment horizontal="center" vertical="center" wrapText="1"/>
      <protection locked="0"/>
    </xf>
    <xf numFmtId="0" fontId="8" fillId="9" borderId="4" xfId="0" applyFont="1" applyFill="1" applyBorder="1" applyAlignment="1" applyProtection="1">
      <alignment horizontal="center" vertical="center" wrapText="1"/>
      <protection locked="0"/>
    </xf>
    <xf numFmtId="0" fontId="8" fillId="9" borderId="4" xfId="0" applyFont="1" applyFill="1" applyBorder="1" applyAlignment="1" applyProtection="1">
      <alignment horizontal="center" vertical="center"/>
      <protection locked="0"/>
    </xf>
    <xf numFmtId="0" fontId="12" fillId="0" borderId="0" xfId="0" applyFont="1" applyAlignment="1" applyProtection="1">
      <alignment horizontal="center" vertical="center" wrapText="1"/>
      <protection locked="0"/>
    </xf>
  </cellXfs>
  <cellStyles count="4">
    <cellStyle name="Įprastas" xfId="0" builtinId="0"/>
    <cellStyle name="Įprastas 2" xfId="1" xr:uid="{B3CEE587-CD0A-486A-A8B7-19073BBFBDDF}"/>
    <cellStyle name="Procentai 2" xfId="2" xr:uid="{B97C0199-08F7-4955-9EE8-7033B80147B3}"/>
    <cellStyle name="Procentai 2 2" xfId="3" xr:uid="{D5ECD849-1A8E-4458-AB2F-7A877B23E11E}"/>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D58BE-2006-42BB-8F0B-A2F613982E7B}">
  <sheetPr codeName="Lapas1"/>
  <dimension ref="B1:E10"/>
  <sheetViews>
    <sheetView workbookViewId="0"/>
  </sheetViews>
  <sheetFormatPr defaultRowHeight="12.5" x14ac:dyDescent="0.25"/>
  <cols>
    <col min="1" max="1" width="1.1796875" customWidth="1"/>
    <col min="2" max="2" width="64.453125" customWidth="1"/>
    <col min="3" max="3" width="1.54296875" customWidth="1"/>
    <col min="4" max="4" width="5.54296875" customWidth="1"/>
    <col min="5" max="5" width="16" customWidth="1"/>
  </cols>
  <sheetData>
    <row r="1" spans="2:5" ht="13" x14ac:dyDescent="0.25">
      <c r="B1" s="1" t="s">
        <v>0</v>
      </c>
      <c r="C1" s="1"/>
      <c r="D1" s="5"/>
      <c r="E1" s="5"/>
    </row>
    <row r="2" spans="2:5" ht="13" x14ac:dyDescent="0.25">
      <c r="B2" s="1" t="s">
        <v>1</v>
      </c>
      <c r="C2" s="1"/>
      <c r="D2" s="5"/>
      <c r="E2" s="5"/>
    </row>
    <row r="3" spans="2:5" x14ac:dyDescent="0.25">
      <c r="B3" s="2"/>
      <c r="C3" s="2"/>
      <c r="D3" s="6"/>
      <c r="E3" s="6"/>
    </row>
    <row r="4" spans="2:5" ht="37.5" x14ac:dyDescent="0.25">
      <c r="B4" s="2" t="s">
        <v>2</v>
      </c>
      <c r="C4" s="2"/>
      <c r="D4" s="6"/>
      <c r="E4" s="6"/>
    </row>
    <row r="5" spans="2:5" x14ac:dyDescent="0.25">
      <c r="B5" s="2"/>
      <c r="C5" s="2"/>
      <c r="D5" s="6"/>
      <c r="E5" s="6"/>
    </row>
    <row r="6" spans="2:5" ht="13" x14ac:dyDescent="0.25">
      <c r="B6" s="1" t="s">
        <v>3</v>
      </c>
      <c r="C6" s="1"/>
      <c r="D6" s="5"/>
      <c r="E6" s="5" t="s">
        <v>4</v>
      </c>
    </row>
    <row r="7" spans="2:5" ht="13" thickBot="1" x14ac:dyDescent="0.3">
      <c r="B7" s="2"/>
      <c r="C7" s="2"/>
      <c r="D7" s="6"/>
      <c r="E7" s="6"/>
    </row>
    <row r="8" spans="2:5" ht="38" thickBot="1" x14ac:dyDescent="0.3">
      <c r="B8" s="3" t="s">
        <v>5</v>
      </c>
      <c r="C8" s="4"/>
      <c r="D8" s="7"/>
      <c r="E8" s="8">
        <v>1</v>
      </c>
    </row>
    <row r="9" spans="2:5" x14ac:dyDescent="0.25">
      <c r="B9" s="2"/>
      <c r="C9" s="2"/>
      <c r="D9" s="6"/>
      <c r="E9" s="6"/>
    </row>
    <row r="10" spans="2:5" x14ac:dyDescent="0.25">
      <c r="B10" s="2"/>
      <c r="C10" s="2"/>
      <c r="D10" s="6"/>
      <c r="E10" s="6"/>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2CE6F-4AAF-42E1-A4E9-B039A4011BD6}">
  <dimension ref="A1:L38"/>
  <sheetViews>
    <sheetView topLeftCell="A2" zoomScale="80" zoomScaleNormal="80" workbookViewId="0">
      <selection activeCell="A3" sqref="A3:J3"/>
    </sheetView>
  </sheetViews>
  <sheetFormatPr defaultColWidth="9.1796875" defaultRowHeight="13" x14ac:dyDescent="0.3"/>
  <cols>
    <col min="1" max="1" width="12.453125" style="37" customWidth="1"/>
    <col min="2" max="4" width="9.1796875" style="37"/>
    <col min="5" max="5" width="10.7265625" style="37" customWidth="1"/>
    <col min="6" max="6" width="12.54296875" style="37" customWidth="1"/>
    <col min="7" max="7" width="11.26953125" style="37" customWidth="1"/>
    <col min="8" max="8" width="11.54296875" style="37" customWidth="1"/>
    <col min="9" max="9" width="12.54296875" style="37" customWidth="1"/>
    <col min="10" max="10" width="9.81640625" style="37" customWidth="1"/>
    <col min="11" max="11" width="11.81640625" style="37" customWidth="1"/>
    <col min="12" max="12" width="11.26953125" style="37" customWidth="1"/>
    <col min="13" max="16384" width="9.1796875" style="37"/>
  </cols>
  <sheetData>
    <row r="1" spans="1:12" ht="15" x14ac:dyDescent="0.3">
      <c r="A1" s="36"/>
      <c r="B1" s="10"/>
      <c r="C1" s="10"/>
      <c r="D1" s="10"/>
      <c r="E1" s="10"/>
      <c r="F1" s="10"/>
      <c r="G1" s="10"/>
      <c r="H1" s="10"/>
      <c r="I1" s="10"/>
    </row>
    <row r="2" spans="1:12" ht="15" x14ac:dyDescent="0.3">
      <c r="A2" s="38"/>
      <c r="B2" s="10"/>
      <c r="C2" s="10"/>
      <c r="D2" s="10"/>
      <c r="E2" s="10"/>
      <c r="F2" s="10"/>
      <c r="G2" s="10"/>
      <c r="H2" s="10"/>
      <c r="I2" s="10"/>
    </row>
    <row r="3" spans="1:12" ht="15" x14ac:dyDescent="0.3">
      <c r="A3" s="199" t="s">
        <v>126</v>
      </c>
      <c r="B3" s="199"/>
      <c r="C3" s="199"/>
      <c r="D3" s="199"/>
      <c r="E3" s="199"/>
      <c r="F3" s="199"/>
      <c r="G3" s="199"/>
      <c r="H3" s="199"/>
      <c r="I3" s="199"/>
      <c r="J3" s="199"/>
    </row>
    <row r="4" spans="1:12" ht="14" x14ac:dyDescent="0.3">
      <c r="A4" s="10"/>
      <c r="B4" s="10"/>
      <c r="C4" s="10"/>
      <c r="D4" s="10"/>
      <c r="E4" s="10"/>
      <c r="F4" s="10"/>
      <c r="G4" s="10"/>
      <c r="H4" s="10"/>
      <c r="I4" s="10"/>
    </row>
    <row r="5" spans="1:12" ht="84" x14ac:dyDescent="0.3">
      <c r="A5" s="9"/>
      <c r="B5" s="9" t="s">
        <v>35</v>
      </c>
      <c r="C5" s="9" t="s">
        <v>23</v>
      </c>
      <c r="D5" s="9" t="s">
        <v>24</v>
      </c>
      <c r="E5" s="9" t="s">
        <v>22</v>
      </c>
      <c r="F5" s="9" t="s">
        <v>36</v>
      </c>
      <c r="G5" s="9" t="s">
        <v>37</v>
      </c>
      <c r="H5" s="9" t="s">
        <v>27</v>
      </c>
      <c r="I5" s="9" t="s">
        <v>26</v>
      </c>
      <c r="J5" s="134" t="s">
        <v>77</v>
      </c>
      <c r="K5" s="134" t="s">
        <v>106</v>
      </c>
      <c r="L5" s="134" t="s">
        <v>6</v>
      </c>
    </row>
    <row r="6" spans="1:12" ht="18" customHeight="1" x14ac:dyDescent="0.3">
      <c r="A6" s="39"/>
      <c r="B6" s="9"/>
      <c r="C6" s="9"/>
      <c r="D6" s="9"/>
      <c r="E6" s="9"/>
      <c r="F6" s="9"/>
      <c r="G6" s="9"/>
      <c r="H6" s="9"/>
      <c r="I6" s="9"/>
      <c r="J6" s="48"/>
      <c r="K6" s="42"/>
      <c r="L6" s="42"/>
    </row>
    <row r="7" spans="1:12" ht="33" customHeight="1" x14ac:dyDescent="0.3">
      <c r="A7" s="39" t="s">
        <v>25</v>
      </c>
      <c r="B7" s="135"/>
      <c r="C7" s="136"/>
      <c r="D7" s="135"/>
      <c r="E7" s="135"/>
      <c r="F7" s="137"/>
      <c r="G7" s="58">
        <f>+(D7-E7)*B7*C7*0.27/(273+F7)</f>
        <v>0</v>
      </c>
      <c r="H7" s="59">
        <f>G7/1000</f>
        <v>0</v>
      </c>
      <c r="I7" s="138"/>
      <c r="J7" s="151"/>
      <c r="K7" s="95" t="e">
        <f>(100*((I7/(H7*J7))/0.8038))/(((I7/(H7*J7))/0.8038)+(1/J7))</f>
        <v>#DIV/0!</v>
      </c>
      <c r="L7" s="42"/>
    </row>
    <row r="8" spans="1:12" ht="15" x14ac:dyDescent="0.3">
      <c r="A8" s="13"/>
      <c r="B8" s="71"/>
      <c r="C8" s="72"/>
      <c r="D8" s="13"/>
      <c r="E8" s="13"/>
      <c r="F8" s="40"/>
      <c r="G8" s="73"/>
      <c r="H8" s="74"/>
      <c r="I8" s="43"/>
      <c r="J8" s="48"/>
      <c r="K8" s="42"/>
      <c r="L8" s="42"/>
    </row>
    <row r="9" spans="1:12" ht="15" x14ac:dyDescent="0.3">
      <c r="A9" s="13"/>
      <c r="B9" s="71"/>
      <c r="C9" s="72"/>
      <c r="D9" s="13"/>
      <c r="E9" s="13"/>
      <c r="F9" s="40"/>
      <c r="G9" s="73"/>
      <c r="H9" s="74"/>
      <c r="I9" s="43"/>
      <c r="J9" s="48"/>
      <c r="K9" s="42"/>
      <c r="L9" s="42"/>
    </row>
    <row r="10" spans="1:12" ht="18" customHeight="1" x14ac:dyDescent="0.3">
      <c r="A10" s="76"/>
      <c r="B10" s="71"/>
      <c r="C10" s="13"/>
      <c r="D10" s="13"/>
      <c r="E10" s="13"/>
      <c r="F10" s="40"/>
      <c r="G10" s="75"/>
      <c r="H10" s="77"/>
      <c r="I10" s="78"/>
      <c r="J10" s="48"/>
      <c r="K10" s="42"/>
      <c r="L10" s="42"/>
    </row>
    <row r="11" spans="1:12" ht="12.75" customHeight="1" x14ac:dyDescent="0.3">
      <c r="H11" s="200" t="s">
        <v>30</v>
      </c>
      <c r="I11" s="203" t="s">
        <v>31</v>
      </c>
    </row>
    <row r="12" spans="1:12" x14ac:dyDescent="0.3">
      <c r="H12" s="201"/>
      <c r="I12" s="204"/>
    </row>
    <row r="13" spans="1:12" x14ac:dyDescent="0.3">
      <c r="H13" s="201"/>
      <c r="I13" s="204"/>
    </row>
    <row r="14" spans="1:12" x14ac:dyDescent="0.3">
      <c r="H14" s="201"/>
      <c r="I14" s="204"/>
    </row>
    <row r="15" spans="1:12" x14ac:dyDescent="0.3">
      <c r="H15" s="201"/>
      <c r="I15" s="204"/>
    </row>
    <row r="16" spans="1:12" x14ac:dyDescent="0.3">
      <c r="H16" s="201"/>
      <c r="I16" s="204"/>
    </row>
    <row r="17" spans="1:9" x14ac:dyDescent="0.3">
      <c r="H17" s="201"/>
      <c r="I17" s="204"/>
    </row>
    <row r="18" spans="1:9" x14ac:dyDescent="0.3">
      <c r="H18" s="202"/>
      <c r="I18" s="204"/>
    </row>
    <row r="19" spans="1:9" x14ac:dyDescent="0.3">
      <c r="I19" s="204"/>
    </row>
    <row r="20" spans="1:9" x14ac:dyDescent="0.3">
      <c r="I20" s="205"/>
    </row>
    <row r="22" spans="1:9" ht="15" customHeight="1" x14ac:dyDescent="0.3"/>
    <row r="23" spans="1:9" ht="14" x14ac:dyDescent="0.3">
      <c r="I23" s="49"/>
    </row>
    <row r="24" spans="1:9" ht="14" x14ac:dyDescent="0.3">
      <c r="I24" s="49"/>
    </row>
    <row r="25" spans="1:9" ht="14" x14ac:dyDescent="0.3">
      <c r="I25" s="49"/>
    </row>
    <row r="26" spans="1:9" ht="15" customHeight="1" x14ac:dyDescent="0.3">
      <c r="A26" s="37" t="s">
        <v>107</v>
      </c>
      <c r="I26" s="49"/>
    </row>
    <row r="27" spans="1:9" ht="15" customHeight="1" x14ac:dyDescent="0.3">
      <c r="A27" s="37" t="s">
        <v>108</v>
      </c>
      <c r="I27" s="49"/>
    </row>
    <row r="28" spans="1:9" x14ac:dyDescent="0.3">
      <c r="A28" s="37" t="s">
        <v>109</v>
      </c>
    </row>
    <row r="29" spans="1:9" x14ac:dyDescent="0.3">
      <c r="A29" s="37" t="s">
        <v>110</v>
      </c>
    </row>
    <row r="30" spans="1:9" x14ac:dyDescent="0.3">
      <c r="A30" s="37" t="s">
        <v>111</v>
      </c>
    </row>
    <row r="31" spans="1:9" x14ac:dyDescent="0.3">
      <c r="A31" s="37" t="s">
        <v>112</v>
      </c>
    </row>
    <row r="32" spans="1:9" x14ac:dyDescent="0.3">
      <c r="A32" s="37" t="s">
        <v>113</v>
      </c>
    </row>
    <row r="34" spans="1:9" x14ac:dyDescent="0.3">
      <c r="A34" s="198" t="s">
        <v>114</v>
      </c>
      <c r="B34" s="198"/>
      <c r="C34" s="198"/>
      <c r="D34" s="198"/>
      <c r="E34" s="198"/>
      <c r="F34" s="198"/>
      <c r="G34" s="198"/>
      <c r="H34" s="178">
        <v>46024</v>
      </c>
      <c r="I34" s="37" t="s">
        <v>121</v>
      </c>
    </row>
    <row r="35" spans="1:9" x14ac:dyDescent="0.3">
      <c r="H35" s="37" t="s">
        <v>116</v>
      </c>
      <c r="I35" s="37" t="s">
        <v>117</v>
      </c>
    </row>
    <row r="36" spans="1:9" x14ac:dyDescent="0.3">
      <c r="A36" s="37" t="s">
        <v>118</v>
      </c>
    </row>
    <row r="37" spans="1:9" x14ac:dyDescent="0.3">
      <c r="H37" s="178">
        <v>46024</v>
      </c>
      <c r="I37" s="178"/>
    </row>
    <row r="38" spans="1:9" x14ac:dyDescent="0.3">
      <c r="H38" s="37" t="s">
        <v>119</v>
      </c>
    </row>
  </sheetData>
  <sheetProtection algorithmName="SHA-512" hashValue="sD3ZykclICk2tTfFzp7czTYc0QTKlJkxtA51sRkdRLkPIJN1fOhKXE/MhCVGhXx+e0qzMizJdOPD4b9T9hi4hw==" saltValue="aCrxi1FSHHPwaenjL/bdww==" spinCount="100000" sheet="1" formatCells="0" formatColumns="0" formatRows="0"/>
  <mergeCells count="4">
    <mergeCell ref="A34:G34"/>
    <mergeCell ref="A3:J3"/>
    <mergeCell ref="H11:H18"/>
    <mergeCell ref="I11:I2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B1EF9-C609-4FEA-8792-050D2DD22E64}">
  <sheetPr>
    <pageSetUpPr fitToPage="1"/>
  </sheetPr>
  <dimension ref="A1:V98"/>
  <sheetViews>
    <sheetView zoomScale="80" zoomScaleNormal="80" workbookViewId="0">
      <pane ySplit="5" topLeftCell="A6" activePane="bottomLeft" state="frozen"/>
      <selection pane="bottomLeft" activeCell="E5" sqref="E5"/>
    </sheetView>
  </sheetViews>
  <sheetFormatPr defaultColWidth="9.1796875" defaultRowHeight="14" x14ac:dyDescent="0.25"/>
  <cols>
    <col min="1" max="1" width="9.54296875" style="87" customWidth="1"/>
    <col min="2" max="2" width="12" style="87" customWidth="1"/>
    <col min="3" max="3" width="26.1796875" style="87" customWidth="1"/>
    <col min="4" max="4" width="11.1796875" style="87" customWidth="1"/>
    <col min="5" max="5" width="12.1796875" style="87" customWidth="1"/>
    <col min="6" max="6" width="14" style="87" customWidth="1"/>
    <col min="7" max="7" width="10.81640625" style="87" customWidth="1"/>
    <col min="8" max="8" width="11.453125" style="87" customWidth="1"/>
    <col min="9" max="9" width="8.81640625" style="87" customWidth="1"/>
    <col min="10" max="10" width="10.54296875" style="87" customWidth="1"/>
    <col min="11" max="11" width="10.453125" style="87" customWidth="1"/>
    <col min="12" max="12" width="12.1796875" style="87" customWidth="1"/>
    <col min="13" max="13" width="9.81640625" style="87" customWidth="1"/>
    <col min="14" max="14" width="10.453125" style="87" customWidth="1"/>
    <col min="15" max="15" width="12.7265625" style="87" customWidth="1"/>
    <col min="16" max="16" width="6.54296875" style="87" customWidth="1"/>
    <col min="17" max="17" width="7.7265625" style="87" customWidth="1"/>
    <col min="18" max="18" width="18" style="87" customWidth="1"/>
    <col min="19" max="19" width="13.26953125" style="87" customWidth="1"/>
    <col min="20" max="20" width="10.453125" style="87" customWidth="1"/>
    <col min="21" max="21" width="10.7265625" style="87" customWidth="1"/>
    <col min="22" max="22" width="14" style="87" customWidth="1"/>
    <col min="23" max="16384" width="9.1796875" style="87"/>
  </cols>
  <sheetData>
    <row r="1" spans="1:22" ht="30" customHeight="1" x14ac:dyDescent="0.25">
      <c r="C1" s="196" t="s">
        <v>18</v>
      </c>
      <c r="D1" s="196"/>
      <c r="E1" s="15"/>
      <c r="S1" s="88"/>
    </row>
    <row r="2" spans="1:22" ht="19.5" customHeight="1" x14ac:dyDescent="0.25">
      <c r="A2" s="213" t="s">
        <v>105</v>
      </c>
      <c r="B2" s="213"/>
      <c r="C2" s="213"/>
      <c r="D2" s="213"/>
      <c r="E2" s="213"/>
      <c r="F2" s="213"/>
      <c r="G2" s="213"/>
      <c r="H2" s="213"/>
      <c r="I2" s="213"/>
      <c r="J2" s="213"/>
      <c r="K2" s="213"/>
      <c r="L2" s="213"/>
      <c r="M2" s="213"/>
      <c r="N2" s="213"/>
      <c r="O2" s="213"/>
      <c r="P2" s="213"/>
      <c r="Q2" s="213"/>
      <c r="R2" s="213"/>
      <c r="S2" s="213"/>
    </row>
    <row r="3" spans="1:22" ht="19.5" customHeight="1" x14ac:dyDescent="0.25">
      <c r="A3" s="89"/>
      <c r="B3" s="89"/>
      <c r="C3" s="90"/>
      <c r="D3" s="90"/>
      <c r="E3" s="90"/>
      <c r="F3" s="90"/>
      <c r="G3" s="90"/>
      <c r="H3" s="90"/>
      <c r="I3" s="90"/>
      <c r="J3" s="90"/>
      <c r="K3" s="90"/>
      <c r="L3" s="90"/>
      <c r="M3" s="90"/>
      <c r="N3" s="90"/>
      <c r="O3" s="90"/>
      <c r="P3" s="90"/>
      <c r="Q3" s="90"/>
      <c r="R3" s="90"/>
      <c r="S3" s="90"/>
    </row>
    <row r="4" spans="1:22" ht="19.5" customHeight="1" x14ac:dyDescent="0.25">
      <c r="T4" s="26"/>
      <c r="U4" s="26"/>
    </row>
    <row r="5" spans="1:22" ht="100.5" customHeight="1" x14ac:dyDescent="0.25">
      <c r="A5" s="11" t="s">
        <v>8</v>
      </c>
      <c r="B5" s="11" t="s">
        <v>48</v>
      </c>
      <c r="C5" s="11" t="s">
        <v>9</v>
      </c>
      <c r="D5" s="44" t="s">
        <v>49</v>
      </c>
      <c r="E5" s="44" t="s">
        <v>87</v>
      </c>
      <c r="F5" s="44" t="s">
        <v>50</v>
      </c>
      <c r="G5" s="44" t="s">
        <v>51</v>
      </c>
      <c r="H5" s="44" t="s">
        <v>52</v>
      </c>
      <c r="I5" s="44" t="s">
        <v>53</v>
      </c>
      <c r="J5" s="44" t="s">
        <v>54</v>
      </c>
      <c r="K5" s="44" t="s">
        <v>55</v>
      </c>
      <c r="L5" s="44" t="s">
        <v>56</v>
      </c>
      <c r="M5" s="44" t="s">
        <v>57</v>
      </c>
      <c r="N5" s="44" t="s">
        <v>58</v>
      </c>
      <c r="O5" s="44" t="s">
        <v>59</v>
      </c>
      <c r="P5" s="44" t="s">
        <v>60</v>
      </c>
      <c r="Q5" s="44" t="s">
        <v>61</v>
      </c>
      <c r="R5" s="44" t="s">
        <v>13</v>
      </c>
      <c r="S5" s="44" t="s">
        <v>6</v>
      </c>
      <c r="T5" s="133" t="s">
        <v>62</v>
      </c>
      <c r="U5" s="133" t="s">
        <v>63</v>
      </c>
      <c r="V5" s="12" t="s">
        <v>64</v>
      </c>
    </row>
    <row r="6" spans="1:22" x14ac:dyDescent="0.25">
      <c r="A6" s="45" t="s">
        <v>97</v>
      </c>
      <c r="B6" s="46" t="s">
        <v>98</v>
      </c>
      <c r="C6" s="203" t="s">
        <v>32</v>
      </c>
      <c r="D6" s="139"/>
      <c r="E6" s="140"/>
      <c r="F6" s="60" t="e">
        <f>V9</f>
        <v>#DIV/0!</v>
      </c>
      <c r="G6" s="152"/>
      <c r="H6" s="153"/>
      <c r="I6" s="152"/>
      <c r="J6" s="154"/>
      <c r="K6" s="154"/>
      <c r="L6" s="50">
        <f>M6*N6/1000</f>
        <v>0</v>
      </c>
      <c r="M6" s="131"/>
      <c r="N6" s="132"/>
      <c r="O6" s="128"/>
      <c r="P6" s="62" t="e">
        <f>T9</f>
        <v>#DIV/0!</v>
      </c>
      <c r="Q6" s="62" t="e">
        <f>U9</f>
        <v>#DIV/0!</v>
      </c>
      <c r="R6" s="41" t="s">
        <v>99</v>
      </c>
      <c r="S6" s="91" t="s">
        <v>29</v>
      </c>
      <c r="T6" s="148"/>
      <c r="U6" s="148"/>
      <c r="V6" s="149"/>
    </row>
    <row r="7" spans="1:22" x14ac:dyDescent="0.25">
      <c r="A7" s="35"/>
      <c r="B7" s="32"/>
      <c r="C7" s="204"/>
      <c r="D7" s="17"/>
      <c r="E7" s="18"/>
      <c r="F7" s="60" t="e">
        <f>V9</f>
        <v>#DIV/0!</v>
      </c>
      <c r="G7" s="130"/>
      <c r="H7" s="127"/>
      <c r="I7" s="130"/>
      <c r="J7" s="129"/>
      <c r="K7" s="129"/>
      <c r="L7" s="50">
        <f>M7*N7/1000</f>
        <v>0</v>
      </c>
      <c r="M7" s="132"/>
      <c r="N7" s="132"/>
      <c r="O7" s="128"/>
      <c r="P7" s="62" t="e">
        <f>T9</f>
        <v>#DIV/0!</v>
      </c>
      <c r="Q7" s="62" t="e">
        <f>U9</f>
        <v>#DIV/0!</v>
      </c>
      <c r="R7" s="21"/>
      <c r="S7" s="92"/>
      <c r="T7" s="148"/>
      <c r="U7" s="148"/>
      <c r="V7" s="150"/>
    </row>
    <row r="8" spans="1:22" x14ac:dyDescent="0.25">
      <c r="A8" s="35"/>
      <c r="B8" s="32"/>
      <c r="C8" s="204"/>
      <c r="D8" s="17"/>
      <c r="E8" s="18"/>
      <c r="F8" s="60" t="e">
        <f>V9</f>
        <v>#DIV/0!</v>
      </c>
      <c r="G8" s="130"/>
      <c r="H8" s="127"/>
      <c r="I8" s="130"/>
      <c r="J8" s="129"/>
      <c r="K8" s="129"/>
      <c r="L8" s="50">
        <f>M8*N8/1000</f>
        <v>0</v>
      </c>
      <c r="M8" s="132"/>
      <c r="N8" s="132"/>
      <c r="O8" s="128"/>
      <c r="P8" s="62" t="e">
        <f>T9</f>
        <v>#DIV/0!</v>
      </c>
      <c r="Q8" s="62" t="e">
        <f>U9</f>
        <v>#DIV/0!</v>
      </c>
      <c r="R8" s="21"/>
      <c r="S8" s="92"/>
      <c r="T8" s="148"/>
      <c r="U8" s="148"/>
      <c r="V8" s="150"/>
    </row>
    <row r="9" spans="1:22" x14ac:dyDescent="0.25">
      <c r="A9" s="35"/>
      <c r="B9" s="32"/>
      <c r="C9" s="204"/>
      <c r="D9" s="93"/>
      <c r="E9" s="93"/>
      <c r="F9" s="60" t="e">
        <f>V9</f>
        <v>#DIV/0!</v>
      </c>
      <c r="G9" s="130"/>
      <c r="H9" s="127"/>
      <c r="I9" s="130"/>
      <c r="J9" s="129"/>
      <c r="K9" s="129"/>
      <c r="L9" s="50">
        <f t="shared" ref="L9:L14" si="0">M9*N9/1000</f>
        <v>0</v>
      </c>
      <c r="M9" s="132"/>
      <c r="N9" s="132"/>
      <c r="O9" s="128"/>
      <c r="P9" s="62" t="e">
        <f>T9</f>
        <v>#DIV/0!</v>
      </c>
      <c r="Q9" s="62" t="e">
        <f>U9</f>
        <v>#DIV/0!</v>
      </c>
      <c r="R9" s="93"/>
      <c r="S9" s="93"/>
      <c r="T9" s="62" t="e">
        <f>AVERAGE(T6:T8)</f>
        <v>#DIV/0!</v>
      </c>
      <c r="U9" s="62" t="e">
        <f>AVERAGE(U6:U8)</f>
        <v>#DIV/0!</v>
      </c>
      <c r="V9" s="99" t="e">
        <f>AVERAGE(V6:V8)</f>
        <v>#DIV/0!</v>
      </c>
    </row>
    <row r="10" spans="1:22" ht="15" customHeight="1" x14ac:dyDescent="0.25">
      <c r="A10" s="93"/>
      <c r="B10" s="93"/>
      <c r="C10" s="204"/>
      <c r="D10" s="93"/>
      <c r="E10" s="93"/>
      <c r="F10" s="60" t="e">
        <f>V9</f>
        <v>#DIV/0!</v>
      </c>
      <c r="G10" s="130"/>
      <c r="H10" s="127"/>
      <c r="I10" s="130"/>
      <c r="J10" s="129"/>
      <c r="K10" s="129"/>
      <c r="L10" s="50">
        <f t="shared" si="0"/>
        <v>0</v>
      </c>
      <c r="M10" s="132"/>
      <c r="N10" s="132"/>
      <c r="O10" s="128"/>
      <c r="P10" s="62" t="e">
        <f>T9</f>
        <v>#DIV/0!</v>
      </c>
      <c r="Q10" s="62" t="e">
        <f>U9</f>
        <v>#DIV/0!</v>
      </c>
      <c r="R10" s="93"/>
      <c r="S10" s="93"/>
      <c r="T10" s="210" t="s">
        <v>33</v>
      </c>
      <c r="U10" s="210" t="s">
        <v>34</v>
      </c>
      <c r="V10" s="209" t="s">
        <v>38</v>
      </c>
    </row>
    <row r="11" spans="1:22" x14ac:dyDescent="0.25">
      <c r="A11" s="93"/>
      <c r="B11" s="93"/>
      <c r="C11" s="204"/>
      <c r="D11" s="93"/>
      <c r="E11" s="93"/>
      <c r="F11" s="60" t="e">
        <f>V9</f>
        <v>#DIV/0!</v>
      </c>
      <c r="G11" s="130"/>
      <c r="H11" s="127"/>
      <c r="I11" s="130"/>
      <c r="J11" s="129"/>
      <c r="K11" s="129"/>
      <c r="L11" s="50">
        <f t="shared" si="0"/>
        <v>0</v>
      </c>
      <c r="M11" s="132"/>
      <c r="N11" s="132"/>
      <c r="O11" s="128"/>
      <c r="P11" s="62" t="e">
        <f>T9</f>
        <v>#DIV/0!</v>
      </c>
      <c r="Q11" s="62" t="e">
        <f>U9</f>
        <v>#DIV/0!</v>
      </c>
      <c r="R11" s="93"/>
      <c r="S11" s="93"/>
      <c r="T11" s="211"/>
      <c r="U11" s="211"/>
      <c r="V11" s="209"/>
    </row>
    <row r="12" spans="1:22" x14ac:dyDescent="0.25">
      <c r="A12" s="93"/>
      <c r="B12" s="93"/>
      <c r="C12" s="204"/>
      <c r="D12" s="93"/>
      <c r="E12" s="93"/>
      <c r="F12" s="60" t="e">
        <f>V9</f>
        <v>#DIV/0!</v>
      </c>
      <c r="G12" s="130"/>
      <c r="H12" s="127"/>
      <c r="I12" s="130"/>
      <c r="J12" s="129"/>
      <c r="K12" s="129"/>
      <c r="L12" s="50">
        <f t="shared" si="0"/>
        <v>0</v>
      </c>
      <c r="M12" s="132"/>
      <c r="N12" s="132"/>
      <c r="O12" s="128"/>
      <c r="P12" s="62" t="e">
        <f>T9</f>
        <v>#DIV/0!</v>
      </c>
      <c r="Q12" s="62" t="e">
        <f>U9</f>
        <v>#DIV/0!</v>
      </c>
      <c r="R12" s="93"/>
      <c r="S12" s="93"/>
      <c r="T12" s="212"/>
      <c r="U12" s="212"/>
      <c r="V12" s="209"/>
    </row>
    <row r="13" spans="1:22" x14ac:dyDescent="0.25">
      <c r="A13" s="93"/>
      <c r="B13" s="93"/>
      <c r="C13" s="204"/>
      <c r="D13" s="93"/>
      <c r="E13" s="93"/>
      <c r="F13" s="60" t="e">
        <f>V9</f>
        <v>#DIV/0!</v>
      </c>
      <c r="G13" s="130"/>
      <c r="H13" s="127"/>
      <c r="I13" s="130"/>
      <c r="J13" s="129"/>
      <c r="K13" s="129"/>
      <c r="L13" s="50">
        <f t="shared" si="0"/>
        <v>0</v>
      </c>
      <c r="M13" s="132"/>
      <c r="N13" s="132"/>
      <c r="O13" s="128"/>
      <c r="P13" s="62" t="e">
        <f>T9</f>
        <v>#DIV/0!</v>
      </c>
      <c r="Q13" s="62" t="e">
        <f>U9</f>
        <v>#DIV/0!</v>
      </c>
      <c r="R13" s="93"/>
      <c r="S13" s="93"/>
    </row>
    <row r="14" spans="1:22" x14ac:dyDescent="0.25">
      <c r="A14" s="94"/>
      <c r="B14" s="94"/>
      <c r="C14" s="205"/>
      <c r="D14" s="94"/>
      <c r="E14" s="94"/>
      <c r="F14" s="60" t="e">
        <f>V9</f>
        <v>#DIV/0!</v>
      </c>
      <c r="G14" s="130"/>
      <c r="H14" s="127"/>
      <c r="I14" s="130"/>
      <c r="J14" s="129"/>
      <c r="K14" s="129"/>
      <c r="L14" s="61">
        <f t="shared" si="0"/>
        <v>0</v>
      </c>
      <c r="M14" s="132"/>
      <c r="N14" s="132"/>
      <c r="O14" s="128"/>
      <c r="P14" s="62" t="e">
        <f>T9</f>
        <v>#DIV/0!</v>
      </c>
      <c r="Q14" s="62" t="e">
        <f>U9</f>
        <v>#DIV/0!</v>
      </c>
      <c r="R14" s="94"/>
      <c r="S14" s="94"/>
    </row>
    <row r="15" spans="1:22" ht="21.75" customHeight="1" x14ac:dyDescent="0.25">
      <c r="L15" s="95">
        <f>SUM(L6:L14)</f>
        <v>0</v>
      </c>
      <c r="M15" s="126">
        <f>SUM(M6:M14)</f>
        <v>0</v>
      </c>
    </row>
    <row r="16" spans="1:22" ht="44.25" customHeight="1" x14ac:dyDescent="0.3">
      <c r="L16" s="117" t="s">
        <v>65</v>
      </c>
      <c r="M16" s="134" t="s">
        <v>95</v>
      </c>
      <c r="N16" s="14"/>
      <c r="O16" s="14"/>
      <c r="P16" s="14"/>
      <c r="Q16" s="14"/>
    </row>
    <row r="17" spans="1:13" x14ac:dyDescent="0.25">
      <c r="A17" s="87" t="s">
        <v>14</v>
      </c>
    </row>
    <row r="20" spans="1:13" x14ac:dyDescent="0.25">
      <c r="A20" s="87" t="s">
        <v>107</v>
      </c>
    </row>
    <row r="21" spans="1:13" x14ac:dyDescent="0.25">
      <c r="A21" s="87" t="s">
        <v>108</v>
      </c>
    </row>
    <row r="22" spans="1:13" x14ac:dyDescent="0.25">
      <c r="A22" s="87" t="s">
        <v>109</v>
      </c>
    </row>
    <row r="23" spans="1:13" x14ac:dyDescent="0.25">
      <c r="A23" s="87" t="s">
        <v>110</v>
      </c>
    </row>
    <row r="24" spans="1:13" x14ac:dyDescent="0.25">
      <c r="A24" s="87" t="s">
        <v>111</v>
      </c>
      <c r="J24" s="119"/>
    </row>
    <row r="25" spans="1:13" ht="15" customHeight="1" x14ac:dyDescent="0.25">
      <c r="A25" s="87" t="s">
        <v>112</v>
      </c>
      <c r="M25" s="184"/>
    </row>
    <row r="26" spans="1:13" x14ac:dyDescent="0.25">
      <c r="A26" s="87" t="s">
        <v>113</v>
      </c>
    </row>
    <row r="28" spans="1:13" x14ac:dyDescent="0.3">
      <c r="A28" s="87" t="s">
        <v>114</v>
      </c>
      <c r="F28" s="208">
        <v>46024</v>
      </c>
      <c r="G28" s="208"/>
      <c r="H28" s="37" t="s">
        <v>121</v>
      </c>
    </row>
    <row r="29" spans="1:13" x14ac:dyDescent="0.25">
      <c r="F29" s="207" t="s">
        <v>116</v>
      </c>
      <c r="G29" s="207"/>
      <c r="H29" s="87" t="s">
        <v>117</v>
      </c>
    </row>
    <row r="30" spans="1:13" x14ac:dyDescent="0.25">
      <c r="A30" s="87" t="s">
        <v>118</v>
      </c>
    </row>
    <row r="31" spans="1:13" x14ac:dyDescent="0.25">
      <c r="H31" s="206">
        <v>46024</v>
      </c>
      <c r="I31" s="206"/>
      <c r="J31" s="87" t="s">
        <v>115</v>
      </c>
    </row>
    <row r="32" spans="1:13" x14ac:dyDescent="0.25">
      <c r="H32" s="207" t="s">
        <v>119</v>
      </c>
      <c r="I32" s="207"/>
      <c r="J32" s="87" t="s">
        <v>117</v>
      </c>
    </row>
    <row r="34" spans="13:13" x14ac:dyDescent="0.25">
      <c r="M34" s="87" t="s">
        <v>120</v>
      </c>
    </row>
    <row r="95" spans="1:2" x14ac:dyDescent="0.25">
      <c r="A95" s="96"/>
      <c r="B95" s="96"/>
    </row>
    <row r="96" spans="1:2" x14ac:dyDescent="0.25">
      <c r="A96" s="96"/>
      <c r="B96" s="96"/>
    </row>
    <row r="97" spans="1:2" x14ac:dyDescent="0.25">
      <c r="A97" s="96"/>
      <c r="B97" s="96"/>
    </row>
    <row r="98" spans="1:2" x14ac:dyDescent="0.25">
      <c r="A98" s="96"/>
      <c r="B98" s="96"/>
    </row>
  </sheetData>
  <sheetProtection algorithmName="SHA-512" hashValue="1LUdbAtr+2ZmdyZ8Y8MO8jkzDRdfoKk0lc0JEmIslWWzvsoemJo26G6OJ/3thwZr9i1JylrthkKzRWbw5KXGtg==" saltValue="req8evI/XNzuA4VUJfkc1Q==" spinCount="100000" sheet="1" formatCells="0" formatColumns="0" formatRows="0"/>
  <mergeCells count="10">
    <mergeCell ref="C1:D1"/>
    <mergeCell ref="A2:S2"/>
    <mergeCell ref="C6:C14"/>
    <mergeCell ref="H31:I31"/>
    <mergeCell ref="H32:I32"/>
    <mergeCell ref="F28:G28"/>
    <mergeCell ref="F29:G29"/>
    <mergeCell ref="V10:V12"/>
    <mergeCell ref="T10:T12"/>
    <mergeCell ref="U10:U12"/>
  </mergeCells>
  <phoneticPr fontId="7" type="noConversion"/>
  <pageMargins left="0.19685039370078741" right="0" top="0.74803149606299213" bottom="0.35433070866141736" header="0.31496062992125984" footer="0.31496062992125984"/>
  <pageSetup paperSize="9" scale="66" fitToHeight="0" orientation="landscape" r:id="rId1"/>
  <headerFooter alignWithMargins="0">
    <oddFooter>&amp;CPuslapių &amp;P &amp;R&amp;"Times New Roman,Paryškintasis"E5-5_02         
2022-02-01, EV</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031F6-8C82-4AF8-AAFE-FF13BB3E8970}">
  <sheetPr codeName="Lapas3">
    <pageSetUpPr fitToPage="1"/>
  </sheetPr>
  <dimension ref="A1:Q292"/>
  <sheetViews>
    <sheetView zoomScale="80" zoomScaleNormal="80" workbookViewId="0">
      <pane ySplit="5" topLeftCell="A6" activePane="bottomLeft" state="frozen"/>
      <selection pane="bottomLeft" activeCell="C2" sqref="C2:M2"/>
    </sheetView>
  </sheetViews>
  <sheetFormatPr defaultColWidth="9.1796875" defaultRowHeight="14" outlineLevelCol="1" x14ac:dyDescent="0.3"/>
  <cols>
    <col min="1" max="1" width="11.26953125" style="14" customWidth="1"/>
    <col min="2" max="2" width="13.26953125" style="14" customWidth="1"/>
    <col min="3" max="3" width="20.81640625" style="14" customWidth="1"/>
    <col min="4" max="4" width="12" style="14" customWidth="1"/>
    <col min="5" max="5" width="13.54296875" style="14" customWidth="1"/>
    <col min="6" max="6" width="15.7265625" style="14" customWidth="1"/>
    <col min="7" max="7" width="13.54296875" style="14" customWidth="1"/>
    <col min="8" max="8" width="11.81640625" style="14" customWidth="1"/>
    <col min="9" max="9" width="12.1796875" style="14" customWidth="1" outlineLevel="1"/>
    <col min="10" max="10" width="10" style="14" customWidth="1" outlineLevel="1"/>
    <col min="11" max="12" width="10.26953125" style="14" customWidth="1"/>
    <col min="13" max="13" width="17" style="14" customWidth="1"/>
    <col min="14" max="14" width="12" style="14" customWidth="1"/>
    <col min="15" max="16384" width="9.1796875" style="14"/>
  </cols>
  <sheetData>
    <row r="1" spans="1:17" ht="30.75" customHeight="1" x14ac:dyDescent="0.3">
      <c r="C1" s="196" t="s">
        <v>19</v>
      </c>
      <c r="D1" s="196"/>
      <c r="Q1" s="16"/>
    </row>
    <row r="2" spans="1:17" ht="19.5" customHeight="1" x14ac:dyDescent="0.3">
      <c r="C2" s="214" t="s">
        <v>104</v>
      </c>
      <c r="D2" s="214"/>
      <c r="E2" s="214"/>
      <c r="F2" s="214"/>
      <c r="G2" s="214"/>
      <c r="H2" s="214"/>
      <c r="I2" s="214"/>
      <c r="J2" s="214"/>
      <c r="K2" s="214"/>
      <c r="L2" s="214"/>
      <c r="M2" s="214"/>
      <c r="Q2" s="16"/>
    </row>
    <row r="3" spans="1:17" ht="12" customHeight="1" x14ac:dyDescent="0.3">
      <c r="C3" s="22"/>
      <c r="H3" s="23"/>
      <c r="Q3" s="16"/>
    </row>
    <row r="4" spans="1:17" ht="8.25" customHeight="1" x14ac:dyDescent="0.3"/>
    <row r="5" spans="1:17" ht="126.75" customHeight="1" x14ac:dyDescent="0.3">
      <c r="A5" s="97" t="s">
        <v>8</v>
      </c>
      <c r="B5" s="97" t="s">
        <v>66</v>
      </c>
      <c r="C5" s="97" t="s">
        <v>9</v>
      </c>
      <c r="D5" s="12" t="s">
        <v>67</v>
      </c>
      <c r="E5" s="12" t="s">
        <v>68</v>
      </c>
      <c r="F5" s="12" t="s">
        <v>69</v>
      </c>
      <c r="G5" s="12" t="s">
        <v>77</v>
      </c>
      <c r="H5" s="12" t="s">
        <v>78</v>
      </c>
      <c r="I5" s="12" t="s">
        <v>79</v>
      </c>
      <c r="J5" s="12" t="s">
        <v>80</v>
      </c>
      <c r="K5" s="12" t="s">
        <v>16</v>
      </c>
      <c r="L5" s="12" t="s">
        <v>17</v>
      </c>
      <c r="M5" s="12" t="s">
        <v>12</v>
      </c>
      <c r="N5" s="47" t="s">
        <v>6</v>
      </c>
    </row>
    <row r="6" spans="1:17" ht="15" customHeight="1" x14ac:dyDescent="0.3">
      <c r="A6" s="156" t="str">
        <f>Paėmimas!A6</f>
        <v>X</v>
      </c>
      <c r="B6" s="155" t="str">
        <f>Paėmimas!B6</f>
        <v>XX</v>
      </c>
      <c r="C6" s="215" t="str">
        <f>Paėmimas!C6</f>
        <v>UAB ,,XXX". Taršos šaltinis Nr. 001.</v>
      </c>
      <c r="D6" s="50">
        <f>Paėmimas!L6</f>
        <v>0</v>
      </c>
      <c r="E6" s="63">
        <f>D6*(273/(273+Paėmimas!O6)*(Paėmimas!H6-Paėmimas!J6)/1013)</f>
        <v>0</v>
      </c>
      <c r="F6" s="65">
        <f>SUM(E6:E14)</f>
        <v>0</v>
      </c>
      <c r="G6" s="62" t="e">
        <f>((Paėmimas!Q6/100)*1.965)+((Paėmimas!P6/100)*1.429)+((1-(Paėmimas!Q6/100)-(Paėmimas!P6/100))*1.251)</f>
        <v>#DIV/0!</v>
      </c>
      <c r="H6" s="50" t="e">
        <f>H2O!K7</f>
        <v>#DIV/0!</v>
      </c>
      <c r="I6" s="50" t="e">
        <f>(E6/(1-(H6/1000))*((273+Paėmimas!F6)/273)*(1013/(Paėmimas!H6+Paėmimas!I6)))</f>
        <v>#DIV/0!</v>
      </c>
      <c r="J6" s="50" t="e">
        <f>(I6/(Paėmimas!M6*60)/((3.142*((Paėmimas!K6/1000)*(Paėmimas!K6/1000))/4)))</f>
        <v>#DIV/0!</v>
      </c>
      <c r="K6" s="62" t="e">
        <f>J6/Paėmimas!G6</f>
        <v>#DIV/0!</v>
      </c>
      <c r="L6" s="68" t="e">
        <f>AVERAGE(K6:K14)</f>
        <v>#DIV/0!</v>
      </c>
      <c r="M6" s="157" t="str">
        <f>Paėmimas!R6</f>
        <v>XXXX</v>
      </c>
      <c r="N6" s="158" t="str">
        <f>Paėmimas!S6</f>
        <v>1 filtras</v>
      </c>
    </row>
    <row r="7" spans="1:17" ht="15" customHeight="1" x14ac:dyDescent="0.3">
      <c r="A7" s="51"/>
      <c r="B7" s="21"/>
      <c r="C7" s="216"/>
      <c r="D7" s="50">
        <f>Paėmimas!L7</f>
        <v>0</v>
      </c>
      <c r="E7" s="63">
        <f>D7*(273/(273+Paėmimas!O7)*(Paėmimas!H7-Paėmimas!J7)/1013)</f>
        <v>0</v>
      </c>
      <c r="F7" s="52"/>
      <c r="G7" s="62" t="e">
        <f>((Paėmimas!Q7/100)*1.965)+((Paėmimas!P7/100)*1.429)+((1-(Paėmimas!Q7/100)-(Paėmimas!P7/100))*1.251)</f>
        <v>#DIV/0!</v>
      </c>
      <c r="H7" s="50" t="e">
        <f>H2O!K7</f>
        <v>#DIV/0!</v>
      </c>
      <c r="I7" s="50" t="e">
        <f>(E7/(1-(H7/1000))*((273+Paėmimas!F7)/273)*(1013/(Paėmimas!H7+Paėmimas!I7)))</f>
        <v>#DIV/0!</v>
      </c>
      <c r="J7" s="50" t="e">
        <f>(I7/(Paėmimas!M7*60)/((3.142*((Paėmimas!K7/1000)*(Paėmimas!K7/1000))/4)))</f>
        <v>#DIV/0!</v>
      </c>
      <c r="K7" s="62" t="e">
        <f>J7/Paėmimas!G7</f>
        <v>#DIV/0!</v>
      </c>
      <c r="L7" s="17"/>
      <c r="M7" s="52"/>
      <c r="N7" s="32"/>
    </row>
    <row r="8" spans="1:17" ht="15" customHeight="1" x14ac:dyDescent="0.3">
      <c r="A8" s="51"/>
      <c r="B8" s="21"/>
      <c r="C8" s="216"/>
      <c r="D8" s="50">
        <f>Paėmimas!L8</f>
        <v>0</v>
      </c>
      <c r="E8" s="63">
        <f>D8*(273/(273+Paėmimas!O8)*(Paėmimas!H8-Paėmimas!J8)/1013)</f>
        <v>0</v>
      </c>
      <c r="F8" s="52"/>
      <c r="G8" s="62" t="e">
        <f>((Paėmimas!Q8/100)*1.965)+((Paėmimas!P8/100)*1.429)+((1-(Paėmimas!Q8/100)-(Paėmimas!P8/100))*1.251)</f>
        <v>#DIV/0!</v>
      </c>
      <c r="H8" s="50" t="e">
        <f>H2O!K7</f>
        <v>#DIV/0!</v>
      </c>
      <c r="I8" s="50" t="e">
        <f>(E8/(1-(H8/1000))*((273+Paėmimas!F8)/273)*(1013/(Paėmimas!H8+Paėmimas!I8)))</f>
        <v>#DIV/0!</v>
      </c>
      <c r="J8" s="50" t="e">
        <f>(I8/(Paėmimas!M8*60)/((3.142*((Paėmimas!K8/1000)*(Paėmimas!K8/1000))/4)))</f>
        <v>#DIV/0!</v>
      </c>
      <c r="K8" s="62" t="e">
        <f>J8/Paėmimas!G8</f>
        <v>#DIV/0!</v>
      </c>
      <c r="L8" s="17"/>
      <c r="M8" s="52"/>
      <c r="N8" s="32"/>
    </row>
    <row r="9" spans="1:17" ht="15" customHeight="1" x14ac:dyDescent="0.3">
      <c r="A9" s="51"/>
      <c r="B9" s="21"/>
      <c r="C9" s="216"/>
      <c r="D9" s="50">
        <f>Paėmimas!L9</f>
        <v>0</v>
      </c>
      <c r="E9" s="63">
        <f>D9*(273/(273+Paėmimas!O9)*(Paėmimas!H9-Paėmimas!J9)/1013)</f>
        <v>0</v>
      </c>
      <c r="F9" s="52"/>
      <c r="G9" s="62" t="e">
        <f>((Paėmimas!Q9/100)*1.965)+((Paėmimas!P9/100)*1.429)+((1-(Paėmimas!Q9/100)-(Paėmimas!P9/100))*1.251)</f>
        <v>#DIV/0!</v>
      </c>
      <c r="H9" s="50" t="e">
        <f>H2O!K7</f>
        <v>#DIV/0!</v>
      </c>
      <c r="I9" s="50" t="e">
        <f>(E9/(1-(H9/1000))*((273+Paėmimas!F9)/273)*(1013/(Paėmimas!H9+Paėmimas!I9)))</f>
        <v>#DIV/0!</v>
      </c>
      <c r="J9" s="50" t="e">
        <f>(I9/(Paėmimas!M9*60)/((3.142*((Paėmimas!K9/1000)*(Paėmimas!K9/1000))/4)))</f>
        <v>#DIV/0!</v>
      </c>
      <c r="K9" s="62" t="e">
        <f>J9/Paėmimas!G9</f>
        <v>#DIV/0!</v>
      </c>
      <c r="L9" s="17"/>
      <c r="M9" s="52"/>
      <c r="N9" s="32"/>
    </row>
    <row r="10" spans="1:17" ht="15" customHeight="1" x14ac:dyDescent="0.3">
      <c r="A10" s="51"/>
      <c r="B10" s="21"/>
      <c r="C10" s="216"/>
      <c r="D10" s="50">
        <f>Paėmimas!L10</f>
        <v>0</v>
      </c>
      <c r="E10" s="63">
        <f>D10*(273/(273+Paėmimas!O10)*(Paėmimas!H10-Paėmimas!J10)/1013)</f>
        <v>0</v>
      </c>
      <c r="F10" s="52"/>
      <c r="G10" s="62" t="e">
        <f>((Paėmimas!Q10/100)*1.965)+((Paėmimas!P10/100)*1.429)+((1-(Paėmimas!Q10/100)-(Paėmimas!P10/100))*1.251)</f>
        <v>#DIV/0!</v>
      </c>
      <c r="H10" s="50" t="e">
        <f>H2O!K7</f>
        <v>#DIV/0!</v>
      </c>
      <c r="I10" s="50" t="e">
        <f>(E10/(1-(H10/1000))*((273+Paėmimas!F10)/273)*(1013/(Paėmimas!H10+Paėmimas!I10)))</f>
        <v>#DIV/0!</v>
      </c>
      <c r="J10" s="50" t="e">
        <f>(I10/(Paėmimas!M10*60)/((3.142*((Paėmimas!K10/1000)*(Paėmimas!K10/1000))/4)))</f>
        <v>#DIV/0!</v>
      </c>
      <c r="K10" s="62" t="e">
        <f>J10/Paėmimas!G10</f>
        <v>#DIV/0!</v>
      </c>
      <c r="L10" s="17"/>
      <c r="M10" s="52"/>
      <c r="N10" s="32"/>
    </row>
    <row r="11" spans="1:17" ht="15" customHeight="1" x14ac:dyDescent="0.3">
      <c r="A11" s="51"/>
      <c r="B11" s="21"/>
      <c r="C11" s="216"/>
      <c r="D11" s="50">
        <f>Paėmimas!L11</f>
        <v>0</v>
      </c>
      <c r="E11" s="63">
        <f>D11*(273/(273+Paėmimas!O11)*(Paėmimas!H11-Paėmimas!J11)/1013)</f>
        <v>0</v>
      </c>
      <c r="F11" s="52"/>
      <c r="G11" s="62" t="e">
        <f>((Paėmimas!Q11/100)*1.965)+((Paėmimas!P11/100)*1.429)+((1-(Paėmimas!Q11/100)-(Paėmimas!P11/100))*1.251)</f>
        <v>#DIV/0!</v>
      </c>
      <c r="H11" s="50" t="e">
        <f>H2O!K7</f>
        <v>#DIV/0!</v>
      </c>
      <c r="I11" s="50" t="e">
        <f>(E11/(1-(H11/1000))*((273+Paėmimas!F11)/273)*(1013/(Paėmimas!H11+Paėmimas!I11)))</f>
        <v>#DIV/0!</v>
      </c>
      <c r="J11" s="50" t="e">
        <f>(I11/(Paėmimas!M11*60)/((3.142*((Paėmimas!K11/1000)*(Paėmimas!K11/1000))/4)))</f>
        <v>#DIV/0!</v>
      </c>
      <c r="K11" s="62" t="e">
        <f>J11/Paėmimas!G11</f>
        <v>#DIV/0!</v>
      </c>
      <c r="L11" s="17"/>
      <c r="M11" s="52"/>
      <c r="N11" s="32"/>
    </row>
    <row r="12" spans="1:17" ht="15" customHeight="1" thickBot="1" x14ac:dyDescent="0.35">
      <c r="A12" s="51"/>
      <c r="B12" s="21"/>
      <c r="C12" s="216"/>
      <c r="D12" s="50">
        <f>Paėmimas!L12</f>
        <v>0</v>
      </c>
      <c r="E12" s="63">
        <f>D12*(273/(273+Paėmimas!O12)*(Paėmimas!H12-Paėmimas!J12)/1013)</f>
        <v>0</v>
      </c>
      <c r="F12" s="52"/>
      <c r="G12" s="62" t="e">
        <f>((Paėmimas!Q12/100)*1.965)+((Paėmimas!P12/100)*1.429)+((1-(Paėmimas!Q12/100)-(Paėmimas!P12/100))*1.251)</f>
        <v>#DIV/0!</v>
      </c>
      <c r="H12" s="50" t="e">
        <f>H2O!K7</f>
        <v>#DIV/0!</v>
      </c>
      <c r="I12" s="50" t="e">
        <f>(E12/(1-(H12/1000))*((273+Paėmimas!F12)/273)*(1013/(Paėmimas!H12+Paėmimas!I12)))</f>
        <v>#DIV/0!</v>
      </c>
      <c r="J12" s="50" t="e">
        <f>(I12/(Paėmimas!M12*60)/((3.142*((Paėmimas!K12/1000)*(Paėmimas!K12/1000))/4)))</f>
        <v>#DIV/0!</v>
      </c>
      <c r="K12" s="62" t="e">
        <f>J12/Paėmimas!G12</f>
        <v>#DIV/0!</v>
      </c>
      <c r="L12" s="17"/>
      <c r="M12" s="52"/>
      <c r="N12" s="32"/>
    </row>
    <row r="13" spans="1:17" ht="15" customHeight="1" x14ac:dyDescent="0.3">
      <c r="A13" s="51"/>
      <c r="B13" s="21"/>
      <c r="C13" s="216"/>
      <c r="D13" s="50">
        <f>Paėmimas!L13</f>
        <v>0</v>
      </c>
      <c r="E13" s="63">
        <f>D13*(273/(273+Paėmimas!O13)*(Paėmimas!H13-Paėmimas!J13)/1013)</f>
        <v>0</v>
      </c>
      <c r="F13" s="52"/>
      <c r="G13" s="62" t="e">
        <f>((Paėmimas!Q13/100)*1.965)+((Paėmimas!P13/100)*1.429)+((1-(Paėmimas!Q13/100)-(Paėmimas!P13/100))*1.251)</f>
        <v>#DIV/0!</v>
      </c>
      <c r="H13" s="50" t="e">
        <f>H2O!K7</f>
        <v>#DIV/0!</v>
      </c>
      <c r="I13" s="50" t="e">
        <f>(E13/(1-(H13/1000))*((273+Paėmimas!F13)/273)*(1013/(Paėmimas!H13+Paėmimas!I13)))</f>
        <v>#DIV/0!</v>
      </c>
      <c r="J13" s="50" t="e">
        <f>(I13/(Paėmimas!M13*60)/((3.142*((Paėmimas!K13/1000)*(Paėmimas!K13/1000))/4)))</f>
        <v>#DIV/0!</v>
      </c>
      <c r="K13" s="62" t="e">
        <f>J13/Paėmimas!G13</f>
        <v>#DIV/0!</v>
      </c>
      <c r="L13" s="17"/>
      <c r="M13" s="52"/>
      <c r="N13" s="32"/>
    </row>
    <row r="14" spans="1:17" ht="15" customHeight="1" x14ac:dyDescent="0.3">
      <c r="A14" s="53"/>
      <c r="B14" s="54"/>
      <c r="C14" s="217"/>
      <c r="D14" s="61">
        <f>Paėmimas!L14</f>
        <v>0</v>
      </c>
      <c r="E14" s="64">
        <f>D14*(273/(273+Paėmimas!O14)*(Paėmimas!H14-Paėmimas!J14)/1013)</f>
        <v>0</v>
      </c>
      <c r="F14" s="55"/>
      <c r="G14" s="66" t="e">
        <f>((Paėmimas!Q14/100)*1.965)+((Paėmimas!P14/100)*1.429)+((1-(Paėmimas!Q14/100)-(Paėmimas!P14/100))*1.251)</f>
        <v>#DIV/0!</v>
      </c>
      <c r="H14" s="50" t="e">
        <f>H2O!K7</f>
        <v>#DIV/0!</v>
      </c>
      <c r="I14" s="61" t="e">
        <f>(E14/(1-(H14/1000))*((273+Paėmimas!F14)/273)*(1013/(Paėmimas!H14+Paėmimas!I14)))</f>
        <v>#DIV/0!</v>
      </c>
      <c r="J14" s="50" t="e">
        <f>(I14/(Paėmimas!M14*60)/((3.142*((Paėmimas!K14/1000)*(Paėmimas!K14/1000))/4)))</f>
        <v>#DIV/0!</v>
      </c>
      <c r="K14" s="62" t="e">
        <f>J14/Paėmimas!G14</f>
        <v>#DIV/0!</v>
      </c>
      <c r="L14" s="56"/>
      <c r="M14" s="55"/>
      <c r="N14" s="20"/>
    </row>
    <row r="15" spans="1:17" x14ac:dyDescent="0.3">
      <c r="C15" s="69"/>
      <c r="D15" s="69"/>
      <c r="E15" s="69"/>
      <c r="F15" s="69"/>
      <c r="G15" s="67" t="e">
        <f>AVERAGE(G6:G14)</f>
        <v>#DIV/0!</v>
      </c>
      <c r="H15" s="69"/>
      <c r="I15" s="69"/>
      <c r="J15" s="69"/>
    </row>
    <row r="16" spans="1:17" ht="28" x14ac:dyDescent="0.3">
      <c r="C16" s="70"/>
      <c r="D16" s="70"/>
      <c r="E16" s="70"/>
      <c r="F16" s="70"/>
      <c r="G16" s="134" t="s">
        <v>28</v>
      </c>
      <c r="H16" s="70"/>
      <c r="I16" s="70"/>
      <c r="J16" s="70"/>
    </row>
    <row r="17" spans="1:10" x14ac:dyDescent="0.3">
      <c r="C17" s="70"/>
      <c r="D17" s="70"/>
      <c r="E17" s="70"/>
      <c r="F17" s="70"/>
      <c r="H17" s="70"/>
      <c r="I17" s="70"/>
      <c r="J17" s="70"/>
    </row>
    <row r="20" spans="1:10" x14ac:dyDescent="0.3">
      <c r="A20" s="14" t="s">
        <v>107</v>
      </c>
    </row>
    <row r="21" spans="1:10" x14ac:dyDescent="0.3">
      <c r="A21" s="14" t="s">
        <v>108</v>
      </c>
    </row>
    <row r="22" spans="1:10" x14ac:dyDescent="0.3">
      <c r="A22" s="14" t="s">
        <v>109</v>
      </c>
    </row>
    <row r="23" spans="1:10" x14ac:dyDescent="0.3">
      <c r="A23" s="14" t="s">
        <v>110</v>
      </c>
    </row>
    <row r="24" spans="1:10" x14ac:dyDescent="0.3">
      <c r="A24" s="14" t="s">
        <v>111</v>
      </c>
    </row>
    <row r="25" spans="1:10" x14ac:dyDescent="0.3">
      <c r="A25" s="14" t="s">
        <v>112</v>
      </c>
    </row>
    <row r="26" spans="1:10" x14ac:dyDescent="0.3">
      <c r="A26" s="14" t="s">
        <v>113</v>
      </c>
    </row>
    <row r="28" spans="1:10" x14ac:dyDescent="0.3">
      <c r="A28" s="14" t="s">
        <v>114</v>
      </c>
      <c r="F28" s="179">
        <v>46024</v>
      </c>
      <c r="H28" s="37" t="s">
        <v>121</v>
      </c>
    </row>
    <row r="29" spans="1:10" x14ac:dyDescent="0.3">
      <c r="F29" s="14" t="s">
        <v>116</v>
      </c>
      <c r="H29" s="14" t="s">
        <v>117</v>
      </c>
    </row>
    <row r="30" spans="1:10" x14ac:dyDescent="0.3">
      <c r="A30" s="14" t="s">
        <v>118</v>
      </c>
    </row>
    <row r="31" spans="1:10" x14ac:dyDescent="0.3">
      <c r="H31" s="179">
        <v>46024</v>
      </c>
      <c r="J31" s="14" t="s">
        <v>115</v>
      </c>
    </row>
    <row r="32" spans="1:10" x14ac:dyDescent="0.3">
      <c r="H32" s="14" t="s">
        <v>119</v>
      </c>
      <c r="J32" s="14" t="s">
        <v>117</v>
      </c>
    </row>
    <row r="34" spans="13:13" x14ac:dyDescent="0.3">
      <c r="M34" s="14" t="s">
        <v>120</v>
      </c>
    </row>
    <row r="291" spans="3:4" x14ac:dyDescent="0.3">
      <c r="C291" s="24"/>
      <c r="D291" s="14" t="s">
        <v>10</v>
      </c>
    </row>
    <row r="292" spans="3:4" x14ac:dyDescent="0.3">
      <c r="C292" s="25"/>
      <c r="D292" s="14" t="s">
        <v>11</v>
      </c>
    </row>
  </sheetData>
  <sheetProtection algorithmName="SHA-512" hashValue="j0S4fMs+ubkijdHQeGKEVuz7ah/Ns7FnXfsGzBxI07O+noMIt7NxP+vuN7f9NNzf16rOQ23TfmVxMVGRE/IriQ==" saltValue="jyOhYSSicq/hkE15nv/QEw==" spinCount="100000" sheet="1" formatCells="0" formatColumns="0" formatRows="0"/>
  <mergeCells count="3">
    <mergeCell ref="C2:M2"/>
    <mergeCell ref="C1:D1"/>
    <mergeCell ref="C6:C14"/>
  </mergeCells>
  <phoneticPr fontId="0" type="noConversion"/>
  <pageMargins left="0.39370078740157483" right="0" top="0.74803149606299213" bottom="0.19685039370078741" header="0.31496062992125984" footer="0.31496062992125984"/>
  <pageSetup paperSize="9" scale="68" fitToHeight="0" orientation="landscape" r:id="rId1"/>
  <headerFooter alignWithMargins="0">
    <oddFooter>&amp;CPuslapių &amp;P &amp;R&amp;"Times New Roman,Paryškintasis"E5-5_02         
2022-02-01, EV</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1EDA9-7C25-4C01-9DCA-8D685240AFBD}">
  <sheetPr codeName="Lapas4">
    <pageSetUpPr fitToPage="1"/>
  </sheetPr>
  <dimension ref="A1:R34"/>
  <sheetViews>
    <sheetView zoomScale="80" zoomScaleNormal="80" workbookViewId="0">
      <selection activeCell="A2" sqref="A2:N2"/>
    </sheetView>
  </sheetViews>
  <sheetFormatPr defaultColWidth="9.1796875" defaultRowHeight="14" x14ac:dyDescent="0.3"/>
  <cols>
    <col min="1" max="1" width="11.7265625" style="14" customWidth="1"/>
    <col min="2" max="2" width="13.453125" style="14" customWidth="1"/>
    <col min="3" max="3" width="24.54296875" style="14" customWidth="1"/>
    <col min="4" max="4" width="8.1796875" style="14" customWidth="1"/>
    <col min="5" max="5" width="11.54296875" style="14" customWidth="1"/>
    <col min="6" max="6" width="12.26953125" style="14" customWidth="1"/>
    <col min="7" max="7" width="11" style="14" customWidth="1"/>
    <col min="8" max="8" width="12" style="14" customWidth="1"/>
    <col min="9" max="9" width="10.26953125" style="14" customWidth="1"/>
    <col min="10" max="10" width="11.1796875" style="14" customWidth="1"/>
    <col min="11" max="11" width="14.26953125" style="14" customWidth="1"/>
    <col min="12" max="12" width="11.54296875" style="14" customWidth="1"/>
    <col min="13" max="13" width="10.81640625" style="14" customWidth="1"/>
    <col min="14" max="14" width="17.7265625" style="14" customWidth="1"/>
    <col min="15" max="15" width="9.81640625" style="14" customWidth="1"/>
    <col min="16" max="17" width="9.1796875" style="14"/>
    <col min="18" max="18" width="9.54296875" style="14" bestFit="1" customWidth="1"/>
    <col min="19" max="16384" width="9.1796875" style="14"/>
  </cols>
  <sheetData>
    <row r="1" spans="1:18" ht="27.75" customHeight="1" x14ac:dyDescent="0.3">
      <c r="C1" s="196" t="s">
        <v>20</v>
      </c>
      <c r="D1" s="196"/>
      <c r="R1" s="16"/>
    </row>
    <row r="2" spans="1:18" x14ac:dyDescent="0.3">
      <c r="A2" s="197" t="s">
        <v>102</v>
      </c>
      <c r="B2" s="197"/>
      <c r="C2" s="197"/>
      <c r="D2" s="197"/>
      <c r="E2" s="197"/>
      <c r="F2" s="197"/>
      <c r="G2" s="197"/>
      <c r="H2" s="197"/>
      <c r="I2" s="197"/>
      <c r="J2" s="197"/>
      <c r="K2" s="197"/>
      <c r="L2" s="197"/>
      <c r="M2" s="197"/>
      <c r="N2" s="197"/>
      <c r="O2" s="147"/>
    </row>
    <row r="3" spans="1:18" x14ac:dyDescent="0.3">
      <c r="F3" s="27"/>
      <c r="L3" s="16"/>
      <c r="M3" s="16"/>
    </row>
    <row r="4" spans="1:18" ht="12.75" customHeight="1" x14ac:dyDescent="0.3">
      <c r="L4" s="16"/>
      <c r="M4" s="16"/>
    </row>
    <row r="5" spans="1:18" ht="88.5" customHeight="1" x14ac:dyDescent="0.3">
      <c r="A5" s="97" t="s">
        <v>8</v>
      </c>
      <c r="B5" s="97" t="s">
        <v>48</v>
      </c>
      <c r="C5" s="12" t="s">
        <v>9</v>
      </c>
      <c r="D5" s="12" t="s">
        <v>7</v>
      </c>
      <c r="E5" s="118" t="s">
        <v>70</v>
      </c>
      <c r="F5" s="118" t="s">
        <v>71</v>
      </c>
      <c r="G5" s="118" t="s">
        <v>72</v>
      </c>
      <c r="H5" s="118" t="s">
        <v>73</v>
      </c>
      <c r="I5" s="118" t="s">
        <v>74</v>
      </c>
      <c r="J5" s="118" t="s">
        <v>75</v>
      </c>
      <c r="K5" s="118" t="s">
        <v>76</v>
      </c>
      <c r="L5" s="185" t="s">
        <v>123</v>
      </c>
      <c r="M5" s="186" t="s">
        <v>124</v>
      </c>
      <c r="N5" s="12" t="s">
        <v>12</v>
      </c>
      <c r="O5" s="12" t="s">
        <v>125</v>
      </c>
      <c r="P5" s="47" t="s">
        <v>6</v>
      </c>
    </row>
    <row r="6" spans="1:18" ht="22.5" customHeight="1" x14ac:dyDescent="0.3">
      <c r="A6" s="193" t="str">
        <f>Paėmimas!A6</f>
        <v>X</v>
      </c>
      <c r="B6" s="163" t="str">
        <f>Svėrimas!A6</f>
        <v>XXXXX</v>
      </c>
      <c r="C6" s="194" t="str">
        <f>Paėmimas!C6</f>
        <v>UAB ,,XXX". Taršos šaltinis Nr. 001.</v>
      </c>
      <c r="D6" s="176">
        <f>Svėrimas!C6</f>
        <v>5</v>
      </c>
      <c r="E6" s="142">
        <f>Svėrimas!G6</f>
        <v>0</v>
      </c>
      <c r="F6" s="144">
        <f>Svėrimas!L6</f>
        <v>0</v>
      </c>
      <c r="G6" s="144">
        <f>Svėrimas!M9</f>
        <v>0</v>
      </c>
      <c r="H6" s="144">
        <f>Svėrimas!M11/O6</f>
        <v>0</v>
      </c>
      <c r="I6" s="57">
        <f>Svėrimas!M16</f>
        <v>0</v>
      </c>
      <c r="J6" s="145">
        <f>'Aerodinamika '!F6</f>
        <v>0</v>
      </c>
      <c r="K6" s="98" t="e">
        <f>((F6-E6-G6+H6+I6)/J6)*1000</f>
        <v>#DIV/0!</v>
      </c>
      <c r="L6" s="101" t="e">
        <f>G6/((Paėmimas!L15)/O6)*1000</f>
        <v>#DIV/0!</v>
      </c>
      <c r="M6" s="102" t="e">
        <f>((F6-E6)+H6)/G6</f>
        <v>#DIV/0!</v>
      </c>
      <c r="N6" s="160" t="str">
        <f>Svėrimas!N6</f>
        <v>XXXXXXX</v>
      </c>
      <c r="O6" s="46">
        <v>1</v>
      </c>
      <c r="P6" s="159" t="str">
        <f>Paėmimas!S6</f>
        <v>1 filtras</v>
      </c>
    </row>
    <row r="7" spans="1:18" ht="19.5" customHeight="1" x14ac:dyDescent="0.3">
      <c r="A7" s="161"/>
      <c r="B7" s="163"/>
      <c r="C7" s="194"/>
      <c r="D7" s="177"/>
      <c r="E7" s="142"/>
      <c r="F7" s="57"/>
      <c r="G7" s="144"/>
      <c r="H7" s="144"/>
      <c r="I7" s="57"/>
      <c r="J7" s="57"/>
      <c r="K7" s="60"/>
      <c r="L7" s="191"/>
      <c r="M7" s="187"/>
      <c r="N7" s="188"/>
      <c r="O7" s="188"/>
      <c r="P7" s="19"/>
    </row>
    <row r="8" spans="1:18" ht="22.5" customHeight="1" x14ac:dyDescent="0.3">
      <c r="A8" s="162"/>
      <c r="B8" s="159"/>
      <c r="C8" s="195"/>
      <c r="D8" s="177"/>
      <c r="E8" s="142"/>
      <c r="F8" s="57"/>
      <c r="G8" s="57"/>
      <c r="H8" s="57"/>
      <c r="I8" s="57"/>
      <c r="J8" s="57"/>
      <c r="K8" s="60"/>
      <c r="L8" s="192"/>
      <c r="M8" s="100"/>
      <c r="N8" s="189"/>
      <c r="O8" s="190"/>
      <c r="P8" s="19"/>
    </row>
    <row r="17" spans="1:18" x14ac:dyDescent="0.3">
      <c r="A17" s="146"/>
      <c r="B17" s="146"/>
      <c r="C17" s="146"/>
      <c r="D17" s="146"/>
      <c r="E17" s="146"/>
      <c r="F17" s="146"/>
      <c r="G17" s="146"/>
      <c r="H17" s="146"/>
      <c r="I17" s="146"/>
      <c r="J17" s="146"/>
      <c r="K17" s="146"/>
      <c r="L17" s="146"/>
      <c r="M17" s="146"/>
      <c r="N17" s="146"/>
      <c r="O17" s="146"/>
      <c r="P17" s="146"/>
      <c r="Q17" s="146"/>
      <c r="R17" s="146"/>
    </row>
    <row r="18" spans="1:18" x14ac:dyDescent="0.3">
      <c r="A18" s="146"/>
      <c r="B18" s="146"/>
      <c r="C18" s="146"/>
      <c r="D18" s="146"/>
      <c r="E18" s="146"/>
      <c r="F18" s="146"/>
      <c r="G18" s="146"/>
      <c r="H18" s="146"/>
      <c r="I18" s="146"/>
      <c r="J18" s="146"/>
      <c r="K18" s="146"/>
      <c r="L18" s="146"/>
      <c r="M18" s="146"/>
      <c r="N18" s="146"/>
      <c r="O18" s="146"/>
      <c r="P18" s="146"/>
      <c r="Q18" s="146"/>
      <c r="R18" s="146"/>
    </row>
    <row r="19" spans="1:18" x14ac:dyDescent="0.3">
      <c r="A19" s="180" t="s">
        <v>107</v>
      </c>
      <c r="B19" s="180"/>
      <c r="C19" s="180"/>
      <c r="D19" s="180"/>
      <c r="E19" s="180"/>
      <c r="F19" s="180"/>
      <c r="G19" s="180"/>
      <c r="H19" s="180"/>
      <c r="I19" s="180"/>
      <c r="J19" s="180"/>
      <c r="K19" s="180"/>
      <c r="L19" s="180"/>
      <c r="M19" s="180"/>
      <c r="N19" s="180"/>
      <c r="O19" s="146"/>
      <c r="P19" s="146"/>
      <c r="Q19" s="146"/>
      <c r="R19" s="146"/>
    </row>
    <row r="20" spans="1:18" x14ac:dyDescent="0.3">
      <c r="A20" s="180" t="s">
        <v>108</v>
      </c>
      <c r="B20" s="180"/>
      <c r="C20" s="180"/>
      <c r="D20" s="180"/>
      <c r="E20" s="180"/>
      <c r="F20" s="180"/>
      <c r="G20" s="180"/>
      <c r="H20" s="180"/>
      <c r="I20" s="180"/>
      <c r="J20" s="180"/>
      <c r="K20" s="180"/>
      <c r="L20" s="180"/>
      <c r="M20" s="180"/>
      <c r="N20" s="180"/>
      <c r="O20" s="146"/>
      <c r="P20" s="146"/>
      <c r="Q20" s="146"/>
      <c r="R20" s="146"/>
    </row>
    <row r="21" spans="1:18" x14ac:dyDescent="0.3">
      <c r="A21" s="180" t="s">
        <v>109</v>
      </c>
      <c r="B21" s="180"/>
      <c r="C21" s="180"/>
      <c r="D21" s="180"/>
      <c r="E21" s="180"/>
      <c r="F21" s="180"/>
      <c r="G21" s="180"/>
      <c r="H21" s="180"/>
      <c r="I21" s="180"/>
      <c r="J21" s="180"/>
      <c r="K21" s="180"/>
      <c r="L21" s="180"/>
      <c r="M21" s="180"/>
      <c r="N21" s="180"/>
      <c r="O21" s="146"/>
      <c r="P21" s="146"/>
      <c r="Q21" s="146"/>
      <c r="R21" s="146"/>
    </row>
    <row r="22" spans="1:18" x14ac:dyDescent="0.3">
      <c r="A22" s="180" t="s">
        <v>110</v>
      </c>
      <c r="B22" s="180"/>
      <c r="C22" s="180"/>
      <c r="D22" s="180"/>
      <c r="E22" s="180"/>
      <c r="F22" s="180"/>
      <c r="G22" s="180"/>
      <c r="H22" s="180"/>
      <c r="I22" s="180"/>
      <c r="J22" s="180"/>
      <c r="K22" s="180"/>
      <c r="L22" s="180"/>
      <c r="M22" s="180"/>
      <c r="N22" s="180"/>
      <c r="O22" s="146"/>
      <c r="P22" s="146"/>
      <c r="Q22" s="146"/>
      <c r="R22" s="146"/>
    </row>
    <row r="23" spans="1:18" x14ac:dyDescent="0.3">
      <c r="A23" s="180" t="s">
        <v>111</v>
      </c>
      <c r="B23" s="180"/>
      <c r="C23" s="180"/>
      <c r="D23" s="180"/>
      <c r="E23" s="180"/>
      <c r="F23" s="180"/>
      <c r="G23" s="180"/>
      <c r="H23" s="180"/>
      <c r="I23" s="180"/>
      <c r="J23" s="180"/>
      <c r="K23" s="180"/>
      <c r="L23" s="180"/>
      <c r="M23" s="180"/>
      <c r="N23" s="180"/>
      <c r="O23" s="146"/>
      <c r="P23" s="146"/>
      <c r="Q23" s="146"/>
      <c r="R23" s="146"/>
    </row>
    <row r="24" spans="1:18" x14ac:dyDescent="0.3">
      <c r="A24" s="180" t="s">
        <v>112</v>
      </c>
      <c r="B24" s="180"/>
      <c r="C24" s="180"/>
      <c r="D24" s="180"/>
      <c r="E24" s="180"/>
      <c r="F24" s="180"/>
      <c r="G24" s="180"/>
      <c r="H24" s="180"/>
      <c r="I24" s="180"/>
      <c r="J24" s="180"/>
      <c r="K24" s="180"/>
      <c r="L24" s="180"/>
      <c r="M24" s="180"/>
      <c r="N24" s="180"/>
      <c r="O24" s="146"/>
      <c r="P24" s="146"/>
      <c r="Q24" s="146"/>
      <c r="R24" s="146"/>
    </row>
    <row r="25" spans="1:18" x14ac:dyDescent="0.3">
      <c r="A25" s="180" t="s">
        <v>113</v>
      </c>
      <c r="B25" s="180"/>
      <c r="C25" s="180"/>
      <c r="D25" s="180"/>
      <c r="E25" s="180"/>
      <c r="F25" s="180"/>
      <c r="G25" s="180"/>
      <c r="H25" s="180"/>
      <c r="I25" s="180"/>
      <c r="J25" s="180"/>
      <c r="K25" s="180"/>
      <c r="L25" s="180"/>
      <c r="M25" s="180"/>
      <c r="N25" s="180"/>
      <c r="O25" s="146"/>
      <c r="P25" s="146"/>
      <c r="Q25" s="146"/>
      <c r="R25" s="146"/>
    </row>
    <row r="26" spans="1:18" x14ac:dyDescent="0.3">
      <c r="A26" s="180"/>
      <c r="B26" s="180"/>
      <c r="C26" s="180"/>
      <c r="D26" s="180"/>
      <c r="E26" s="180"/>
      <c r="F26" s="180"/>
      <c r="G26" s="180"/>
      <c r="H26" s="180"/>
      <c r="I26" s="180"/>
      <c r="J26" s="180"/>
      <c r="K26" s="180"/>
      <c r="L26" s="180"/>
      <c r="M26" s="180"/>
      <c r="N26" s="180"/>
      <c r="O26" s="146"/>
      <c r="P26" s="146"/>
      <c r="Q26" s="146"/>
      <c r="R26" s="146"/>
    </row>
    <row r="27" spans="1:18" x14ac:dyDescent="0.3">
      <c r="A27" s="180" t="s">
        <v>114</v>
      </c>
      <c r="B27" s="180"/>
      <c r="C27" s="180"/>
      <c r="D27" s="180"/>
      <c r="E27" s="180"/>
      <c r="F27" s="181">
        <v>46024</v>
      </c>
      <c r="G27" s="180"/>
      <c r="H27" s="37" t="s">
        <v>121</v>
      </c>
      <c r="I27" s="180"/>
      <c r="J27" s="180"/>
      <c r="K27" s="180"/>
      <c r="L27" s="180"/>
      <c r="M27" s="180"/>
      <c r="N27" s="180"/>
      <c r="O27" s="146"/>
      <c r="P27" s="146"/>
      <c r="Q27" s="146"/>
      <c r="R27" s="146"/>
    </row>
    <row r="28" spans="1:18" x14ac:dyDescent="0.3">
      <c r="A28" s="180"/>
      <c r="B28" s="180"/>
      <c r="C28" s="180"/>
      <c r="D28" s="180"/>
      <c r="E28" s="180"/>
      <c r="F28" s="180" t="s">
        <v>116</v>
      </c>
      <c r="G28" s="180"/>
      <c r="H28" s="180" t="s">
        <v>117</v>
      </c>
      <c r="I28" s="180"/>
      <c r="J28" s="180"/>
      <c r="K28" s="180"/>
      <c r="L28" s="180"/>
      <c r="M28" s="180"/>
      <c r="N28" s="180"/>
      <c r="O28" s="146"/>
      <c r="P28" s="146"/>
      <c r="Q28" s="146"/>
      <c r="R28" s="146"/>
    </row>
    <row r="29" spans="1:18" x14ac:dyDescent="0.3">
      <c r="A29" s="180" t="s">
        <v>118</v>
      </c>
      <c r="B29" s="180"/>
      <c r="C29" s="180"/>
      <c r="D29" s="180"/>
      <c r="E29" s="180"/>
      <c r="F29" s="180"/>
      <c r="G29" s="180"/>
      <c r="H29" s="180"/>
      <c r="I29" s="180"/>
      <c r="J29" s="180"/>
      <c r="K29" s="180"/>
      <c r="L29" s="180"/>
      <c r="M29" s="180"/>
      <c r="N29" s="180"/>
      <c r="O29" s="146"/>
      <c r="P29" s="146"/>
      <c r="Q29" s="146"/>
      <c r="R29" s="146"/>
    </row>
    <row r="30" spans="1:18" x14ac:dyDescent="0.3">
      <c r="A30" s="180"/>
      <c r="B30" s="180"/>
      <c r="C30" s="180"/>
      <c r="D30" s="180"/>
      <c r="E30" s="180"/>
      <c r="F30" s="180"/>
      <c r="G30" s="180"/>
      <c r="H30" s="181">
        <v>46024</v>
      </c>
      <c r="I30" s="180"/>
      <c r="J30" s="180" t="s">
        <v>115</v>
      </c>
      <c r="K30" s="180"/>
      <c r="L30" s="180"/>
      <c r="M30" s="180"/>
      <c r="N30" s="180"/>
      <c r="O30" s="146"/>
      <c r="P30" s="146"/>
      <c r="Q30" s="146"/>
      <c r="R30" s="146"/>
    </row>
    <row r="31" spans="1:18" x14ac:dyDescent="0.3">
      <c r="A31" s="180"/>
      <c r="B31" s="180"/>
      <c r="C31" s="180"/>
      <c r="D31" s="180"/>
      <c r="E31" s="180"/>
      <c r="F31" s="180"/>
      <c r="G31" s="180"/>
      <c r="H31" s="180" t="s">
        <v>119</v>
      </c>
      <c r="I31" s="180"/>
      <c r="J31" s="180" t="s">
        <v>117</v>
      </c>
      <c r="K31" s="180"/>
      <c r="L31" s="180"/>
      <c r="M31" s="180"/>
      <c r="N31" s="180"/>
      <c r="O31" s="146"/>
      <c r="P31" s="146"/>
      <c r="Q31" s="146"/>
      <c r="R31" s="146"/>
    </row>
    <row r="32" spans="1:18" x14ac:dyDescent="0.3">
      <c r="A32" s="180"/>
      <c r="B32" s="180"/>
      <c r="C32" s="180"/>
      <c r="D32" s="180"/>
      <c r="E32" s="180"/>
      <c r="F32" s="180"/>
      <c r="G32" s="180"/>
      <c r="H32" s="180"/>
      <c r="I32" s="180"/>
      <c r="J32" s="180"/>
      <c r="K32" s="180"/>
      <c r="L32" s="180"/>
      <c r="M32" s="180"/>
      <c r="N32" s="180"/>
      <c r="O32" s="146"/>
      <c r="P32" s="146"/>
      <c r="Q32" s="146"/>
      <c r="R32" s="146"/>
    </row>
    <row r="33" spans="1:18" x14ac:dyDescent="0.3">
      <c r="A33" s="180"/>
      <c r="B33" s="180"/>
      <c r="C33" s="180"/>
      <c r="D33" s="180"/>
      <c r="E33" s="180"/>
      <c r="F33" s="180"/>
      <c r="G33" s="180"/>
      <c r="H33" s="180"/>
      <c r="I33" s="180"/>
      <c r="J33" s="180"/>
      <c r="K33" s="180"/>
      <c r="L33" s="180"/>
      <c r="M33" s="180" t="s">
        <v>120</v>
      </c>
      <c r="N33" s="180"/>
      <c r="O33" s="146"/>
      <c r="P33" s="146"/>
      <c r="Q33" s="146"/>
      <c r="R33" s="146"/>
    </row>
    <row r="34" spans="1:18" x14ac:dyDescent="0.3">
      <c r="A34" s="146"/>
      <c r="B34" s="146"/>
      <c r="C34" s="146"/>
      <c r="D34" s="146"/>
      <c r="E34" s="146"/>
      <c r="F34" s="146"/>
      <c r="G34" s="146"/>
      <c r="H34" s="146"/>
      <c r="I34" s="146"/>
      <c r="J34" s="146"/>
      <c r="K34" s="146"/>
      <c r="L34" s="146"/>
      <c r="M34" s="146"/>
      <c r="N34" s="146"/>
      <c r="O34" s="146"/>
      <c r="P34" s="146"/>
      <c r="Q34" s="146"/>
      <c r="R34" s="146"/>
    </row>
  </sheetData>
  <sheetProtection formatCells="0" formatColumns="0" formatRows="0"/>
  <mergeCells count="3">
    <mergeCell ref="C6:C8"/>
    <mergeCell ref="C1:D1"/>
    <mergeCell ref="A2:N2"/>
  </mergeCells>
  <phoneticPr fontId="0" type="noConversion"/>
  <pageMargins left="0.59055118110236227" right="0.39370078740157483" top="0.74803149606299213" bottom="0.35433070866141736" header="0.31496062992125984" footer="0.31496062992125984"/>
  <pageSetup paperSize="9" fitToHeight="0" orientation="landscape" r:id="rId1"/>
  <headerFooter alignWithMargins="0">
    <oddFooter>&amp;CPuslapių &amp;P &amp;R&amp;"Times New Roman,Paryškintasis"E5-5_02         
2022-02-01, EV</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CBA1-822C-4C0F-89AB-CB2C7AD5643F}">
  <dimension ref="A1:V34"/>
  <sheetViews>
    <sheetView zoomScale="70" zoomScaleNormal="70" workbookViewId="0">
      <pane ySplit="5" topLeftCell="A6" activePane="bottomLeft" state="frozen"/>
      <selection pane="bottomLeft" activeCell="A2" sqref="A2:O2"/>
    </sheetView>
  </sheetViews>
  <sheetFormatPr defaultColWidth="9.1796875" defaultRowHeight="14" x14ac:dyDescent="0.3"/>
  <cols>
    <col min="1" max="1" width="13.7265625" style="14" customWidth="1"/>
    <col min="2" max="2" width="25.1796875" style="14" customWidth="1"/>
    <col min="3" max="3" width="7.453125" style="14" customWidth="1"/>
    <col min="4" max="4" width="12.81640625" style="14" customWidth="1"/>
    <col min="5" max="5" width="11.1796875" style="14" customWidth="1"/>
    <col min="6" max="6" width="10.81640625" style="14" customWidth="1"/>
    <col min="7" max="7" width="10.453125" style="14" customWidth="1"/>
    <col min="8" max="8" width="18" style="14" customWidth="1"/>
    <col min="9" max="9" width="11.26953125" style="14" customWidth="1"/>
    <col min="10" max="10" width="10.81640625" style="14" customWidth="1"/>
    <col min="11" max="11" width="11" style="14" customWidth="1"/>
    <col min="12" max="12" width="11.1796875" style="14" customWidth="1"/>
    <col min="13" max="13" width="19.26953125" style="14" customWidth="1"/>
    <col min="14" max="14" width="16.81640625" style="14" customWidth="1"/>
    <col min="15" max="15" width="32.1796875" style="14" customWidth="1"/>
    <col min="16" max="16384" width="9.1796875" style="14"/>
  </cols>
  <sheetData>
    <row r="1" spans="1:22" ht="26.25" customHeight="1" x14ac:dyDescent="0.3">
      <c r="C1" s="196" t="s">
        <v>21</v>
      </c>
      <c r="D1" s="196"/>
      <c r="E1" s="196"/>
      <c r="F1" s="196"/>
    </row>
    <row r="2" spans="1:22" ht="19.5" customHeight="1" x14ac:dyDescent="0.3">
      <c r="A2" s="214" t="s">
        <v>103</v>
      </c>
      <c r="B2" s="214"/>
      <c r="C2" s="214"/>
      <c r="D2" s="214"/>
      <c r="E2" s="214"/>
      <c r="F2" s="214"/>
      <c r="G2" s="214"/>
      <c r="H2" s="214"/>
      <c r="I2" s="214"/>
      <c r="J2" s="214"/>
      <c r="K2" s="214"/>
      <c r="L2" s="214"/>
      <c r="M2" s="214"/>
      <c r="N2" s="214"/>
      <c r="O2" s="214"/>
      <c r="V2" s="16"/>
    </row>
    <row r="4" spans="1:22" ht="60" customHeight="1" x14ac:dyDescent="0.3">
      <c r="A4" s="221" t="s">
        <v>81</v>
      </c>
      <c r="B4" s="221" t="s">
        <v>9</v>
      </c>
      <c r="C4" s="229" t="s">
        <v>82</v>
      </c>
      <c r="D4" s="229" t="s">
        <v>83</v>
      </c>
      <c r="E4" s="229" t="s">
        <v>84</v>
      </c>
      <c r="F4" s="229"/>
      <c r="G4" s="229"/>
      <c r="H4" s="229" t="s">
        <v>15</v>
      </c>
      <c r="I4" s="225" t="s">
        <v>85</v>
      </c>
      <c r="J4" s="220" t="s">
        <v>86</v>
      </c>
      <c r="K4" s="220"/>
      <c r="L4" s="220"/>
      <c r="M4" s="227" t="s">
        <v>122</v>
      </c>
      <c r="N4" s="220" t="s">
        <v>15</v>
      </c>
      <c r="O4" s="223" t="s">
        <v>6</v>
      </c>
    </row>
    <row r="5" spans="1:22" ht="16.5" customHeight="1" thickBot="1" x14ac:dyDescent="0.35">
      <c r="A5" s="222"/>
      <c r="B5" s="222"/>
      <c r="C5" s="230"/>
      <c r="D5" s="229"/>
      <c r="E5" s="120">
        <v>1</v>
      </c>
      <c r="F5" s="120">
        <v>2</v>
      </c>
      <c r="G5" s="120">
        <v>3</v>
      </c>
      <c r="H5" s="229"/>
      <c r="I5" s="226"/>
      <c r="J5" s="12">
        <v>1</v>
      </c>
      <c r="K5" s="12">
        <v>2</v>
      </c>
      <c r="L5" s="12">
        <v>3</v>
      </c>
      <c r="M5" s="228"/>
      <c r="N5" s="220"/>
      <c r="O5" s="224"/>
    </row>
    <row r="6" spans="1:22" ht="15" customHeight="1" x14ac:dyDescent="0.3">
      <c r="A6" s="32" t="s">
        <v>96</v>
      </c>
      <c r="B6" s="218" t="str">
        <f>Paėmimas!C6</f>
        <v>UAB ,,XXX". Taršos šaltinis Nr. 001.</v>
      </c>
      <c r="C6" s="79">
        <v>5</v>
      </c>
      <c r="D6" s="164" t="str">
        <f>Paėmimas!A6</f>
        <v>X</v>
      </c>
      <c r="E6" s="167"/>
      <c r="F6" s="167"/>
      <c r="G6" s="167"/>
      <c r="H6" s="165" t="str">
        <f>Paėmimas!R6</f>
        <v>XXXX</v>
      </c>
      <c r="I6" s="28" t="s">
        <v>100</v>
      </c>
      <c r="J6" s="167"/>
      <c r="K6" s="167"/>
      <c r="L6" s="167"/>
      <c r="M6" s="142">
        <f>L6-G6</f>
        <v>0</v>
      </c>
      <c r="N6" s="141" t="s">
        <v>101</v>
      </c>
      <c r="O6" s="166" t="str">
        <f>Paėmimas!S6</f>
        <v>1 filtras</v>
      </c>
    </row>
    <row r="7" spans="1:22" ht="15" customHeight="1" x14ac:dyDescent="0.3">
      <c r="A7" s="85"/>
      <c r="B7" s="218"/>
      <c r="C7" s="30"/>
      <c r="D7" s="28"/>
      <c r="E7" s="168"/>
      <c r="F7" s="168"/>
      <c r="G7" s="168"/>
      <c r="H7" s="29"/>
      <c r="I7" s="80"/>
      <c r="J7" s="168"/>
      <c r="K7" s="168"/>
      <c r="L7" s="168"/>
      <c r="M7" s="143">
        <f>L7-G7</f>
        <v>0</v>
      </c>
      <c r="N7" s="83"/>
      <c r="O7" s="31"/>
    </row>
    <row r="8" spans="1:22" ht="15" customHeight="1" x14ac:dyDescent="0.3">
      <c r="A8" s="85"/>
      <c r="B8" s="218"/>
      <c r="C8" s="30"/>
      <c r="D8" s="80"/>
      <c r="E8" s="168"/>
      <c r="F8" s="168"/>
      <c r="G8" s="168"/>
      <c r="H8" s="83"/>
      <c r="I8" s="80"/>
      <c r="J8" s="168"/>
      <c r="K8" s="168"/>
      <c r="L8" s="168"/>
      <c r="M8" s="143">
        <f>L8-G8</f>
        <v>0</v>
      </c>
      <c r="N8" s="83"/>
      <c r="O8" s="31"/>
    </row>
    <row r="9" spans="1:22" ht="17" x14ac:dyDescent="0.45">
      <c r="A9" s="85"/>
      <c r="B9" s="218"/>
      <c r="C9" s="30">
        <v>39</v>
      </c>
      <c r="D9" s="80"/>
      <c r="E9" s="168"/>
      <c r="F9" s="168"/>
      <c r="G9" s="168"/>
      <c r="H9" s="83"/>
      <c r="I9" s="80"/>
      <c r="J9" s="168"/>
      <c r="K9" s="168"/>
      <c r="L9" s="168"/>
      <c r="M9" s="143">
        <f>L9-G9</f>
        <v>0</v>
      </c>
      <c r="N9" s="83"/>
      <c r="O9" s="33" t="s">
        <v>88</v>
      </c>
      <c r="P9" s="34"/>
    </row>
    <row r="10" spans="1:22" x14ac:dyDescent="0.3">
      <c r="A10" s="85"/>
      <c r="B10" s="218"/>
      <c r="C10" s="30"/>
      <c r="D10" s="80"/>
      <c r="E10" s="168"/>
      <c r="F10" s="168"/>
      <c r="G10" s="169"/>
      <c r="H10" s="83"/>
      <c r="I10" s="80"/>
      <c r="J10" s="173"/>
      <c r="K10" s="168"/>
      <c r="L10" s="169"/>
      <c r="M10" s="143"/>
      <c r="N10" s="83"/>
      <c r="O10" s="121"/>
    </row>
    <row r="11" spans="1:22" ht="17" x14ac:dyDescent="0.45">
      <c r="A11" s="85"/>
      <c r="B11" s="218"/>
      <c r="C11" s="30">
        <v>40</v>
      </c>
      <c r="D11" s="80"/>
      <c r="E11" s="168"/>
      <c r="F11" s="168"/>
      <c r="G11" s="169"/>
      <c r="H11" s="83"/>
      <c r="I11" s="80"/>
      <c r="J11" s="173"/>
      <c r="K11" s="168"/>
      <c r="L11" s="169"/>
      <c r="M11" s="143">
        <f>L11-G11</f>
        <v>0</v>
      </c>
      <c r="N11" s="83"/>
      <c r="O11" s="82" t="s">
        <v>89</v>
      </c>
    </row>
    <row r="12" spans="1:22" ht="30.75" customHeight="1" x14ac:dyDescent="0.45">
      <c r="A12" s="85"/>
      <c r="B12" s="218"/>
      <c r="C12" s="114" t="s">
        <v>43</v>
      </c>
      <c r="D12" s="80"/>
      <c r="E12" s="170"/>
      <c r="F12" s="170"/>
      <c r="G12" s="171"/>
      <c r="H12" s="83"/>
      <c r="I12" s="80"/>
      <c r="J12" s="174"/>
      <c r="K12" s="170"/>
      <c r="L12" s="171"/>
      <c r="M12" s="143">
        <f t="shared" ref="M12:M15" si="0">L12-G12</f>
        <v>0</v>
      </c>
      <c r="N12" s="83"/>
      <c r="O12" s="122" t="s">
        <v>90</v>
      </c>
    </row>
    <row r="13" spans="1:22" ht="17" x14ac:dyDescent="0.45">
      <c r="A13" s="85"/>
      <c r="B13" s="218"/>
      <c r="C13" s="115" t="s">
        <v>44</v>
      </c>
      <c r="D13" s="80"/>
      <c r="E13" s="168"/>
      <c r="F13" s="168"/>
      <c r="G13" s="168"/>
      <c r="H13" s="83"/>
      <c r="I13" s="80"/>
      <c r="J13" s="168"/>
      <c r="K13" s="168"/>
      <c r="L13" s="168"/>
      <c r="M13" s="143">
        <f t="shared" si="0"/>
        <v>0</v>
      </c>
      <c r="N13" s="83"/>
      <c r="O13" s="123" t="s">
        <v>91</v>
      </c>
    </row>
    <row r="14" spans="1:22" ht="17" x14ac:dyDescent="0.45">
      <c r="A14" s="85"/>
      <c r="B14" s="218"/>
      <c r="C14" s="115" t="s">
        <v>45</v>
      </c>
      <c r="D14" s="80"/>
      <c r="E14" s="168"/>
      <c r="F14" s="168"/>
      <c r="G14" s="168"/>
      <c r="H14" s="83"/>
      <c r="I14" s="80"/>
      <c r="J14" s="168"/>
      <c r="K14" s="168"/>
      <c r="L14" s="168"/>
      <c r="M14" s="143">
        <f t="shared" si="0"/>
        <v>0</v>
      </c>
      <c r="N14" s="83"/>
      <c r="O14" s="124" t="s">
        <v>92</v>
      </c>
    </row>
    <row r="15" spans="1:22" ht="17" x14ac:dyDescent="0.45">
      <c r="A15" s="85"/>
      <c r="B15" s="218"/>
      <c r="C15" s="116" t="s">
        <v>46</v>
      </c>
      <c r="D15" s="80"/>
      <c r="E15" s="167"/>
      <c r="F15" s="167"/>
      <c r="G15" s="172"/>
      <c r="H15" s="83"/>
      <c r="I15" s="80"/>
      <c r="J15" s="175"/>
      <c r="K15" s="167"/>
      <c r="L15" s="172"/>
      <c r="M15" s="143">
        <f t="shared" si="0"/>
        <v>0</v>
      </c>
      <c r="N15" s="83"/>
      <c r="O15" s="124" t="s">
        <v>93</v>
      </c>
    </row>
    <row r="16" spans="1:22" ht="31.5" customHeight="1" x14ac:dyDescent="0.45">
      <c r="A16" s="86"/>
      <c r="B16" s="219"/>
      <c r="C16" s="30"/>
      <c r="D16" s="81"/>
      <c r="E16" s="19"/>
      <c r="F16" s="19"/>
      <c r="G16" s="30"/>
      <c r="H16" s="84"/>
      <c r="I16" s="81"/>
      <c r="J16" s="105"/>
      <c r="K16" s="103"/>
      <c r="L16" s="104"/>
      <c r="M16" s="143">
        <f>AVERAGE(M13:M15)+M12</f>
        <v>0</v>
      </c>
      <c r="N16" s="84"/>
      <c r="O16" s="125" t="s">
        <v>94</v>
      </c>
    </row>
    <row r="20" spans="1:14" x14ac:dyDescent="0.3">
      <c r="A20" s="182" t="s">
        <v>107</v>
      </c>
      <c r="B20" s="182"/>
      <c r="C20" s="182"/>
      <c r="D20" s="182"/>
      <c r="E20" s="182"/>
      <c r="F20" s="182"/>
      <c r="G20" s="182"/>
      <c r="H20" s="182"/>
      <c r="I20" s="182"/>
      <c r="J20" s="182"/>
      <c r="K20" s="182"/>
      <c r="L20" s="182"/>
      <c r="M20" s="182"/>
      <c r="N20" s="182"/>
    </row>
    <row r="21" spans="1:14" x14ac:dyDescent="0.3">
      <c r="A21" s="182" t="s">
        <v>108</v>
      </c>
      <c r="B21" s="182"/>
      <c r="C21" s="182"/>
      <c r="D21" s="182"/>
      <c r="E21" s="182"/>
      <c r="F21" s="182"/>
      <c r="G21" s="182"/>
      <c r="H21" s="182"/>
      <c r="I21" s="182"/>
      <c r="J21" s="182"/>
      <c r="K21" s="182"/>
      <c r="L21" s="182"/>
      <c r="M21" s="182"/>
      <c r="N21" s="182"/>
    </row>
    <row r="22" spans="1:14" x14ac:dyDescent="0.3">
      <c r="A22" s="182" t="s">
        <v>109</v>
      </c>
      <c r="B22" s="182"/>
      <c r="C22" s="182"/>
      <c r="D22" s="182"/>
      <c r="E22" s="182"/>
      <c r="F22" s="182"/>
      <c r="G22" s="182"/>
      <c r="H22" s="182"/>
      <c r="I22" s="182"/>
      <c r="J22" s="182"/>
      <c r="K22" s="182"/>
      <c r="L22" s="182"/>
      <c r="M22" s="182"/>
      <c r="N22" s="182"/>
    </row>
    <row r="23" spans="1:14" x14ac:dyDescent="0.3">
      <c r="A23" s="182" t="s">
        <v>110</v>
      </c>
      <c r="B23" s="182"/>
      <c r="C23" s="182"/>
      <c r="D23" s="182"/>
      <c r="E23" s="182"/>
      <c r="F23" s="182"/>
      <c r="G23" s="182"/>
      <c r="H23" s="182"/>
      <c r="I23" s="182"/>
      <c r="J23" s="182"/>
      <c r="K23" s="182"/>
      <c r="L23" s="182"/>
      <c r="M23" s="182"/>
      <c r="N23" s="182"/>
    </row>
    <row r="24" spans="1:14" x14ac:dyDescent="0.3">
      <c r="A24" s="182" t="s">
        <v>111</v>
      </c>
      <c r="B24" s="182"/>
      <c r="C24" s="182"/>
      <c r="D24" s="182"/>
      <c r="E24" s="182"/>
      <c r="F24" s="182"/>
      <c r="G24" s="182"/>
      <c r="H24" s="182"/>
      <c r="I24" s="182"/>
      <c r="J24" s="182"/>
      <c r="K24" s="182"/>
      <c r="L24" s="182"/>
      <c r="M24" s="182"/>
      <c r="N24" s="182"/>
    </row>
    <row r="25" spans="1:14" x14ac:dyDescent="0.3">
      <c r="A25" s="182" t="s">
        <v>112</v>
      </c>
      <c r="B25" s="182"/>
      <c r="C25" s="182"/>
      <c r="D25" s="182"/>
      <c r="E25" s="182"/>
      <c r="F25" s="182"/>
      <c r="G25" s="182"/>
      <c r="H25" s="182"/>
      <c r="I25" s="182"/>
      <c r="J25" s="182"/>
      <c r="K25" s="182"/>
      <c r="L25" s="182"/>
      <c r="M25" s="182"/>
      <c r="N25" s="182"/>
    </row>
    <row r="26" spans="1:14" x14ac:dyDescent="0.3">
      <c r="A26" s="182" t="s">
        <v>113</v>
      </c>
      <c r="B26" s="182"/>
      <c r="C26" s="182"/>
      <c r="D26" s="182"/>
      <c r="E26" s="182"/>
      <c r="F26" s="182"/>
      <c r="G26" s="182"/>
      <c r="H26" s="182"/>
      <c r="I26" s="182"/>
      <c r="J26" s="182"/>
      <c r="K26" s="182"/>
      <c r="L26" s="182"/>
      <c r="M26" s="182"/>
      <c r="N26" s="182"/>
    </row>
    <row r="27" spans="1:14" x14ac:dyDescent="0.3">
      <c r="A27" s="182"/>
      <c r="B27" s="182"/>
      <c r="C27" s="182"/>
      <c r="D27" s="182"/>
      <c r="E27" s="182"/>
      <c r="F27" s="182"/>
      <c r="G27" s="182"/>
      <c r="H27" s="182"/>
      <c r="I27" s="182"/>
      <c r="J27" s="182"/>
      <c r="K27" s="182"/>
      <c r="L27" s="182"/>
      <c r="M27" s="182"/>
      <c r="N27" s="182"/>
    </row>
    <row r="28" spans="1:14" x14ac:dyDescent="0.3">
      <c r="A28" s="182" t="s">
        <v>114</v>
      </c>
      <c r="B28" s="182"/>
      <c r="C28" s="182"/>
      <c r="D28" s="182"/>
      <c r="E28" s="182"/>
      <c r="F28" s="183">
        <v>46024</v>
      </c>
      <c r="G28" s="182"/>
      <c r="H28" s="37" t="s">
        <v>121</v>
      </c>
      <c r="I28" s="182"/>
      <c r="J28" s="182"/>
      <c r="K28" s="182"/>
      <c r="L28" s="182"/>
      <c r="M28" s="182"/>
      <c r="N28" s="182"/>
    </row>
    <row r="29" spans="1:14" x14ac:dyDescent="0.3">
      <c r="A29" s="182"/>
      <c r="B29" s="182"/>
      <c r="C29" s="182"/>
      <c r="D29" s="182"/>
      <c r="E29" s="182"/>
      <c r="F29" s="182" t="s">
        <v>116</v>
      </c>
      <c r="G29" s="182"/>
      <c r="H29" s="182" t="s">
        <v>117</v>
      </c>
      <c r="I29" s="182"/>
      <c r="J29" s="182"/>
      <c r="K29" s="182"/>
      <c r="L29" s="182"/>
      <c r="M29" s="182"/>
      <c r="N29" s="182"/>
    </row>
    <row r="30" spans="1:14" x14ac:dyDescent="0.3">
      <c r="A30" s="182" t="s">
        <v>118</v>
      </c>
      <c r="B30" s="182"/>
      <c r="C30" s="182"/>
      <c r="D30" s="182"/>
      <c r="E30" s="182"/>
      <c r="F30" s="182"/>
      <c r="G30" s="182"/>
      <c r="H30" s="182"/>
      <c r="I30" s="182"/>
      <c r="J30" s="182"/>
      <c r="K30" s="182"/>
      <c r="L30" s="182"/>
      <c r="M30" s="182"/>
      <c r="N30" s="182"/>
    </row>
    <row r="31" spans="1:14" x14ac:dyDescent="0.3">
      <c r="A31" s="182"/>
      <c r="B31" s="182"/>
      <c r="C31" s="182"/>
      <c r="D31" s="182"/>
      <c r="E31" s="182"/>
      <c r="F31" s="182"/>
      <c r="G31" s="182"/>
      <c r="H31" s="183">
        <v>46024</v>
      </c>
      <c r="I31" s="182"/>
      <c r="J31" s="182" t="s">
        <v>115</v>
      </c>
      <c r="K31" s="182"/>
      <c r="L31" s="182"/>
      <c r="M31" s="182"/>
      <c r="N31" s="182"/>
    </row>
    <row r="32" spans="1:14" x14ac:dyDescent="0.3">
      <c r="A32" s="182"/>
      <c r="B32" s="182"/>
      <c r="C32" s="182"/>
      <c r="D32" s="182"/>
      <c r="E32" s="182"/>
      <c r="F32" s="182"/>
      <c r="G32" s="182"/>
      <c r="H32" s="182" t="s">
        <v>119</v>
      </c>
      <c r="I32" s="182"/>
      <c r="J32" s="182" t="s">
        <v>117</v>
      </c>
      <c r="K32" s="182"/>
      <c r="L32" s="182"/>
      <c r="M32" s="182"/>
      <c r="N32" s="182"/>
    </row>
    <row r="33" spans="1:14" x14ac:dyDescent="0.3">
      <c r="A33" s="182"/>
      <c r="B33" s="182"/>
      <c r="C33" s="182"/>
      <c r="D33" s="182"/>
      <c r="E33" s="182"/>
      <c r="F33" s="182"/>
      <c r="G33" s="182"/>
      <c r="H33" s="182"/>
      <c r="I33" s="182"/>
      <c r="J33" s="182"/>
      <c r="K33" s="182"/>
      <c r="L33" s="182"/>
      <c r="M33" s="182"/>
      <c r="N33" s="182"/>
    </row>
    <row r="34" spans="1:14" x14ac:dyDescent="0.3">
      <c r="A34" s="182"/>
      <c r="B34" s="182"/>
      <c r="C34" s="182"/>
      <c r="D34" s="182"/>
      <c r="E34" s="182"/>
      <c r="F34" s="182"/>
      <c r="G34" s="182"/>
      <c r="H34" s="182"/>
      <c r="I34" s="182"/>
      <c r="J34" s="182"/>
      <c r="K34" s="182"/>
      <c r="L34" s="182"/>
      <c r="M34" s="182" t="s">
        <v>120</v>
      </c>
      <c r="N34" s="182"/>
    </row>
  </sheetData>
  <sheetProtection algorithmName="SHA-512" hashValue="PFaLAVoKQHFaJHqybCKJwKWqO+3zHoQyTLz3vowb8yv75qGDOb1vneGiMbBd3k9uPbnnBehw3NVjR0mUBPQ37w==" saltValue="PI5evQhTEGJjIECpIEn24A==" spinCount="100000" sheet="1" formatCells="0" formatColumns="0" formatRows="0"/>
  <autoFilter ref="C4:O6" xr:uid="{0AF1360B-BFDA-4695-966E-202C6D97088E}">
    <sortState xmlns:xlrd2="http://schemas.microsoft.com/office/spreadsheetml/2017/richdata2" ref="C7:T14">
      <sortCondition ref="H4:H6"/>
    </sortState>
  </autoFilter>
  <mergeCells count="14">
    <mergeCell ref="B6:B16"/>
    <mergeCell ref="C1:F1"/>
    <mergeCell ref="A2:O2"/>
    <mergeCell ref="N4:N5"/>
    <mergeCell ref="A4:A5"/>
    <mergeCell ref="B4:B5"/>
    <mergeCell ref="O4:O5"/>
    <mergeCell ref="I4:I5"/>
    <mergeCell ref="M4:M5"/>
    <mergeCell ref="J4:L4"/>
    <mergeCell ref="C4:C5"/>
    <mergeCell ref="D4:D5"/>
    <mergeCell ref="E4:G4"/>
    <mergeCell ref="H4:H5"/>
  </mergeCells>
  <phoneticPr fontId="6" type="noConversion"/>
  <pageMargins left="0.70866141732283472" right="0.70866141732283472" top="0.74803149606299213" bottom="0.74803149606299213" header="0.31496062992125984" footer="0.31496062992125984"/>
  <pageSetup paperSize="9" scale="89" orientation="landscape" r:id="rId1"/>
  <headerFooter>
    <oddHeader>&amp;L     
   FSVP5/3-76-5
AAA Aplinkos tyrimų departamentas</oddHeader>
    <oddFooter>&amp;CPuslapių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92B52-453B-4D8F-8C5F-02EFD17C1554}">
  <dimension ref="A3:D10"/>
  <sheetViews>
    <sheetView tabSelected="1" workbookViewId="0">
      <selection activeCell="A11" sqref="A11"/>
    </sheetView>
  </sheetViews>
  <sheetFormatPr defaultColWidth="9.1796875" defaultRowHeight="15.5" x14ac:dyDescent="0.25"/>
  <cols>
    <col min="1" max="1" width="14.7265625" style="106" customWidth="1"/>
    <col min="2" max="2" width="15.26953125" style="106" customWidth="1"/>
    <col min="3" max="3" width="13.453125" style="106" customWidth="1"/>
    <col min="4" max="4" width="21.26953125" style="106" customWidth="1"/>
    <col min="5" max="16384" width="9.1796875" style="106"/>
  </cols>
  <sheetData>
    <row r="3" spans="1:4" ht="30.75" customHeight="1" x14ac:dyDescent="0.25">
      <c r="A3" s="231" t="s">
        <v>39</v>
      </c>
      <c r="B3" s="231"/>
      <c r="C3" s="231"/>
      <c r="D3" s="231"/>
    </row>
    <row r="5" spans="1:4" ht="64.5" customHeight="1" x14ac:dyDescent="0.25">
      <c r="A5" s="107" t="s">
        <v>47</v>
      </c>
      <c r="B5" s="108" t="s">
        <v>40</v>
      </c>
      <c r="C5" s="108" t="s">
        <v>41</v>
      </c>
      <c r="D5" s="108" t="s">
        <v>42</v>
      </c>
    </row>
    <row r="6" spans="1:4" ht="21.75" customHeight="1" x14ac:dyDescent="0.25">
      <c r="A6" s="109">
        <f>(B6*C6*D6)/1000000</f>
        <v>1.944</v>
      </c>
      <c r="B6" s="110">
        <v>30</v>
      </c>
      <c r="C6" s="111">
        <v>5400</v>
      </c>
      <c r="D6" s="112">
        <v>12</v>
      </c>
    </row>
    <row r="10" spans="1:4" x14ac:dyDescent="0.25">
      <c r="C10" s="113"/>
    </row>
  </sheetData>
  <sheetProtection algorithmName="SHA-512" hashValue="phiqtJjRVBinzWCgyvtkTjhJBDxlZGc6OEUs8Bxd9yLLXvZLxM3elVql3w+hluUZoZ2dwlL1wmfqV91wzpiQJA==" saltValue="fTkec2Y6f6b2y/t317qsBw==" spinCount="100000" sheet="1" objects="1" scenarios="1" formatCells="0" formatColumns="0" formatRows="0"/>
  <mergeCells count="1">
    <mergeCell ref="A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53e7e53-5eb2-45cf-b2ab-34c867e554b8">
      <Terms xmlns="http://schemas.microsoft.com/office/infopath/2007/PartnerControls"/>
    </lcf76f155ced4ddcb4097134ff3c332f>
    <TaxCatchAll xmlns="aa0d983d-359a-438c-9953-3af1a8ac083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kumentas" ma:contentTypeID="0x010100BAB57CF81AE55C4698AAD22D302297F0" ma:contentTypeVersion="18" ma:contentTypeDescription="Kurkite naują dokumentą." ma:contentTypeScope="" ma:versionID="49ab401eb4052690d2a2629974c22fd6">
  <xsd:schema xmlns:xsd="http://www.w3.org/2001/XMLSchema" xmlns:xs="http://www.w3.org/2001/XMLSchema" xmlns:p="http://schemas.microsoft.com/office/2006/metadata/properties" xmlns:ns2="453e7e53-5eb2-45cf-b2ab-34c867e554b8" xmlns:ns3="aa0d983d-359a-438c-9953-3af1a8ac0831" targetNamespace="http://schemas.microsoft.com/office/2006/metadata/properties" ma:root="true" ma:fieldsID="ab9969d50e0b13c63bc5bd0499c928dc" ns2:_="" ns3:_="">
    <xsd:import namespace="453e7e53-5eb2-45cf-b2ab-34c867e554b8"/>
    <xsd:import namespace="aa0d983d-359a-438c-9953-3af1a8ac0831"/>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3:SharedWithUsers" minOccurs="0"/>
                <xsd:element ref="ns3:SharedWithDetails"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3e7e53-5eb2-45cf-b2ab-34c867e554b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Vaizdų žymės" ma:readOnly="false" ma:fieldId="{5cf76f15-5ced-4ddc-b409-7134ff3c332f}" ma:taxonomyMulti="true" ma:sspId="993cf2ba-b7a7-49f7-97d1-76e12a88c412" ma:termSetId="09814cd3-568e-fe90-9814-8d621ff8fb84" ma:anchorId="fba54fb3-c3e1-fe81-a776-ca4b69148c4d" ma:open="true" ma:isKeyword="false">
      <xsd:complexType>
        <xsd:sequence>
          <xsd:element ref="pc:Terms" minOccurs="0" maxOccurs="1"/>
        </xsd:sequence>
      </xsd:complexType>
    </xsd:element>
    <xsd:element name="MediaServiceLocation" ma:index="20"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a0d983d-359a-438c-9953-3af1a8ac0831"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82c4fa3c-500e-4213-91e5-1b9e2014ea63}" ma:internalName="TaxCatchAll" ma:showField="CatchAllData" ma:web="aa0d983d-359a-438c-9953-3af1a8ac0831">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Bendrinama su"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Bendrinta su išsamia informacija"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urinio tipas"/>
        <xsd:element ref="dc:title" minOccurs="0" maxOccurs="1" ma:index="4" ma:displayName="Antraštė"/>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05DD0A7-BC00-4D8E-8AD3-26E2A9FDEA54}">
  <ds:schemaRefs>
    <ds:schemaRef ds:uri="http://schemas.microsoft.com/sharepoint/v3/contenttype/forms"/>
  </ds:schemaRefs>
</ds:datastoreItem>
</file>

<file path=customXml/itemProps2.xml><?xml version="1.0" encoding="utf-8"?>
<ds:datastoreItem xmlns:ds="http://schemas.openxmlformats.org/officeDocument/2006/customXml" ds:itemID="{709F4DDD-DF1A-450D-8BF1-976CA47CFD58}">
  <ds:schemaRefs>
    <ds:schemaRef ds:uri="http://schemas.microsoft.com/office/2006/metadata/properties"/>
    <ds:schemaRef ds:uri="http://schemas.microsoft.com/office/infopath/2007/PartnerControls"/>
    <ds:schemaRef ds:uri="453e7e53-5eb2-45cf-b2ab-34c867e554b8"/>
    <ds:schemaRef ds:uri="aa0d983d-359a-438c-9953-3af1a8ac0831"/>
  </ds:schemaRefs>
</ds:datastoreItem>
</file>

<file path=customXml/itemProps3.xml><?xml version="1.0" encoding="utf-8"?>
<ds:datastoreItem xmlns:ds="http://schemas.openxmlformats.org/officeDocument/2006/customXml" ds:itemID="{58161107-3028-416E-B6BD-4D514713B3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3e7e53-5eb2-45cf-b2ab-34c867e554b8"/>
    <ds:schemaRef ds:uri="aa0d983d-359a-438c-9953-3af1a8ac08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Darbalapiai</vt:lpstr>
      </vt:variant>
      <vt:variant>
        <vt:i4>7</vt:i4>
      </vt:variant>
      <vt:variant>
        <vt:lpstr>Įvardytieji diapazonai</vt:lpstr>
      </vt:variant>
      <vt:variant>
        <vt:i4>8</vt:i4>
      </vt:variant>
    </vt:vector>
  </HeadingPairs>
  <TitlesOfParts>
    <vt:vector size="15" baseType="lpstr">
      <vt:lpstr>Compatibility Report</vt:lpstr>
      <vt:lpstr>H2O</vt:lpstr>
      <vt:lpstr>Paėmimas</vt:lpstr>
      <vt:lpstr>Aerodinamika </vt:lpstr>
      <vt:lpstr>Koncentracija </vt:lpstr>
      <vt:lpstr>Svėrimas</vt:lpstr>
      <vt:lpstr>Koncentracijos ribinės vertės</vt:lpstr>
      <vt:lpstr>'Aerodinamika '!Print_Area</vt:lpstr>
      <vt:lpstr>'Koncentracija '!Print_Area</vt:lpstr>
      <vt:lpstr>Paėmimas!Print_Area</vt:lpstr>
      <vt:lpstr>Svėrimas!Print_Area</vt:lpstr>
      <vt:lpstr>'Aerodinamika '!Print_Titles</vt:lpstr>
      <vt:lpstr>'Koncentracija '!Print_Titles</vt:lpstr>
      <vt:lpstr>Paėmimas!Print_Titles</vt:lpstr>
      <vt:lpstr>Svėrimas!Print_Titles</vt:lpstr>
    </vt:vector>
  </TitlesOfParts>
  <Company>VAKS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Tomas Vilkickas</cp:lastModifiedBy>
  <cp:lastPrinted>2025-03-10T12:38:23Z</cp:lastPrinted>
  <dcterms:created xsi:type="dcterms:W3CDTF">2010-09-30T07:40:58Z</dcterms:created>
  <dcterms:modified xsi:type="dcterms:W3CDTF">2026-03-10T07:40:39Z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tatusas">
    <vt:lpwstr/>
  </property>
  <property fmtid="{D5CDD505-2E9C-101B-9397-08002B2CF9AE}" pid="3" name="Statusas_2">
    <vt:lpwstr/>
  </property>
  <property fmtid="{D5CDD505-2E9C-101B-9397-08002B2CF9AE}" pid="4" name="lcf76f155ced4ddcb4097134ff3c332f">
    <vt:lpwstr/>
  </property>
  <property fmtid="{D5CDD505-2E9C-101B-9397-08002B2CF9AE}" pid="5" name="TaxCatchAll">
    <vt:lpwstr/>
  </property>
  <property fmtid="{D5CDD505-2E9C-101B-9397-08002B2CF9AE}" pid="6" name="MediaServiceImageTags">
    <vt:lpwstr/>
  </property>
  <property fmtid="{D5CDD505-2E9C-101B-9397-08002B2CF9AE}" pid="7" name="ContentTypeId">
    <vt:lpwstr>0x010100BAB57CF81AE55C4698AAD22D302297F0</vt:lpwstr>
  </property>
</Properties>
</file>