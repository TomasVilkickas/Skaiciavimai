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 documentId="8_{9216244B-CFBA-4143-A519-E463F52612D0}" xr6:coauthVersionLast="47" xr6:coauthVersionMax="47" xr10:uidLastSave="{5FAF6DEC-8B22-4391-B617-3B0A43BAF9E3}"/>
  <workbookProtection workbookAlgorithmName="SHA-512" workbookHashValue="Kk54ag9ImqTncQsqV7PcaNGRro/3kYoEKFl8q6vcBRTn3/Xg+oN1UCiXWk/LuUg3F3fng86CvkRAeYb6QmrkaA==" workbookSaltValue="ZcTpRu/F72OWXHaAa/zcKg==" workbookSpinCount="100000" lockStructure="1"/>
  <bookViews>
    <workbookView xWindow="-110" yWindow="-110" windowWidth="19420" windowHeight="10300" tabRatio="821" firstSheet="1" activeTab="2" xr2:uid="{B097D0E3-85A4-46F7-964F-ABE00A6941B9}"/>
  </bookViews>
  <sheets>
    <sheet name="Compatibility Report" sheetId="4" state="hidden" r:id="rId1"/>
    <sheet name="H2O" sheetId="20" r:id="rId2"/>
    <sheet name="Paėmimas" sheetId="11" r:id="rId3"/>
    <sheet name="Aerodinamika " sheetId="1" r:id="rId4"/>
    <sheet name="Koncentracija " sheetId="2" r:id="rId5"/>
    <sheet name="Svėrimas" sheetId="12" r:id="rId6"/>
    <sheet name="Koncentracijos ribinės vertės" sheetId="22" r:id="rId7"/>
  </sheets>
  <definedNames>
    <definedName name="_xlnm._FilterDatabase" localSheetId="5" hidden="1">Svėrimas!$C$4:$O$6</definedName>
    <definedName name="_xlnm.Print_Area" localSheetId="3">'Aerodinamika '!$C$1:$M$5</definedName>
    <definedName name="_xlnm.Print_Area" localSheetId="4">'Koncentracija '!$C$1:$N$5</definedName>
    <definedName name="_xlnm.Print_Area" localSheetId="2">Paėmimas!$A$1:$S$5</definedName>
    <definedName name="_xlnm.Print_Area" localSheetId="5">Svėrimas!$C$1:$O$11</definedName>
    <definedName name="_xlnm.Print_Titles" localSheetId="3">'Aerodinamika '!$1:$5</definedName>
    <definedName name="_xlnm.Print_Titles" localSheetId="4">'Koncentracija '!$2:$5</definedName>
    <definedName name="_xlnm.Print_Titles" localSheetId="2">Paėmimas!$1:$5</definedName>
    <definedName name="_xlnm.Print_Titles" localSheetId="5">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1" l="1"/>
  <c r="M15" i="11" l="1"/>
  <c r="A6" i="22"/>
  <c r="M15" i="12" l="1"/>
  <c r="M14" i="12"/>
  <c r="M13" i="12"/>
  <c r="M12" i="12"/>
  <c r="M16" i="12" l="1"/>
  <c r="I6" i="2" s="1"/>
  <c r="V9" i="11"/>
  <c r="T9" i="11"/>
  <c r="U9" i="11"/>
  <c r="A6" i="1"/>
  <c r="Q14" i="11" l="1"/>
  <c r="G14" i="1" s="1"/>
  <c r="Q8" i="11"/>
  <c r="Q13" i="11"/>
  <c r="G13" i="1" s="1"/>
  <c r="Q7" i="11"/>
  <c r="Q9" i="11"/>
  <c r="Q12" i="11"/>
  <c r="Q11" i="11"/>
  <c r="Q10" i="11"/>
  <c r="Q6" i="11"/>
  <c r="P10" i="11"/>
  <c r="P14" i="11"/>
  <c r="P11" i="11"/>
  <c r="P9" i="11"/>
  <c r="P8" i="11"/>
  <c r="P13" i="11"/>
  <c r="P7" i="11"/>
  <c r="P12" i="11"/>
  <c r="P6" i="11"/>
  <c r="F13" i="11"/>
  <c r="F7" i="11"/>
  <c r="F11" i="11"/>
  <c r="F12" i="11"/>
  <c r="F6" i="11"/>
  <c r="F9" i="11"/>
  <c r="F14" i="11"/>
  <c r="F8" i="11"/>
  <c r="F10" i="11"/>
  <c r="L14" i="11"/>
  <c r="D14" i="1" s="1"/>
  <c r="E14" i="1" s="1"/>
  <c r="L13" i="11"/>
  <c r="D13" i="1" s="1"/>
  <c r="E13" i="1" s="1"/>
  <c r="G9" i="1" l="1"/>
  <c r="G10" i="1"/>
  <c r="G11" i="1"/>
  <c r="G12" i="1"/>
  <c r="O6" i="12" l="1"/>
  <c r="P6" i="2"/>
  <c r="N6" i="1"/>
  <c r="L9" i="11" l="1"/>
  <c r="D9" i="1" s="1"/>
  <c r="E9" i="1" s="1"/>
  <c r="L10" i="11"/>
  <c r="D10" i="1" s="1"/>
  <c r="E10" i="1" s="1"/>
  <c r="L11" i="11"/>
  <c r="D11" i="1" s="1"/>
  <c r="E11" i="1" s="1"/>
  <c r="L12" i="11"/>
  <c r="D12" i="1" s="1"/>
  <c r="E12" i="1" s="1"/>
  <c r="G7" i="1" l="1"/>
  <c r="G8" i="1"/>
  <c r="G6" i="1" l="1"/>
  <c r="G15" i="1" s="1"/>
  <c r="B6" i="1"/>
  <c r="C6" i="1"/>
  <c r="B6" i="12"/>
  <c r="H6" i="12"/>
  <c r="D6" i="12"/>
  <c r="G7" i="20" l="1"/>
  <c r="H7" i="20" s="1"/>
  <c r="K7" i="20" s="1"/>
  <c r="B6" i="2"/>
  <c r="N6" i="2"/>
  <c r="C6" i="2"/>
  <c r="M9" i="12"/>
  <c r="M6" i="1"/>
  <c r="A6" i="2"/>
  <c r="M11" i="12"/>
  <c r="H6" i="2" s="1"/>
  <c r="M8" i="12"/>
  <c r="M7" i="12"/>
  <c r="M6" i="12"/>
  <c r="F6" i="2"/>
  <c r="E6" i="2"/>
  <c r="D6" i="2"/>
  <c r="L7" i="11"/>
  <c r="D7" i="1" s="1"/>
  <c r="E7" i="1" s="1"/>
  <c r="L8" i="11"/>
  <c r="D8" i="1" s="1"/>
  <c r="E8" i="1" s="1"/>
  <c r="H14" i="1" l="1"/>
  <c r="H13" i="1"/>
  <c r="H12" i="1"/>
  <c r="H11" i="1"/>
  <c r="H10" i="1"/>
  <c r="H9" i="1"/>
  <c r="H8" i="1"/>
  <c r="H7" i="1"/>
  <c r="H6" i="1"/>
  <c r="G6" i="2"/>
  <c r="L15" i="11"/>
  <c r="L6" i="2" s="1"/>
  <c r="D6" i="1"/>
  <c r="M6" i="2" l="1"/>
  <c r="E6" i="1"/>
  <c r="F6" i="1" l="1"/>
  <c r="J6" i="2" s="1"/>
  <c r="K6" i="2" s="1"/>
  <c r="I10" i="1" l="1"/>
  <c r="J10" i="1" s="1"/>
  <c r="K10" i="1" s="1"/>
  <c r="I9" i="1"/>
  <c r="J9" i="1" s="1"/>
  <c r="K9" i="1" s="1"/>
  <c r="I14" i="1"/>
  <c r="J14" i="1" s="1"/>
  <c r="K14" i="1" s="1"/>
  <c r="I8" i="1"/>
  <c r="J8" i="1" s="1"/>
  <c r="K8" i="1" s="1"/>
  <c r="I13" i="1"/>
  <c r="J13" i="1" s="1"/>
  <c r="K13" i="1" s="1"/>
  <c r="I7" i="1"/>
  <c r="J7" i="1" s="1"/>
  <c r="K7" i="1" s="1"/>
  <c r="I12" i="1"/>
  <c r="J12" i="1" s="1"/>
  <c r="K12" i="1" s="1"/>
  <c r="I11" i="1"/>
  <c r="J11" i="1" s="1"/>
  <c r="K11" i="1" s="1"/>
  <c r="I6" i="1" l="1"/>
  <c r="J6" i="1" s="1"/>
  <c r="K6" i="1" s="1"/>
  <c r="L6" i="1" s="1"/>
</calcChain>
</file>

<file path=xl/sharedStrings.xml><?xml version="1.0" encoding="utf-8"?>
<sst xmlns="http://schemas.openxmlformats.org/spreadsheetml/2006/main" count="202" uniqueCount="127">
  <si>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</si>
  <si>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</si>
  <si>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</si>
  <si>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</si>
  <si>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</si>
  <si>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</si>
  <si>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</si>
  <si>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</si>
  <si>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</si>
  <si>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</si>
  <si>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</si>
  <si>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</si>
  <si>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</si>
  <si>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</si>
  <si>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</si>
  <si>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</si>
  <si>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</si>
  <si>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</si>
  <si>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</si>
  <si>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</si>
  <si>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</si>
  <si>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</si>
  <si>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</si>
  <si>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</si>
  <si>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</si>
  <si>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</si>
  <si>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</si>
  <si>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</si>
  <si>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</si>
  <si>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1 filtras</t>
  </si>
  <si>
    <t>Pratraukto dujų tūrio suma H2O, Nm3. Įrašyti į "Dujų tūris pagal ISO" W stulpelį</t>
  </si>
  <si>
    <t>Išmatuotas vandens kiekis 10ltr*10 min.  Įrašyti iš "Dujų tūris pagal ISO" T stulpelio</t>
  </si>
  <si>
    <t>UAB ,,XXX". Taršos šaltinis Nr. 001.</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</si>
  <si>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</si>
  <si>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</si>
  <si>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</si>
  <si>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</si>
  <si>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</si>
  <si>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</si>
  <si>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</si>
  <si>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</si>
  <si>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</si>
  <si>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</si>
  <si>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</si>
  <si>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</si>
  <si>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</si>
  <si>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</si>
  <si>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r>
      <t>Planuojama surinkti dulkių masė m, g (</t>
    </r>
    <r>
      <rPr>
        <sz val="12"/>
        <color rgb="FFFF0000"/>
        <rFont val="Times New Roman"/>
        <family val="1"/>
        <charset val="186"/>
      </rPr>
      <t>&lt;2,20 g</t>
    </r>
    <r>
      <rPr>
        <sz val="12"/>
        <rFont val="Times New Roman"/>
        <family val="1"/>
        <charset val="186"/>
      </rPr>
      <t>)</t>
    </r>
  </si>
  <si>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</si>
  <si>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</si>
  <si>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</si>
  <si>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</si>
  <si>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</si>
  <si>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</si>
  <si>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</si>
  <si>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</si>
  <si>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</si>
  <si>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</si>
  <si>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</si>
  <si>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</si>
  <si>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</si>
  <si>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</si>
  <si>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</si>
  <si>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</si>
  <si>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</si>
  <si>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Suma Vm (m3)</t>
  </si>
  <si>
    <t>Ėminių  registracijos Nr. T-107-2026-E-</t>
  </si>
  <si>
    <t>Prasiurbtas  dujų tūris Vm (m3)</t>
  </si>
  <si>
    <t>Prasiurbtas dujų tūris normaliosiomis sąlygomis Vmn (Nm3)</t>
  </si>
  <si>
    <t>Prasiurbto dujų tūrio normaliosiomis sąlygomis suma Vmn(sum) (Nm3)</t>
  </si>
  <si>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</si>
  <si>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</si>
  <si>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</si>
  <si>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</si>
  <si>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</si>
  <si>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</si>
  <si>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</si>
  <si>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</si>
  <si>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</si>
  <si>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</si>
  <si>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</si>
  <si>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</si>
  <si>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</si>
  <si>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</si>
  <si>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</si>
  <si>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</si>
  <si>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</si>
  <si>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</si>
  <si>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</si>
  <si>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</si>
  <si>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</si>
  <si>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</si>
  <si>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</si>
  <si>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</si>
  <si>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</si>
  <si>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</si>
  <si>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XXXXX</t>
  </si>
  <si>
    <t>X</t>
  </si>
  <si>
    <t>XX</t>
  </si>
  <si>
    <t>XXXX</t>
  </si>
  <si>
    <t>XXXXXX</t>
  </si>
  <si>
    <t>XXXXXXX</t>
  </si>
  <si>
    <t>Skaičiuoklė kietųjų dalelių koncentracijai nustatyti. Kietųjų dalelių koncentracijos nustatymas</t>
  </si>
  <si>
    <t>Skaičiuoklė kietųjų dalelių koncentracijai nustatyti. Svėrimas</t>
  </si>
  <si>
    <t>Skaičiuoklė kietųjų dalelių koncentracijai nustatyti. Izokinetiškumo nustatymas</t>
  </si>
  <si>
    <t>Skaičiuoklė kietųjų dalelių koncentracijai nustatyti. Pradinių duomenų nustatymas</t>
  </si>
  <si>
    <t>Drėgmės kiekis X (%) (izokinetinei sistemai)</t>
  </si>
  <si>
    <t>Informacija</t>
  </si>
  <si>
    <t>1. Įvestiniai duomenys -žaliuose langeliuose</t>
  </si>
  <si>
    <t>2. Išėjimo duomenys - geltonuose langeliuose</t>
  </si>
  <si>
    <t>3. Skaičiuoklių tikrinimui - duomenis esančius tik žaliuose langeliuose perkelti į tikrinamą skaičiuoklę</t>
  </si>
  <si>
    <t xml:space="preserve">4. Patikrinti, ar geltonuose langeliuose tokie patys išėjimo duomenys, atspausdinti ir padaryti įrašą, kad  skaičiavimai teisingi </t>
  </si>
  <si>
    <t>5. Skaičiuoklė gali būti naudojama ir kitiems metodams.</t>
  </si>
  <si>
    <t>6.  *Pažymėti stulpeliai gali būti nenurodyti, jeigu skaičiavimai atliekami ir rezultatai pateikiami kitose skaičiuoklėse ar formose.</t>
  </si>
  <si>
    <t xml:space="preserve">Patikrino: Skaičiuoklė patikrinta rankiniu būdu. Skaičiavimai teisingi.            </t>
  </si>
  <si>
    <t>V. Palubeckis</t>
  </si>
  <si>
    <t xml:space="preserve">         (data)</t>
  </si>
  <si>
    <t>(v., pavardė)</t>
  </si>
  <si>
    <t>Patvirtino: Skaičiuoklę galima taikyti KD skaičiavimui pagal ISO 9096:2017, SVP ATD/3-2, LST EN 13284-1:2018, LAND 43-2013.</t>
  </si>
  <si>
    <t>(data)</t>
  </si>
  <si>
    <t>E7-14_02     2026-01-02, V.P.</t>
  </si>
  <si>
    <t>S. Čekanauskas</t>
  </si>
  <si>
    <r>
      <t>Kietųjų dalelių svoris  m</t>
    </r>
    <r>
      <rPr>
        <b/>
        <vertAlign val="subscript"/>
        <sz val="11"/>
        <color theme="1"/>
        <rFont val="Times New Roman"/>
        <family val="1"/>
      </rPr>
      <t>f</t>
    </r>
    <r>
      <rPr>
        <b/>
        <sz val="11"/>
        <color theme="1"/>
        <rFont val="Times New Roman"/>
        <family val="1"/>
      </rPr>
      <t xml:space="preserve">/Svorių pokytis (g) (&lt;2,20 g </t>
    </r>
    <r>
      <rPr>
        <b/>
        <sz val="10"/>
        <color theme="1"/>
        <rFont val="Times New Roman"/>
        <family val="1"/>
      </rPr>
      <t>filtro talpumas)</t>
    </r>
  </si>
  <si>
    <r>
      <t>Tuščiojo filtro vertė m</t>
    </r>
    <r>
      <rPr>
        <b/>
        <i/>
        <sz val="10"/>
        <color theme="1"/>
        <rFont val="Times New Roman"/>
        <family val="1"/>
        <charset val="186"/>
      </rPr>
      <t>ft</t>
    </r>
    <r>
      <rPr>
        <b/>
        <sz val="10"/>
        <color theme="1"/>
        <rFont val="Times New Roman"/>
        <family val="1"/>
        <charset val="186"/>
      </rPr>
      <t xml:space="preserve"> (mg/m3) (&lt; 2 mg/m3)</t>
    </r>
  </si>
  <si>
    <t>Surinktų dulkių ir tuščiojo ėminio santykis mFtk (&gt;5)</t>
  </si>
  <si>
    <t>Filtrų skaičius Fsk (vnt.)</t>
  </si>
  <si>
    <t>Skaičiuoklė kietųjų dalelių koncentracijai nustatyti. H2O skaičiavimas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</si>
</sst>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2"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sz val="11"/>
      <color rgb="FFFF0000"/>
      <name val="Times New Roman"/>
      <family val="1"/>
      <charset val="186"/>
    </font>
    <font>
      <b/>
      <sz val="1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vertAlign val="subscript"/>
      <sz val="11"/>
      <name val="Times New Roman"/>
      <family val="1"/>
    </font>
    <font>
      <sz val="11"/>
      <name val="Times New Roman"/>
      <family val="1"/>
    </font>
    <font>
      <sz val="11"/>
      <color rgb="FF000000"/>
      <name val="Times New Roman"/>
      <family val="1"/>
      <charset val="186"/>
    </font>
    <font>
      <b/>
      <sz val="11"/>
      <color theme="1"/>
      <name val="Times New Roman"/>
      <family val="1"/>
    </font>
    <font>
      <b/>
      <vertAlign val="subscript"/>
      <sz val="11"/>
      <color theme="1"/>
      <name val="Times New Roman"/>
      <family val="1"/>
    </font>
    <font>
      <b/>
      <sz val="10"/>
      <color theme="1"/>
      <name val="Times New Roman"/>
      <family val="1"/>
    </font>
    <font>
      <b/>
      <sz val="10"/>
      <color theme="1"/>
      <name val="Times New Roman"/>
      <family val="1"/>
      <charset val="186"/>
    </font>
    <font>
      <b/>
      <i/>
      <sz val="10"/>
      <color theme="1"/>
      <name val="Times New Roman"/>
      <family val="1"/>
      <charset val="186"/>
    </font>
  </fonts>
  <fills count="11">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92D050"/>
        <bgColor rgb="FF000000"/>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32">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170" fontId="4" fillId="0" borderId="5"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164" fontId="4" fillId="2" borderId="4" xfId="0" applyNumberFormat="1"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4" fillId="2" borderId="5"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4"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4" fillId="0" borderId="9" xfId="0" applyFont="1" applyBorder="1" applyAlignment="1" applyProtection="1">
      <alignment horizontal="center" vertical="center"/>
      <protection locked="0"/>
    </xf>
    <xf numFmtId="172"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0" fontId="4" fillId="0" borderId="14" xfId="0" applyFont="1" applyBorder="1" applyProtection="1">
      <protection locked="0"/>
    </xf>
    <xf numFmtId="164" fontId="4" fillId="0" borderId="10"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8" fillId="2" borderId="4" xfId="0" applyNumberFormat="1" applyFont="1" applyFill="1" applyBorder="1" applyAlignment="1">
      <alignment horizontal="center" vertical="center"/>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4" fillId="7" borderId="4"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7" xfId="0" applyNumberFormat="1" applyFont="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15" fillId="8" borderId="4" xfId="0" applyFont="1" applyFill="1" applyBorder="1" applyAlignment="1" applyProtection="1">
      <alignment horizontal="center" vertical="center" wrapText="1"/>
      <protection locked="0"/>
    </xf>
    <xf numFmtId="0" fontId="15" fillId="0" borderId="4" xfId="0" applyFont="1" applyBorder="1" applyAlignment="1" applyProtection="1">
      <alignment horizontal="center" vertical="center" wrapText="1"/>
      <protection locked="0"/>
    </xf>
    <xf numFmtId="2" fontId="15" fillId="2" borderId="4" xfId="0" applyNumberFormat="1" applyFont="1" applyFill="1" applyBorder="1" applyAlignment="1">
      <alignment horizontal="center" vertical="center"/>
    </xf>
    <xf numFmtId="0" fontId="15" fillId="0" borderId="4" xfId="0" applyFont="1" applyBorder="1" applyAlignment="1" applyProtection="1">
      <alignment horizontal="center" vertical="center"/>
      <protection locked="0"/>
    </xf>
    <xf numFmtId="0" fontId="16" fillId="0" borderId="4" xfId="0" applyFont="1" applyBorder="1" applyAlignment="1" applyProtection="1">
      <alignment horizontal="center" vertical="center"/>
      <protection locked="0"/>
    </xf>
    <xf numFmtId="1" fontId="16" fillId="0" borderId="4" xfId="0" applyNumberFormat="1"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166" fontId="4" fillId="0" borderId="4" xfId="0" applyNumberFormat="1" applyFont="1" applyBorder="1" applyAlignment="1" applyProtection="1">
      <alignment horizontal="center" vertical="top" wrapText="1"/>
      <protection locked="0"/>
    </xf>
    <xf numFmtId="0" fontId="14" fillId="0" borderId="4" xfId="0" applyFont="1" applyBorder="1" applyAlignment="1" applyProtection="1">
      <alignment horizontal="center" vertical="center" wrapText="1"/>
      <protection locked="0"/>
    </xf>
    <xf numFmtId="0" fontId="13" fillId="0" borderId="0" xfId="0" applyFont="1" applyAlignment="1" applyProtection="1">
      <alignment vertical="center"/>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5" fillId="0" borderId="16" xfId="0" applyFont="1" applyBorder="1" applyAlignment="1" applyProtection="1">
      <alignment wrapText="1"/>
      <protection locked="0"/>
    </xf>
    <xf numFmtId="0" fontId="25" fillId="0" borderId="7" xfId="0" applyFont="1" applyBorder="1" applyProtection="1">
      <protection locked="0"/>
    </xf>
    <xf numFmtId="0" fontId="25" fillId="0" borderId="14" xfId="0" applyFont="1" applyBorder="1" applyProtection="1">
      <protection locked="0"/>
    </xf>
    <xf numFmtId="0" fontId="25"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0" fontId="26" fillId="10" borderId="4" xfId="0" applyFont="1" applyFill="1" applyBorder="1" applyAlignment="1">
      <alignment horizontal="center" vertical="center"/>
    </xf>
    <xf numFmtId="167" fontId="4" fillId="5" borderId="4" xfId="0" applyNumberFormat="1" applyFont="1" applyFill="1" applyBorder="1" applyAlignment="1" applyProtection="1">
      <alignment horizontal="center" vertical="center"/>
      <protection locked="0"/>
    </xf>
    <xf numFmtId="167" fontId="26" fillId="10" borderId="4" xfId="0" applyNumberFormat="1" applyFont="1" applyFill="1" applyBorder="1" applyAlignment="1">
      <alignment horizontal="center" vertical="center"/>
    </xf>
    <xf numFmtId="2" fontId="26" fillId="10" borderId="4" xfId="0" applyNumberFormat="1" applyFont="1" applyFill="1" applyBorder="1" applyAlignment="1">
      <alignment horizontal="center" vertical="center"/>
    </xf>
    <xf numFmtId="0" fontId="4" fillId="5" borderId="4" xfId="0" applyFont="1" applyFill="1" applyBorder="1" applyAlignment="1" applyProtection="1">
      <alignment horizontal="center" vertical="center"/>
      <protection locked="0"/>
    </xf>
    <xf numFmtId="1" fontId="4"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9" fillId="5" borderId="4" xfId="0" applyFont="1" applyFill="1" applyBorder="1" applyAlignment="1" applyProtection="1">
      <alignment horizontal="center" vertical="center"/>
      <protection locked="0"/>
    </xf>
    <xf numFmtId="1" fontId="9" fillId="5"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protection locked="0"/>
    </xf>
    <xf numFmtId="2" fontId="4" fillId="5" borderId="5"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164" fontId="4" fillId="2" borderId="9" xfId="0" applyNumberFormat="1" applyFont="1" applyFill="1" applyBorder="1" applyAlignment="1">
      <alignment horizontal="center" vertical="center"/>
    </xf>
    <xf numFmtId="164" fontId="4" fillId="2" borderId="6"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xf numFmtId="0" fontId="8" fillId="0" borderId="0" xfId="0" applyFont="1" applyAlignment="1">
      <alignment horizontal="center" vertical="center"/>
    </xf>
    <xf numFmtId="2" fontId="4" fillId="10" borderId="4" xfId="0" applyNumberFormat="1" applyFont="1" applyFill="1" applyBorder="1" applyAlignment="1">
      <alignment horizontal="center" vertical="center"/>
    </xf>
    <xf numFmtId="167" fontId="4" fillId="10" borderId="18" xfId="0" applyNumberFormat="1" applyFont="1" applyFill="1" applyBorder="1" applyAlignment="1">
      <alignment horizontal="center" vertical="center"/>
    </xf>
    <xf numFmtId="167" fontId="4" fillId="10" borderId="19" xfId="0" applyNumberFormat="1" applyFont="1" applyFill="1" applyBorder="1" applyAlignment="1">
      <alignment horizontal="center" vertical="center"/>
    </xf>
    <xf numFmtId="2" fontId="14" fillId="5" borderId="4" xfId="0" applyNumberFormat="1" applyFont="1" applyFill="1" applyBorder="1" applyAlignment="1" applyProtection="1">
      <alignment horizontal="center" vertical="center"/>
      <protection locked="0"/>
    </xf>
    <xf numFmtId="2" fontId="26" fillId="10" borderId="4" xfId="0" applyNumberFormat="1" applyFont="1" applyFill="1" applyBorder="1" applyAlignment="1" applyProtection="1">
      <alignment horizontal="center" vertical="center"/>
      <protection locked="0"/>
    </xf>
    <xf numFmtId="0" fontId="26" fillId="10" borderId="4" xfId="0" applyFont="1" applyFill="1" applyBorder="1" applyAlignment="1" applyProtection="1">
      <alignment horizontal="center" vertical="center"/>
      <protection locked="0"/>
    </xf>
    <xf numFmtId="167" fontId="26" fillId="10" borderId="4" xfId="0" applyNumberFormat="1" applyFont="1" applyFill="1" applyBorder="1" applyAlignment="1" applyProtection="1">
      <alignment horizontal="center" vertical="center"/>
      <protection locked="0"/>
    </xf>
    <xf numFmtId="0" fontId="4" fillId="0" borderId="5" xfId="0" applyFont="1" applyBorder="1" applyAlignment="1">
      <alignment horizontal="center" vertical="center" wrapText="1"/>
    </xf>
    <xf numFmtId="170" fontId="4" fillId="0" borderId="5" xfId="0" applyNumberFormat="1" applyFont="1" applyBorder="1" applyAlignment="1">
      <alignment vertical="center"/>
    </xf>
    <xf numFmtId="166" fontId="4" fillId="0" borderId="5" xfId="0" applyNumberFormat="1" applyFont="1" applyBorder="1" applyAlignment="1">
      <alignment horizontal="center" vertical="center"/>
    </xf>
    <xf numFmtId="1" fontId="4" fillId="0" borderId="5" xfId="0" applyNumberFormat="1" applyFont="1" applyBorder="1" applyAlignment="1">
      <alignment horizontal="center" vertical="center"/>
    </xf>
    <xf numFmtId="0" fontId="4" fillId="0" borderId="8" xfId="0" applyFont="1" applyBorder="1" applyAlignment="1">
      <alignment horizontal="center" vertical="center"/>
    </xf>
    <xf numFmtId="166" fontId="4" fillId="0" borderId="12" xfId="0" applyNumberFormat="1" applyFont="1" applyBorder="1" applyAlignment="1">
      <alignment horizontal="center" vertical="center"/>
    </xf>
    <xf numFmtId="14" fontId="4" fillId="0" borderId="10" xfId="0" applyNumberFormat="1" applyFont="1" applyBorder="1" applyAlignment="1">
      <alignment vertical="center"/>
    </xf>
    <xf numFmtId="14" fontId="4" fillId="0" borderId="8" xfId="0" applyNumberFormat="1" applyFont="1" applyBorder="1" applyAlignment="1">
      <alignment vertical="center"/>
    </xf>
    <xf numFmtId="0" fontId="4" fillId="0" borderId="10" xfId="0" applyFont="1" applyBorder="1" applyAlignment="1">
      <alignment horizontal="center" vertical="center" wrapText="1"/>
    </xf>
    <xf numFmtId="172" fontId="4" fillId="0" borderId="10" xfId="0" applyNumberFormat="1" applyFont="1" applyBorder="1" applyAlignment="1">
      <alignment horizontal="center" vertical="center"/>
    </xf>
    <xf numFmtId="164" fontId="4" fillId="0" borderId="11" xfId="0" applyNumberFormat="1" applyFont="1" applyBorder="1" applyAlignment="1">
      <alignment horizontal="center" vertical="center"/>
    </xf>
    <xf numFmtId="0" fontId="4" fillId="0" borderId="14" xfId="0" applyFont="1" applyBorder="1" applyAlignment="1">
      <alignment horizontal="center" vertical="center"/>
    </xf>
    <xf numFmtId="164" fontId="4" fillId="5" borderId="8" xfId="0" applyNumberFormat="1" applyFont="1" applyFill="1" applyBorder="1" applyAlignment="1" applyProtection="1">
      <alignment horizontal="center" vertical="center"/>
      <protection locked="0"/>
    </xf>
    <xf numFmtId="164" fontId="4" fillId="5" borderId="4" xfId="0" applyNumberFormat="1" applyFont="1" applyFill="1" applyBorder="1" applyAlignment="1" applyProtection="1">
      <alignment horizontal="center" vertical="center"/>
      <protection locked="0"/>
    </xf>
    <xf numFmtId="164" fontId="4" fillId="5" borderId="6" xfId="0" applyNumberFormat="1" applyFont="1" applyFill="1" applyBorder="1" applyAlignment="1" applyProtection="1">
      <alignment horizontal="center" vertical="center"/>
      <protection locked="0"/>
    </xf>
    <xf numFmtId="164" fontId="4" fillId="5" borderId="5" xfId="0" applyNumberFormat="1" applyFont="1" applyFill="1" applyBorder="1" applyAlignment="1" applyProtection="1">
      <alignment horizontal="center" vertical="center"/>
      <protection locked="0"/>
    </xf>
    <xf numFmtId="164" fontId="4" fillId="5" borderId="13" xfId="0" applyNumberFormat="1" applyFont="1" applyFill="1" applyBorder="1" applyAlignment="1" applyProtection="1">
      <alignment horizontal="center" vertical="center"/>
      <protection locked="0"/>
    </xf>
    <xf numFmtId="164" fontId="4" fillId="5" borderId="9" xfId="0" applyNumberFormat="1" applyFont="1" applyFill="1" applyBorder="1" applyAlignment="1" applyProtection="1">
      <alignment horizontal="center" vertical="center"/>
      <protection locked="0"/>
    </xf>
    <xf numFmtId="164" fontId="4" fillId="5" borderId="7" xfId="0" applyNumberFormat="1" applyFont="1" applyFill="1" applyBorder="1" applyAlignment="1" applyProtection="1">
      <alignment horizontal="center" vertical="center"/>
      <protection locked="0"/>
    </xf>
    <xf numFmtId="164" fontId="4" fillId="5" borderId="16" xfId="0" applyNumberFormat="1" applyFont="1" applyFill="1" applyBorder="1" applyAlignment="1" applyProtection="1">
      <alignment horizontal="center" vertical="center"/>
      <protection locked="0"/>
    </xf>
    <xf numFmtId="164" fontId="4" fillId="5" borderId="14" xfId="0" applyNumberFormat="1" applyFont="1" applyFill="1" applyBorder="1" applyAlignment="1" applyProtection="1">
      <alignment horizontal="center" vertical="center"/>
      <protection locked="0"/>
    </xf>
    <xf numFmtId="171" fontId="4" fillId="0" borderId="10" xfId="0" applyNumberFormat="1" applyFont="1" applyBorder="1" applyAlignment="1">
      <alignment horizontal="center" vertical="center" wrapText="1"/>
    </xf>
    <xf numFmtId="171" fontId="4" fillId="0" borderId="4" xfId="0" applyNumberFormat="1" applyFont="1" applyBorder="1" applyAlignment="1">
      <alignment horizontal="center" vertical="center" wrapText="1"/>
    </xf>
    <xf numFmtId="14" fontId="3" fillId="0" borderId="0" xfId="0" applyNumberFormat="1" applyFont="1" applyProtection="1">
      <protection locked="0"/>
    </xf>
    <xf numFmtId="14" fontId="4" fillId="0" borderId="0" xfId="0" applyNumberFormat="1" applyFont="1" applyProtection="1">
      <protection locked="0"/>
    </xf>
    <xf numFmtId="0" fontId="25" fillId="0" borderId="0" xfId="0" applyFont="1"/>
    <xf numFmtId="14" fontId="25" fillId="0" borderId="0" xfId="0" applyNumberFormat="1" applyFont="1"/>
    <xf numFmtId="0" fontId="25" fillId="0" borderId="0" xfId="0" applyFont="1" applyProtection="1">
      <protection locked="0"/>
    </xf>
    <xf numFmtId="14" fontId="25" fillId="0" borderId="0" xfId="0" applyNumberFormat="1" applyFont="1" applyProtection="1">
      <protection locked="0"/>
    </xf>
    <xf numFmtId="0" fontId="3" fillId="0" borderId="0" xfId="0" applyFont="1" applyAlignment="1" applyProtection="1">
      <alignment vertical="center"/>
      <protection locked="0"/>
    </xf>
    <xf numFmtId="0" fontId="30" fillId="0" borderId="4" xfId="0" applyFont="1" applyBorder="1" applyAlignment="1" applyProtection="1">
      <alignment horizontal="center" vertical="center" wrapText="1"/>
      <protection locked="0"/>
    </xf>
    <xf numFmtId="0" fontId="30" fillId="0" borderId="5" xfId="0" applyFont="1" applyBorder="1" applyAlignment="1" applyProtection="1">
      <alignment horizontal="center" vertical="center" wrapText="1"/>
      <protection locked="0"/>
    </xf>
    <xf numFmtId="164" fontId="8" fillId="2" borderId="11" xfId="0" applyNumberFormat="1" applyFont="1" applyFill="1" applyBorder="1" applyAlignment="1">
      <alignment vertical="center"/>
    </xf>
    <xf numFmtId="164" fontId="8" fillId="9" borderId="11" xfId="0" applyNumberFormat="1" applyFont="1" applyFill="1" applyBorder="1" applyAlignment="1">
      <alignment vertical="center"/>
    </xf>
    <xf numFmtId="166" fontId="4" fillId="9" borderId="14" xfId="0" applyNumberFormat="1" applyFont="1" applyFill="1" applyBorder="1" applyAlignment="1">
      <alignment horizontal="center" vertical="center"/>
    </xf>
    <xf numFmtId="0" fontId="4" fillId="9" borderId="8" xfId="0" applyFont="1" applyFill="1" applyBorder="1" applyAlignment="1" applyProtection="1">
      <alignment horizontal="center" vertical="center"/>
      <protection locked="0"/>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4" fontId="4" fillId="0" borderId="10" xfId="0" applyNumberFormat="1" applyFont="1" applyBorder="1" applyAlignment="1">
      <alignment horizontal="center" vertical="center"/>
    </xf>
    <xf numFmtId="0" fontId="12" fillId="0" borderId="0" xfId="0" applyFont="1" applyAlignment="1" applyProtection="1">
      <alignment horizontal="center" vertical="center" wrapText="1"/>
      <protection locked="0"/>
    </xf>
    <xf numFmtId="0" fontId="3" fillId="0" borderId="0" xfId="0" applyFont="1" applyAlignment="1" applyProtection="1">
      <alignment horizont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10" fillId="6" borderId="0" xfId="0" applyFont="1" applyFill="1" applyAlignment="1" applyProtection="1">
      <alignment horizontal="center" vertical="center" wrapText="1"/>
      <protection locked="0"/>
    </xf>
    <xf numFmtId="0" fontId="23" fillId="0" borderId="0" xfId="0" applyFont="1" applyAlignment="1">
      <alignment horizontal="center" vertical="center"/>
    </xf>
    <xf numFmtId="14" fontId="3" fillId="0" borderId="0" xfId="0" applyNumberFormat="1" applyFont="1" applyAlignment="1" applyProtection="1">
      <alignment horizontal="center" vertical="center"/>
      <protection locked="0"/>
    </xf>
    <xf numFmtId="0" fontId="4" fillId="0" borderId="0" xfId="0" applyFont="1" applyAlignment="1" applyProtection="1">
      <alignment horizontal="center" vertical="center"/>
      <protection locked="0"/>
    </xf>
    <xf numFmtId="14" fontId="4" fillId="0" borderId="0" xfId="0" applyNumberFormat="1" applyFont="1" applyAlignment="1" applyProtection="1">
      <alignment horizontal="center" vertical="center"/>
      <protection locked="0"/>
    </xf>
    <xf numFmtId="0" fontId="4" fillId="0" borderId="4" xfId="0" applyFont="1" applyBorder="1" applyAlignment="1">
      <alignment horizontal="center" vertical="center" wrapText="1"/>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8" fillId="0" borderId="0" xfId="0" applyFont="1" applyAlignment="1" applyProtection="1">
      <alignment horizontal="center" vertical="center"/>
      <protection locked="0"/>
    </xf>
    <xf numFmtId="0" fontId="10" fillId="0" borderId="5" xfId="0" applyFont="1" applyBorder="1" applyAlignment="1">
      <alignment horizontal="center" vertical="top" wrapText="1"/>
    </xf>
    <xf numFmtId="0" fontId="10" fillId="0" borderId="10" xfId="0" applyFont="1" applyBorder="1" applyAlignment="1">
      <alignment horizontal="center" vertical="top" wrapText="1"/>
    </xf>
    <xf numFmtId="0" fontId="10" fillId="0" borderId="8" xfId="0" applyFont="1" applyBorder="1" applyAlignment="1">
      <alignment horizontal="center" vertical="top" wrapText="1"/>
    </xf>
    <xf numFmtId="169" fontId="4" fillId="0" borderId="10" xfId="0" applyNumberFormat="1" applyFont="1" applyBorder="1" applyAlignment="1">
      <alignment horizontal="center" vertical="top" wrapText="1"/>
    </xf>
    <xf numFmtId="169" fontId="4" fillId="0" borderId="8" xfId="0" applyNumberFormat="1" applyFont="1" applyBorder="1" applyAlignment="1">
      <alignment horizontal="center" vertical="top" wrapText="1"/>
    </xf>
    <xf numFmtId="0" fontId="8" fillId="0" borderId="0" xfId="0" applyFont="1" applyAlignment="1">
      <alignment horizontal="center" vertical="center"/>
    </xf>
    <xf numFmtId="0" fontId="4" fillId="0" borderId="10" xfId="0" applyFont="1" applyBorder="1" applyAlignment="1">
      <alignment horizontal="center" vertical="top" wrapText="1"/>
    </xf>
    <xf numFmtId="0" fontId="4" fillId="0" borderId="8" xfId="0" applyFont="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7" fillId="0" borderId="5" xfId="0" applyFont="1" applyBorder="1" applyAlignment="1" applyProtection="1">
      <alignment horizontal="center" vertical="center" wrapText="1"/>
      <protection locked="0"/>
    </xf>
    <xf numFmtId="0" fontId="27" fillId="0" borderId="17"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38"/>
  <sheetViews>
    <sheetView topLeftCell="A2" zoomScale="80" zoomScaleNormal="80" workbookViewId="0">
      <selection activeCell="A3" sqref="A3:J3"/>
    </sheetView>
  </sheetViews>
  <sheetFormatPr defaultColWidth="9.1796875" defaultRowHeight="13" x14ac:dyDescent="0.3"/>
  <cols>
    <col min="1" max="1" width="12.453125" style="37" customWidth="1"/>
    <col min="2" max="4" width="9.1796875" style="37"/>
    <col min="5" max="5" width="10.7265625" style="37" customWidth="1"/>
    <col min="6" max="6" width="12.54296875" style="37" customWidth="1"/>
    <col min="7" max="7" width="11.26953125" style="37" customWidth="1"/>
    <col min="8" max="8" width="11.54296875" style="37" customWidth="1"/>
    <col min="9" max="9" width="12.54296875" style="37" customWidth="1"/>
    <col min="10" max="10" width="9.81640625" style="37" customWidth="1"/>
    <col min="11" max="11" width="11.81640625" style="37" customWidth="1"/>
    <col min="12" max="12" width="11.26953125" style="37" customWidth="1"/>
    <col min="13" max="16384" width="9.1796875" style="37"/>
  </cols>
  <sheetData>
    <row r="1" spans="1:12" ht="15" x14ac:dyDescent="0.3">
      <c r="A1" s="36"/>
      <c r="B1" s="10"/>
      <c r="C1" s="10"/>
      <c r="D1" s="10"/>
      <c r="E1" s="10"/>
      <c r="F1" s="10"/>
      <c r="G1" s="10"/>
      <c r="H1" s="10"/>
      <c r="I1" s="10"/>
    </row>
    <row r="2" spans="1:12" ht="15" x14ac:dyDescent="0.3">
      <c r="A2" s="38"/>
      <c r="B2" s="10"/>
      <c r="C2" s="10"/>
      <c r="D2" s="10"/>
      <c r="E2" s="10"/>
      <c r="F2" s="10"/>
      <c r="G2" s="10"/>
      <c r="H2" s="10"/>
      <c r="I2" s="10"/>
    </row>
    <row r="3" spans="1:12" ht="15" x14ac:dyDescent="0.3">
      <c r="A3" s="196" t="s">
        <v>126</v>
      </c>
      <c r="B3" s="196"/>
      <c r="C3" s="196"/>
      <c r="D3" s="196"/>
      <c r="E3" s="196"/>
      <c r="F3" s="196"/>
      <c r="G3" s="196"/>
      <c r="H3" s="196"/>
      <c r="I3" s="196"/>
      <c r="J3" s="196"/>
    </row>
    <row r="4" spans="1:12" ht="14" x14ac:dyDescent="0.3">
      <c r="A4" s="10"/>
      <c r="B4" s="10"/>
      <c r="C4" s="10"/>
      <c r="D4" s="10"/>
      <c r="E4" s="10"/>
      <c r="F4" s="10"/>
      <c r="G4" s="10"/>
      <c r="H4" s="10"/>
      <c r="I4" s="10"/>
    </row>
    <row r="5" spans="1:12" ht="84" x14ac:dyDescent="0.3">
      <c r="A5" s="9"/>
      <c r="B5" s="9" t="s">
        <v>35</v>
      </c>
      <c r="C5" s="9" t="s">
        <v>23</v>
      </c>
      <c r="D5" s="9" t="s">
        <v>24</v>
      </c>
      <c r="E5" s="9" t="s">
        <v>22</v>
      </c>
      <c r="F5" s="9" t="s">
        <v>36</v>
      </c>
      <c r="G5" s="9" t="s">
        <v>37</v>
      </c>
      <c r="H5" s="9" t="s">
        <v>27</v>
      </c>
      <c r="I5" s="9" t="s">
        <v>26</v>
      </c>
      <c r="J5" s="134" t="s">
        <v>77</v>
      </c>
      <c r="K5" s="134" t="s">
        <v>106</v>
      </c>
      <c r="L5" s="134" t="s">
        <v>6</v>
      </c>
    </row>
    <row r="6" spans="1:12" ht="18" customHeight="1" x14ac:dyDescent="0.3">
      <c r="A6" s="39"/>
      <c r="B6" s="9"/>
      <c r="C6" s="9"/>
      <c r="D6" s="9"/>
      <c r="E6" s="9"/>
      <c r="F6" s="9"/>
      <c r="G6" s="9"/>
      <c r="H6" s="9"/>
      <c r="I6" s="9"/>
      <c r="J6" s="48"/>
      <c r="K6" s="42"/>
      <c r="L6" s="42"/>
    </row>
    <row r="7" spans="1:12" ht="33" customHeight="1" x14ac:dyDescent="0.3">
      <c r="A7" s="39" t="s">
        <v>25</v>
      </c>
      <c r="B7" s="135"/>
      <c r="C7" s="136"/>
      <c r="D7" s="135"/>
      <c r="E7" s="135"/>
      <c r="F7" s="137"/>
      <c r="G7" s="58">
        <f>+(D7-E7)*B7*C7*0.27/(273+F7)</f>
        <v>0</v>
      </c>
      <c r="H7" s="59">
        <f>G7/1000</f>
        <v>0</v>
      </c>
      <c r="I7" s="138"/>
      <c r="J7" s="151"/>
      <c r="K7" s="95" t="e">
        <f>(100*((I7/(H7*J7))/0.8038))/(((I7/(H7*J7))/0.8038)+(1/J7))</f>
        <v>#DIV/0!</v>
      </c>
      <c r="L7" s="42"/>
    </row>
    <row r="8" spans="1:12" ht="15" x14ac:dyDescent="0.3">
      <c r="A8" s="13"/>
      <c r="B8" s="71"/>
      <c r="C8" s="72"/>
      <c r="D8" s="13"/>
      <c r="E8" s="13"/>
      <c r="F8" s="40"/>
      <c r="G8" s="73"/>
      <c r="H8" s="74"/>
      <c r="I8" s="43"/>
      <c r="J8" s="48"/>
      <c r="K8" s="42"/>
      <c r="L8" s="42"/>
    </row>
    <row r="9" spans="1:12" ht="15" x14ac:dyDescent="0.3">
      <c r="A9" s="13"/>
      <c r="B9" s="71"/>
      <c r="C9" s="72"/>
      <c r="D9" s="13"/>
      <c r="E9" s="13"/>
      <c r="F9" s="40"/>
      <c r="G9" s="73"/>
      <c r="H9" s="74"/>
      <c r="I9" s="43"/>
      <c r="J9" s="48"/>
      <c r="K9" s="42"/>
      <c r="L9" s="42"/>
    </row>
    <row r="10" spans="1:12" ht="18" customHeight="1" x14ac:dyDescent="0.3">
      <c r="A10" s="76"/>
      <c r="B10" s="71"/>
      <c r="C10" s="13"/>
      <c r="D10" s="13"/>
      <c r="E10" s="13"/>
      <c r="F10" s="40"/>
      <c r="G10" s="75"/>
      <c r="H10" s="77"/>
      <c r="I10" s="78"/>
      <c r="J10" s="48"/>
      <c r="K10" s="42"/>
      <c r="L10" s="42"/>
    </row>
    <row r="11" spans="1:12" ht="12.75" customHeight="1" x14ac:dyDescent="0.3">
      <c r="H11" s="197" t="s">
        <v>30</v>
      </c>
      <c r="I11" s="200" t="s">
        <v>31</v>
      </c>
    </row>
    <row r="12" spans="1:12" x14ac:dyDescent="0.3">
      <c r="H12" s="198"/>
      <c r="I12" s="201"/>
    </row>
    <row r="13" spans="1:12" x14ac:dyDescent="0.3">
      <c r="H13" s="198"/>
      <c r="I13" s="201"/>
    </row>
    <row r="14" spans="1:12" x14ac:dyDescent="0.3">
      <c r="H14" s="198"/>
      <c r="I14" s="201"/>
    </row>
    <row r="15" spans="1:12" x14ac:dyDescent="0.3">
      <c r="H15" s="198"/>
      <c r="I15" s="201"/>
    </row>
    <row r="16" spans="1:12" x14ac:dyDescent="0.3">
      <c r="H16" s="198"/>
      <c r="I16" s="201"/>
    </row>
    <row r="17" spans="1:9" x14ac:dyDescent="0.3">
      <c r="H17" s="198"/>
      <c r="I17" s="201"/>
    </row>
    <row r="18" spans="1:9" x14ac:dyDescent="0.3">
      <c r="H18" s="199"/>
      <c r="I18" s="201"/>
    </row>
    <row r="19" spans="1:9" x14ac:dyDescent="0.3">
      <c r="I19" s="201"/>
    </row>
    <row r="20" spans="1:9" x14ac:dyDescent="0.3">
      <c r="I20" s="202"/>
    </row>
    <row r="22" spans="1:9" ht="15" customHeight="1" x14ac:dyDescent="0.3"/>
    <row r="23" spans="1:9" ht="14" x14ac:dyDescent="0.3">
      <c r="I23" s="49"/>
    </row>
    <row r="24" spans="1:9" ht="14" x14ac:dyDescent="0.3">
      <c r="I24" s="49"/>
    </row>
    <row r="25" spans="1:9" ht="14" x14ac:dyDescent="0.3">
      <c r="I25" s="49"/>
    </row>
    <row r="26" spans="1:9" ht="15" customHeight="1" x14ac:dyDescent="0.3">
      <c r="A26" s="37" t="s">
        <v>107</v>
      </c>
      <c r="I26" s="49"/>
    </row>
    <row r="27" spans="1:9" ht="15" customHeight="1" x14ac:dyDescent="0.3">
      <c r="A27" s="37" t="s">
        <v>108</v>
      </c>
      <c r="I27" s="49"/>
    </row>
    <row r="28" spans="1:9" x14ac:dyDescent="0.3">
      <c r="A28" s="37" t="s">
        <v>109</v>
      </c>
    </row>
    <row r="29" spans="1:9" x14ac:dyDescent="0.3">
      <c r="A29" s="37" t="s">
        <v>110</v>
      </c>
    </row>
    <row r="30" spans="1:9" x14ac:dyDescent="0.3">
      <c r="A30" s="37" t="s">
        <v>111</v>
      </c>
    </row>
    <row r="31" spans="1:9" x14ac:dyDescent="0.3">
      <c r="A31" s="37" t="s">
        <v>112</v>
      </c>
    </row>
    <row r="32" spans="1:9" x14ac:dyDescent="0.3">
      <c r="A32" s="37" t="s">
        <v>113</v>
      </c>
    </row>
    <row r="34" spans="1:9" x14ac:dyDescent="0.3">
      <c r="A34" s="195" t="s">
        <v>114</v>
      </c>
      <c r="B34" s="195"/>
      <c r="C34" s="195"/>
      <c r="D34" s="195"/>
      <c r="E34" s="195"/>
      <c r="F34" s="195"/>
      <c r="G34" s="195"/>
      <c r="H34" s="178">
        <v>46024</v>
      </c>
      <c r="I34" s="37" t="s">
        <v>121</v>
      </c>
    </row>
    <row r="35" spans="1:9" x14ac:dyDescent="0.3">
      <c r="H35" s="37" t="s">
        <v>116</v>
      </c>
      <c r="I35" s="37" t="s">
        <v>117</v>
      </c>
    </row>
    <row r="36" spans="1:9" x14ac:dyDescent="0.3">
      <c r="A36" s="37" t="s">
        <v>118</v>
      </c>
    </row>
    <row r="37" spans="1:9" x14ac:dyDescent="0.3">
      <c r="H37" s="178">
        <v>46024</v>
      </c>
      <c r="I37" s="178"/>
    </row>
    <row r="38" spans="1:9" x14ac:dyDescent="0.3">
      <c r="H38" s="37" t="s">
        <v>119</v>
      </c>
    </row>
  </sheetData>
  <sheetProtection algorithmName="SHA-512" hashValue="sD3ZykclICk2tTfFzp7czTYc0QTKlJkxtA51sRkdRLkPIJN1fOhKXE/MhCVGhXx+e0qzMizJdOPD4b9T9hi4hw==" saltValue="aCrxi1FSHHPwaenjL/bdww==" spinCount="100000" sheet="1" formatCells="0" formatColumns="0" formatRows="0"/>
  <mergeCells count="4">
    <mergeCell ref="A34:G34"/>
    <mergeCell ref="A3:J3"/>
    <mergeCell ref="H11:H18"/>
    <mergeCell ref="I11:I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98"/>
  <sheetViews>
    <sheetView tabSelected="1" topLeftCell="G1" zoomScale="80" zoomScaleNormal="80" workbookViewId="0">
      <pane ySplit="5" topLeftCell="A6" activePane="bottomLeft" state="frozen"/>
      <selection pane="bottomLeft" activeCell="J4" sqref="J4"/>
    </sheetView>
  </sheetViews>
  <sheetFormatPr defaultColWidth="9.1796875" defaultRowHeight="14" x14ac:dyDescent="0.25"/>
  <cols>
    <col min="1" max="1" width="9.54296875" style="87" customWidth="1"/>
    <col min="2" max="2" width="12" style="87" customWidth="1"/>
    <col min="3" max="3" width="26.1796875" style="87" customWidth="1"/>
    <col min="4" max="4" width="11.1796875" style="87" customWidth="1"/>
    <col min="5" max="5" width="12.1796875" style="87" customWidth="1"/>
    <col min="6" max="6" width="14" style="87" customWidth="1"/>
    <col min="7" max="7" width="10.81640625" style="87" customWidth="1"/>
    <col min="8" max="8" width="11.453125" style="87" customWidth="1"/>
    <col min="9" max="9" width="8.81640625" style="87" customWidth="1"/>
    <col min="10" max="10" width="10.54296875" style="87" customWidth="1"/>
    <col min="11" max="11" width="10.453125" style="87" customWidth="1"/>
    <col min="12" max="12" width="12.1796875" style="87" customWidth="1"/>
    <col min="13" max="13" width="9.81640625" style="87" customWidth="1"/>
    <col min="14" max="14" width="10.453125" style="87" customWidth="1"/>
    <col min="15" max="15" width="12.7265625" style="87" customWidth="1"/>
    <col min="16" max="16" width="6.54296875" style="87" customWidth="1"/>
    <col min="17" max="17" width="7.7265625" style="87" customWidth="1"/>
    <col min="18" max="18" width="18" style="87" customWidth="1"/>
    <col min="19" max="19" width="13.26953125" style="87" customWidth="1"/>
    <col min="20" max="20" width="10.453125" style="87" customWidth="1"/>
    <col min="21" max="21" width="10.7265625" style="87" customWidth="1"/>
    <col min="22" max="22" width="14" style="87" customWidth="1"/>
    <col min="23" max="16384" width="9.1796875" style="87"/>
  </cols>
  <sheetData>
    <row r="1" spans="1:22" ht="30" customHeight="1" x14ac:dyDescent="0.25">
      <c r="C1" s="203" t="s">
        <v>18</v>
      </c>
      <c r="D1" s="203"/>
      <c r="E1" s="15"/>
      <c r="S1" s="88"/>
    </row>
    <row r="2" spans="1:22" ht="19.5" customHeight="1" x14ac:dyDescent="0.25">
      <c r="A2" s="204" t="s">
        <v>105</v>
      </c>
      <c r="B2" s="204"/>
      <c r="C2" s="204"/>
      <c r="D2" s="204"/>
      <c r="E2" s="204"/>
      <c r="F2" s="204"/>
      <c r="G2" s="204"/>
      <c r="H2" s="204"/>
      <c r="I2" s="204"/>
      <c r="J2" s="204"/>
      <c r="K2" s="204"/>
      <c r="L2" s="204"/>
      <c r="M2" s="204"/>
      <c r="N2" s="204"/>
      <c r="O2" s="204"/>
      <c r="P2" s="204"/>
      <c r="Q2" s="204"/>
      <c r="R2" s="204"/>
      <c r="S2" s="204"/>
    </row>
    <row r="3" spans="1:22" ht="19.5" customHeight="1" x14ac:dyDescent="0.25">
      <c r="A3" s="89"/>
      <c r="B3" s="89"/>
      <c r="C3" s="90"/>
      <c r="D3" s="90"/>
      <c r="E3" s="90"/>
      <c r="F3" s="90"/>
      <c r="G3" s="90"/>
      <c r="H3" s="90"/>
      <c r="I3" s="90"/>
      <c r="J3" s="90"/>
      <c r="K3" s="90"/>
      <c r="L3" s="90"/>
      <c r="M3" s="90"/>
      <c r="N3" s="90"/>
      <c r="O3" s="90"/>
      <c r="P3" s="90"/>
      <c r="Q3" s="90"/>
      <c r="R3" s="90"/>
      <c r="S3" s="90"/>
    </row>
    <row r="4" spans="1:22" ht="19.5" customHeight="1" x14ac:dyDescent="0.25">
      <c r="T4" s="26"/>
      <c r="U4" s="26"/>
    </row>
    <row r="5" spans="1:22" ht="100.5" customHeight="1" x14ac:dyDescent="0.25">
      <c r="A5" s="11" t="s">
        <v>8</v>
      </c>
      <c r="B5" s="11" t="s">
        <v>48</v>
      </c>
      <c r="C5" s="11" t="s">
        <v>9</v>
      </c>
      <c r="D5" s="44" t="s">
        <v>49</v>
      </c>
      <c r="E5" s="44" t="s">
        <v>87</v>
      </c>
      <c r="F5" s="44" t="s">
        <v>50</v>
      </c>
      <c r="G5" s="44" t="s">
        <v>51</v>
      </c>
      <c r="H5" s="44" t="s">
        <v>52</v>
      </c>
      <c r="I5" s="44" t="s">
        <v>53</v>
      </c>
      <c r="J5" s="44" t="s">
        <v>54</v>
      </c>
      <c r="K5" s="44" t="s">
        <v>55</v>
      </c>
      <c r="L5" s="44" t="s">
        <v>56</v>
      </c>
      <c r="M5" s="44" t="s">
        <v>57</v>
      </c>
      <c r="N5" s="44" t="s">
        <v>58</v>
      </c>
      <c r="O5" s="44" t="s">
        <v>59</v>
      </c>
      <c r="P5" s="44" t="s">
        <v>60</v>
      </c>
      <c r="Q5" s="44" t="s">
        <v>61</v>
      </c>
      <c r="R5" s="44" t="s">
        <v>13</v>
      </c>
      <c r="S5" s="44" t="s">
        <v>6</v>
      </c>
      <c r="T5" s="133" t="s">
        <v>62</v>
      </c>
      <c r="U5" s="133" t="s">
        <v>63</v>
      </c>
      <c r="V5" s="12" t="s">
        <v>64</v>
      </c>
    </row>
    <row r="6" spans="1:22" x14ac:dyDescent="0.25">
      <c r="A6" s="45" t="s">
        <v>97</v>
      </c>
      <c r="B6" s="46" t="s">
        <v>98</v>
      </c>
      <c r="C6" s="200" t="s">
        <v>32</v>
      </c>
      <c r="D6" s="139"/>
      <c r="E6" s="140"/>
      <c r="F6" s="60" t="e">
        <f>V9</f>
        <v>#DIV/0!</v>
      </c>
      <c r="G6" s="152"/>
      <c r="H6" s="153"/>
      <c r="I6" s="152"/>
      <c r="J6" s="154"/>
      <c r="K6" s="154"/>
      <c r="L6" s="50">
        <f>M6*N6/1000</f>
        <v>0</v>
      </c>
      <c r="M6" s="131"/>
      <c r="N6" s="132"/>
      <c r="O6" s="128"/>
      <c r="P6" s="62" t="e">
        <f>T9</f>
        <v>#DIV/0!</v>
      </c>
      <c r="Q6" s="62" t="e">
        <f>U9</f>
        <v>#DIV/0!</v>
      </c>
      <c r="R6" s="41" t="s">
        <v>99</v>
      </c>
      <c r="S6" s="91" t="s">
        <v>29</v>
      </c>
      <c r="T6" s="148"/>
      <c r="U6" s="148"/>
      <c r="V6" s="149"/>
    </row>
    <row r="7" spans="1:22" x14ac:dyDescent="0.25">
      <c r="A7" s="35"/>
      <c r="B7" s="32"/>
      <c r="C7" s="201"/>
      <c r="D7" s="17"/>
      <c r="E7" s="18"/>
      <c r="F7" s="60" t="e">
        <f>V9</f>
        <v>#DIV/0!</v>
      </c>
      <c r="G7" s="130"/>
      <c r="H7" s="127"/>
      <c r="I7" s="130"/>
      <c r="J7" s="129"/>
      <c r="K7" s="129"/>
      <c r="L7" s="50">
        <f>M7*N7/1000</f>
        <v>0</v>
      </c>
      <c r="M7" s="132"/>
      <c r="N7" s="132"/>
      <c r="O7" s="128"/>
      <c r="P7" s="62" t="e">
        <f>T9</f>
        <v>#DIV/0!</v>
      </c>
      <c r="Q7" s="62" t="e">
        <f>U9</f>
        <v>#DIV/0!</v>
      </c>
      <c r="R7" s="21"/>
      <c r="S7" s="92"/>
      <c r="T7" s="148"/>
      <c r="U7" s="148"/>
      <c r="V7" s="150"/>
    </row>
    <row r="8" spans="1:22" x14ac:dyDescent="0.25">
      <c r="A8" s="35"/>
      <c r="B8" s="32"/>
      <c r="C8" s="201"/>
      <c r="D8" s="17"/>
      <c r="E8" s="18"/>
      <c r="F8" s="60" t="e">
        <f>V9</f>
        <v>#DIV/0!</v>
      </c>
      <c r="G8" s="130"/>
      <c r="H8" s="127"/>
      <c r="I8" s="130"/>
      <c r="J8" s="129"/>
      <c r="K8" s="129"/>
      <c r="L8" s="50">
        <f>M8*N8/1000</f>
        <v>0</v>
      </c>
      <c r="M8" s="132"/>
      <c r="N8" s="132"/>
      <c r="O8" s="128"/>
      <c r="P8" s="62" t="e">
        <f>T9</f>
        <v>#DIV/0!</v>
      </c>
      <c r="Q8" s="62" t="e">
        <f>U9</f>
        <v>#DIV/0!</v>
      </c>
      <c r="R8" s="21"/>
      <c r="S8" s="92"/>
      <c r="T8" s="148"/>
      <c r="U8" s="148"/>
      <c r="V8" s="150"/>
    </row>
    <row r="9" spans="1:22" x14ac:dyDescent="0.25">
      <c r="A9" s="35"/>
      <c r="B9" s="32"/>
      <c r="C9" s="201"/>
      <c r="D9" s="93"/>
      <c r="E9" s="93"/>
      <c r="F9" s="60" t="e">
        <f>V9</f>
        <v>#DIV/0!</v>
      </c>
      <c r="G9" s="130"/>
      <c r="H9" s="127"/>
      <c r="I9" s="130"/>
      <c r="J9" s="129"/>
      <c r="K9" s="129"/>
      <c r="L9" s="50">
        <f t="shared" ref="L9:L14" si="0">M9*N9/1000</f>
        <v>0</v>
      </c>
      <c r="M9" s="132"/>
      <c r="N9" s="132"/>
      <c r="O9" s="128"/>
      <c r="P9" s="62" t="e">
        <f>T9</f>
        <v>#DIV/0!</v>
      </c>
      <c r="Q9" s="62" t="e">
        <f>U9</f>
        <v>#DIV/0!</v>
      </c>
      <c r="R9" s="93"/>
      <c r="S9" s="93"/>
      <c r="T9" s="62" t="e">
        <f>AVERAGE(T6:T8)</f>
        <v>#DIV/0!</v>
      </c>
      <c r="U9" s="62" t="e">
        <f>AVERAGE(U6:U8)</f>
        <v>#DIV/0!</v>
      </c>
      <c r="V9" s="99" t="e">
        <f>AVERAGE(V6:V8)</f>
        <v>#DIV/0!</v>
      </c>
    </row>
    <row r="10" spans="1:22" ht="15" customHeight="1" x14ac:dyDescent="0.25">
      <c r="A10" s="93"/>
      <c r="B10" s="93"/>
      <c r="C10" s="201"/>
      <c r="D10" s="93"/>
      <c r="E10" s="93"/>
      <c r="F10" s="60" t="e">
        <f>V9</f>
        <v>#DIV/0!</v>
      </c>
      <c r="G10" s="130"/>
      <c r="H10" s="127"/>
      <c r="I10" s="130"/>
      <c r="J10" s="129"/>
      <c r="K10" s="129"/>
      <c r="L10" s="50">
        <f t="shared" si="0"/>
        <v>0</v>
      </c>
      <c r="M10" s="132"/>
      <c r="N10" s="132"/>
      <c r="O10" s="128"/>
      <c r="P10" s="62" t="e">
        <f>T9</f>
        <v>#DIV/0!</v>
      </c>
      <c r="Q10" s="62" t="e">
        <f>U9</f>
        <v>#DIV/0!</v>
      </c>
      <c r="R10" s="93"/>
      <c r="S10" s="93"/>
      <c r="T10" s="209" t="s">
        <v>33</v>
      </c>
      <c r="U10" s="209" t="s">
        <v>34</v>
      </c>
      <c r="V10" s="208" t="s">
        <v>38</v>
      </c>
    </row>
    <row r="11" spans="1:22" x14ac:dyDescent="0.25">
      <c r="A11" s="93"/>
      <c r="B11" s="93"/>
      <c r="C11" s="201"/>
      <c r="D11" s="93"/>
      <c r="E11" s="93"/>
      <c r="F11" s="60" t="e">
        <f>V9</f>
        <v>#DIV/0!</v>
      </c>
      <c r="G11" s="130"/>
      <c r="H11" s="127"/>
      <c r="I11" s="130"/>
      <c r="J11" s="129"/>
      <c r="K11" s="129"/>
      <c r="L11" s="50">
        <f t="shared" si="0"/>
        <v>0</v>
      </c>
      <c r="M11" s="132"/>
      <c r="N11" s="132"/>
      <c r="O11" s="128"/>
      <c r="P11" s="62" t="e">
        <f>T9</f>
        <v>#DIV/0!</v>
      </c>
      <c r="Q11" s="62" t="e">
        <f>U9</f>
        <v>#DIV/0!</v>
      </c>
      <c r="R11" s="93"/>
      <c r="S11" s="93"/>
      <c r="T11" s="210"/>
      <c r="U11" s="210"/>
      <c r="V11" s="208"/>
    </row>
    <row r="12" spans="1:22" x14ac:dyDescent="0.25">
      <c r="A12" s="93"/>
      <c r="B12" s="93"/>
      <c r="C12" s="201"/>
      <c r="D12" s="93"/>
      <c r="E12" s="93"/>
      <c r="F12" s="60" t="e">
        <f>V9</f>
        <v>#DIV/0!</v>
      </c>
      <c r="G12" s="130"/>
      <c r="H12" s="127"/>
      <c r="I12" s="130"/>
      <c r="J12" s="129"/>
      <c r="K12" s="129"/>
      <c r="L12" s="50">
        <f t="shared" si="0"/>
        <v>0</v>
      </c>
      <c r="M12" s="132"/>
      <c r="N12" s="132"/>
      <c r="O12" s="128"/>
      <c r="P12" s="62" t="e">
        <f>T9</f>
        <v>#DIV/0!</v>
      </c>
      <c r="Q12" s="62" t="e">
        <f>U9</f>
        <v>#DIV/0!</v>
      </c>
      <c r="R12" s="93"/>
      <c r="S12" s="93"/>
      <c r="T12" s="211"/>
      <c r="U12" s="211"/>
      <c r="V12" s="208"/>
    </row>
    <row r="13" spans="1:22" x14ac:dyDescent="0.25">
      <c r="A13" s="93"/>
      <c r="B13" s="93"/>
      <c r="C13" s="201"/>
      <c r="D13" s="93"/>
      <c r="E13" s="93"/>
      <c r="F13" s="60" t="e">
        <f>V9</f>
        <v>#DIV/0!</v>
      </c>
      <c r="G13" s="130"/>
      <c r="H13" s="127"/>
      <c r="I13" s="130"/>
      <c r="J13" s="129"/>
      <c r="K13" s="129"/>
      <c r="L13" s="50">
        <f t="shared" si="0"/>
        <v>0</v>
      </c>
      <c r="M13" s="132"/>
      <c r="N13" s="132"/>
      <c r="O13" s="128"/>
      <c r="P13" s="62" t="e">
        <f>T9</f>
        <v>#DIV/0!</v>
      </c>
      <c r="Q13" s="62" t="e">
        <f>U9</f>
        <v>#DIV/0!</v>
      </c>
      <c r="R13" s="93"/>
      <c r="S13" s="93"/>
    </row>
    <row r="14" spans="1:22" x14ac:dyDescent="0.25">
      <c r="A14" s="94"/>
      <c r="B14" s="94"/>
      <c r="C14" s="202"/>
      <c r="D14" s="94"/>
      <c r="E14" s="94"/>
      <c r="F14" s="60" t="e">
        <f>V9</f>
        <v>#DIV/0!</v>
      </c>
      <c r="G14" s="130"/>
      <c r="H14" s="127"/>
      <c r="I14" s="130"/>
      <c r="J14" s="129"/>
      <c r="K14" s="129"/>
      <c r="L14" s="61">
        <f t="shared" si="0"/>
        <v>0</v>
      </c>
      <c r="M14" s="132"/>
      <c r="N14" s="132"/>
      <c r="O14" s="128"/>
      <c r="P14" s="62" t="e">
        <f>T9</f>
        <v>#DIV/0!</v>
      </c>
      <c r="Q14" s="62" t="e">
        <f>U9</f>
        <v>#DIV/0!</v>
      </c>
      <c r="R14" s="94"/>
      <c r="S14" s="94"/>
    </row>
    <row r="15" spans="1:22" ht="21.75" customHeight="1" x14ac:dyDescent="0.25">
      <c r="L15" s="95">
        <f>SUM(L6:L14)</f>
        <v>0</v>
      </c>
      <c r="M15" s="126">
        <f>SUM(M6:M14)</f>
        <v>0</v>
      </c>
    </row>
    <row r="16" spans="1:22" ht="44.25" customHeight="1" x14ac:dyDescent="0.3">
      <c r="L16" s="117" t="s">
        <v>65</v>
      </c>
      <c r="M16" s="134" t="s">
        <v>95</v>
      </c>
      <c r="N16" s="14"/>
      <c r="O16" s="14"/>
      <c r="P16" s="14"/>
      <c r="Q16" s="14"/>
    </row>
    <row r="17" spans="1:13" x14ac:dyDescent="0.25">
      <c r="A17" s="87" t="s">
        <v>14</v>
      </c>
    </row>
    <row r="20" spans="1:13" x14ac:dyDescent="0.25">
      <c r="A20" s="87" t="s">
        <v>107</v>
      </c>
    </row>
    <row r="21" spans="1:13" x14ac:dyDescent="0.25">
      <c r="A21" s="87" t="s">
        <v>108</v>
      </c>
    </row>
    <row r="22" spans="1:13" x14ac:dyDescent="0.25">
      <c r="A22" s="87" t="s">
        <v>109</v>
      </c>
    </row>
    <row r="23" spans="1:13" x14ac:dyDescent="0.25">
      <c r="A23" s="87" t="s">
        <v>110</v>
      </c>
    </row>
    <row r="24" spans="1:13" x14ac:dyDescent="0.25">
      <c r="A24" s="87" t="s">
        <v>111</v>
      </c>
      <c r="J24" s="119"/>
    </row>
    <row r="25" spans="1:13" ht="15" customHeight="1" x14ac:dyDescent="0.25">
      <c r="A25" s="87" t="s">
        <v>112</v>
      </c>
      <c r="M25" s="184"/>
    </row>
    <row r="26" spans="1:13" x14ac:dyDescent="0.25">
      <c r="A26" s="87" t="s">
        <v>113</v>
      </c>
    </row>
    <row r="28" spans="1:13" x14ac:dyDescent="0.3">
      <c r="A28" s="87" t="s">
        <v>114</v>
      </c>
      <c r="F28" s="207">
        <v>46024</v>
      </c>
      <c r="G28" s="207"/>
      <c r="H28" s="37" t="s">
        <v>121</v>
      </c>
    </row>
    <row r="29" spans="1:13" x14ac:dyDescent="0.25">
      <c r="F29" s="206" t="s">
        <v>116</v>
      </c>
      <c r="G29" s="206"/>
      <c r="H29" s="87" t="s">
        <v>117</v>
      </c>
    </row>
    <row r="30" spans="1:13" x14ac:dyDescent="0.25">
      <c r="A30" s="87" t="s">
        <v>118</v>
      </c>
    </row>
    <row r="31" spans="1:13" x14ac:dyDescent="0.25">
      <c r="H31" s="205">
        <v>46024</v>
      </c>
      <c r="I31" s="205"/>
      <c r="J31" s="87" t="s">
        <v>115</v>
      </c>
    </row>
    <row r="32" spans="1:13" x14ac:dyDescent="0.25">
      <c r="H32" s="206" t="s">
        <v>119</v>
      </c>
      <c r="I32" s="206"/>
      <c r="J32" s="87" t="s">
        <v>117</v>
      </c>
    </row>
    <row r="34" spans="13:13" x14ac:dyDescent="0.25">
      <c r="M34" s="87" t="s">
        <v>120</v>
      </c>
    </row>
    <row r="95" spans="1:2" x14ac:dyDescent="0.25">
      <c r="A95" s="96"/>
      <c r="B95" s="96"/>
    </row>
    <row r="96" spans="1:2" x14ac:dyDescent="0.25">
      <c r="A96" s="96"/>
      <c r="B96" s="96"/>
    </row>
    <row r="97" spans="1:2" x14ac:dyDescent="0.25">
      <c r="A97" s="96"/>
      <c r="B97" s="96"/>
    </row>
    <row r="98" spans="1:2" x14ac:dyDescent="0.25">
      <c r="A98" s="96"/>
      <c r="B98" s="96"/>
    </row>
  </sheetData>
  <sheetProtection formatCells="0" formatColumns="0" formatRows="0"/>
  <mergeCells count="10">
    <mergeCell ref="V10:V12"/>
    <mergeCell ref="T10:T12"/>
    <mergeCell ref="U10:U12"/>
    <mergeCell ref="C1:D1"/>
    <mergeCell ref="A2:S2"/>
    <mergeCell ref="C6:C14"/>
    <mergeCell ref="H31:I31"/>
    <mergeCell ref="H32:I32"/>
    <mergeCell ref="F28:G28"/>
    <mergeCell ref="F29:G29"/>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92"/>
  <sheetViews>
    <sheetView zoomScale="80" zoomScaleNormal="80" workbookViewId="0">
      <pane ySplit="5" topLeftCell="A6" activePane="bottomLeft" state="frozen"/>
      <selection pane="bottomLeft" activeCell="C2" sqref="C2:M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7265625" style="14" customWidth="1"/>
    <col min="7" max="7" width="13.54296875" style="14" customWidth="1"/>
    <col min="8" max="8" width="11.81640625" style="14" customWidth="1"/>
    <col min="9" max="9" width="12.1796875" style="14" customWidth="1" outlineLevel="1"/>
    <col min="10" max="10" width="10" style="14" customWidth="1" outlineLevel="1"/>
    <col min="11" max="12" width="10.26953125" style="14" customWidth="1"/>
    <col min="13" max="13" width="17" style="14" customWidth="1"/>
    <col min="14" max="14" width="12" style="14" customWidth="1"/>
    <col min="15" max="16384" width="9.1796875" style="14"/>
  </cols>
  <sheetData>
    <row r="1" spans="1:17" ht="30.75" customHeight="1" x14ac:dyDescent="0.3">
      <c r="C1" s="203" t="s">
        <v>19</v>
      </c>
      <c r="D1" s="203"/>
      <c r="Q1" s="16"/>
    </row>
    <row r="2" spans="1:17" ht="19.5" customHeight="1" x14ac:dyDescent="0.3">
      <c r="C2" s="212" t="s">
        <v>104</v>
      </c>
      <c r="D2" s="212"/>
      <c r="E2" s="212"/>
      <c r="F2" s="212"/>
      <c r="G2" s="212"/>
      <c r="H2" s="212"/>
      <c r="I2" s="212"/>
      <c r="J2" s="212"/>
      <c r="K2" s="212"/>
      <c r="L2" s="212"/>
      <c r="M2" s="212"/>
      <c r="Q2" s="16"/>
    </row>
    <row r="3" spans="1:17" ht="12" customHeight="1" x14ac:dyDescent="0.3">
      <c r="C3" s="22"/>
      <c r="H3" s="23"/>
      <c r="Q3" s="16"/>
    </row>
    <row r="4" spans="1:17" ht="8.25" customHeight="1" x14ac:dyDescent="0.3"/>
    <row r="5" spans="1:17" ht="126.75" customHeight="1" x14ac:dyDescent="0.3">
      <c r="A5" s="97" t="s">
        <v>8</v>
      </c>
      <c r="B5" s="97" t="s">
        <v>66</v>
      </c>
      <c r="C5" s="97" t="s">
        <v>9</v>
      </c>
      <c r="D5" s="12" t="s">
        <v>67</v>
      </c>
      <c r="E5" s="12" t="s">
        <v>68</v>
      </c>
      <c r="F5" s="12" t="s">
        <v>69</v>
      </c>
      <c r="G5" s="12" t="s">
        <v>77</v>
      </c>
      <c r="H5" s="12" t="s">
        <v>78</v>
      </c>
      <c r="I5" s="12" t="s">
        <v>79</v>
      </c>
      <c r="J5" s="12" t="s">
        <v>80</v>
      </c>
      <c r="K5" s="12" t="s">
        <v>16</v>
      </c>
      <c r="L5" s="12" t="s">
        <v>17</v>
      </c>
      <c r="M5" s="12" t="s">
        <v>12</v>
      </c>
      <c r="N5" s="47" t="s">
        <v>6</v>
      </c>
    </row>
    <row r="6" spans="1:17" ht="15" customHeight="1" x14ac:dyDescent="0.3">
      <c r="A6" s="156" t="str">
        <f>Paėmimas!A6</f>
        <v>X</v>
      </c>
      <c r="B6" s="155" t="str">
        <f>Paėmimas!B6</f>
        <v>XX</v>
      </c>
      <c r="C6" s="213" t="str">
        <f>Paėmimas!C6</f>
        <v>UAB ,,XXX". Taršos šaltinis Nr. 001.</v>
      </c>
      <c r="D6" s="50">
        <f>Paėmimas!L6</f>
        <v>0</v>
      </c>
      <c r="E6" s="63">
        <f>D6*(273/(273+Paėmimas!O6)*(Paėmimas!H6-Paėmimas!J6)/1013)</f>
        <v>0</v>
      </c>
      <c r="F6" s="65">
        <f>SUM(E6:E14)</f>
        <v>0</v>
      </c>
      <c r="G6" s="62" t="e">
        <f>((Paėmimas!Q6/100)*1.965)+((Paėmimas!P6/100)*1.429)+((1-(Paėmimas!Q6/100)-(Paėmimas!P6/100))*1.251)</f>
        <v>#DIV/0!</v>
      </c>
      <c r="H6" s="50" t="e">
        <f>H2O!K7</f>
        <v>#DIV/0!</v>
      </c>
      <c r="I6" s="50" t="e">
        <f>(E6/(1-(H6/1000))*((273+Paėmimas!F6)/273)*(1013/(Paėmimas!H6+Paėmimas!I6)))</f>
        <v>#DIV/0!</v>
      </c>
      <c r="J6" s="50" t="e">
        <f>(I6/(Paėmimas!M6*60)/((3.142*((Paėmimas!K6/1000)*(Paėmimas!K6/1000))/4)))</f>
        <v>#DIV/0!</v>
      </c>
      <c r="K6" s="62" t="e">
        <f>J6/Paėmimas!G6</f>
        <v>#DIV/0!</v>
      </c>
      <c r="L6" s="68" t="e">
        <f>AVERAGE(K6:K14)</f>
        <v>#DIV/0!</v>
      </c>
      <c r="M6" s="157" t="str">
        <f>Paėmimas!R6</f>
        <v>XXXX</v>
      </c>
      <c r="N6" s="158" t="str">
        <f>Paėmimas!S6</f>
        <v>1 filtras</v>
      </c>
    </row>
    <row r="7" spans="1:17" ht="15" customHeight="1" x14ac:dyDescent="0.3">
      <c r="A7" s="51"/>
      <c r="B7" s="21"/>
      <c r="C7" s="214"/>
      <c r="D7" s="50">
        <f>Paėmimas!L7</f>
        <v>0</v>
      </c>
      <c r="E7" s="63">
        <f>D7*(273/(273+Paėmimas!O7)*(Paėmimas!H7-Paėmimas!J7)/1013)</f>
        <v>0</v>
      </c>
      <c r="F7" s="52"/>
      <c r="G7" s="62" t="e">
        <f>((Paėmimas!Q7/100)*1.965)+((Paėmimas!P7/100)*1.429)+((1-(Paėmimas!Q7/100)-(Paėmimas!P7/100))*1.251)</f>
        <v>#DIV/0!</v>
      </c>
      <c r="H7" s="50" t="e">
        <f>H2O!K7</f>
        <v>#DIV/0!</v>
      </c>
      <c r="I7" s="50" t="e">
        <f>(E7/(1-(H7/1000))*((273+Paėmimas!F7)/273)*(1013/(Paėmimas!H7+Paėmimas!I7)))</f>
        <v>#DIV/0!</v>
      </c>
      <c r="J7" s="50" t="e">
        <f>(I7/(Paėmimas!M7*60)/((3.142*((Paėmimas!K7/1000)*(Paėmimas!K7/1000))/4)))</f>
        <v>#DIV/0!</v>
      </c>
      <c r="K7" s="62" t="e">
        <f>J7/Paėmimas!G7</f>
        <v>#DIV/0!</v>
      </c>
      <c r="L7" s="17"/>
      <c r="M7" s="52"/>
      <c r="N7" s="32"/>
    </row>
    <row r="8" spans="1:17" ht="15" customHeight="1" x14ac:dyDescent="0.3">
      <c r="A8" s="51"/>
      <c r="B8" s="21"/>
      <c r="C8" s="214"/>
      <c r="D8" s="50">
        <f>Paėmimas!L8</f>
        <v>0</v>
      </c>
      <c r="E8" s="63">
        <f>D8*(273/(273+Paėmimas!O8)*(Paėmimas!H8-Paėmimas!J8)/1013)</f>
        <v>0</v>
      </c>
      <c r="F8" s="52"/>
      <c r="G8" s="62" t="e">
        <f>((Paėmimas!Q8/100)*1.965)+((Paėmimas!P8/100)*1.429)+((1-(Paėmimas!Q8/100)-(Paėmimas!P8/100))*1.251)</f>
        <v>#DIV/0!</v>
      </c>
      <c r="H8" s="50" t="e">
        <f>H2O!K7</f>
        <v>#DIV/0!</v>
      </c>
      <c r="I8" s="50" t="e">
        <f>(E8/(1-(H8/1000))*((273+Paėmimas!F8)/273)*(1013/(Paėmimas!H8+Paėmimas!I8)))</f>
        <v>#DIV/0!</v>
      </c>
      <c r="J8" s="50" t="e">
        <f>(I8/(Paėmimas!M8*60)/((3.142*((Paėmimas!K8/1000)*(Paėmimas!K8/1000))/4)))</f>
        <v>#DIV/0!</v>
      </c>
      <c r="K8" s="62" t="e">
        <f>J8/Paėmimas!G8</f>
        <v>#DIV/0!</v>
      </c>
      <c r="L8" s="17"/>
      <c r="M8" s="52"/>
      <c r="N8" s="32"/>
    </row>
    <row r="9" spans="1:17" ht="15" customHeight="1" x14ac:dyDescent="0.3">
      <c r="A9" s="51"/>
      <c r="B9" s="21"/>
      <c r="C9" s="214"/>
      <c r="D9" s="50">
        <f>Paėmimas!L9</f>
        <v>0</v>
      </c>
      <c r="E9" s="63">
        <f>D9*(273/(273+Paėmimas!O9)*(Paėmimas!H9-Paėmimas!J9)/1013)</f>
        <v>0</v>
      </c>
      <c r="F9" s="52"/>
      <c r="G9" s="62" t="e">
        <f>((Paėmimas!Q9/100)*1.965)+((Paėmimas!P9/100)*1.429)+((1-(Paėmimas!Q9/100)-(Paėmimas!P9/100))*1.251)</f>
        <v>#DIV/0!</v>
      </c>
      <c r="H9" s="50" t="e">
        <f>H2O!K7</f>
        <v>#DIV/0!</v>
      </c>
      <c r="I9" s="50" t="e">
        <f>(E9/(1-(H9/1000))*((273+Paėmimas!F9)/273)*(1013/(Paėmimas!H9+Paėmimas!I9)))</f>
        <v>#DIV/0!</v>
      </c>
      <c r="J9" s="50" t="e">
        <f>(I9/(Paėmimas!M9*60)/((3.142*((Paėmimas!K9/1000)*(Paėmimas!K9/1000))/4)))</f>
        <v>#DIV/0!</v>
      </c>
      <c r="K9" s="62" t="e">
        <f>J9/Paėmimas!G9</f>
        <v>#DIV/0!</v>
      </c>
      <c r="L9" s="17"/>
      <c r="M9" s="52"/>
      <c r="N9" s="32"/>
    </row>
    <row r="10" spans="1:17" ht="15" customHeight="1" x14ac:dyDescent="0.3">
      <c r="A10" s="51"/>
      <c r="B10" s="21"/>
      <c r="C10" s="214"/>
      <c r="D10" s="50">
        <f>Paėmimas!L10</f>
        <v>0</v>
      </c>
      <c r="E10" s="63">
        <f>D10*(273/(273+Paėmimas!O10)*(Paėmimas!H10-Paėmimas!J10)/1013)</f>
        <v>0</v>
      </c>
      <c r="F10" s="52"/>
      <c r="G10" s="62" t="e">
        <f>((Paėmimas!Q10/100)*1.965)+((Paėmimas!P10/100)*1.429)+((1-(Paėmimas!Q10/100)-(Paėmimas!P10/100))*1.251)</f>
        <v>#DIV/0!</v>
      </c>
      <c r="H10" s="50" t="e">
        <f>H2O!K7</f>
        <v>#DIV/0!</v>
      </c>
      <c r="I10" s="50" t="e">
        <f>(E10/(1-(H10/1000))*((273+Paėmimas!F10)/273)*(1013/(Paėmimas!H10+Paėmimas!I10)))</f>
        <v>#DIV/0!</v>
      </c>
      <c r="J10" s="50" t="e">
        <f>(I10/(Paėmimas!M10*60)/((3.142*((Paėmimas!K10/1000)*(Paėmimas!K10/1000))/4)))</f>
        <v>#DIV/0!</v>
      </c>
      <c r="K10" s="62" t="e">
        <f>J10/Paėmimas!G10</f>
        <v>#DIV/0!</v>
      </c>
      <c r="L10" s="17"/>
      <c r="M10" s="52"/>
      <c r="N10" s="32"/>
    </row>
    <row r="11" spans="1:17" ht="15" customHeight="1" x14ac:dyDescent="0.3">
      <c r="A11" s="51"/>
      <c r="B11" s="21"/>
      <c r="C11" s="214"/>
      <c r="D11" s="50">
        <f>Paėmimas!L11</f>
        <v>0</v>
      </c>
      <c r="E11" s="63">
        <f>D11*(273/(273+Paėmimas!O11)*(Paėmimas!H11-Paėmimas!J11)/1013)</f>
        <v>0</v>
      </c>
      <c r="F11" s="52"/>
      <c r="G11" s="62" t="e">
        <f>((Paėmimas!Q11/100)*1.965)+((Paėmimas!P11/100)*1.429)+((1-(Paėmimas!Q11/100)-(Paėmimas!P11/100))*1.251)</f>
        <v>#DIV/0!</v>
      </c>
      <c r="H11" s="50" t="e">
        <f>H2O!K7</f>
        <v>#DIV/0!</v>
      </c>
      <c r="I11" s="50" t="e">
        <f>(E11/(1-(H11/1000))*((273+Paėmimas!F11)/273)*(1013/(Paėmimas!H11+Paėmimas!I11)))</f>
        <v>#DIV/0!</v>
      </c>
      <c r="J11" s="50" t="e">
        <f>(I11/(Paėmimas!M11*60)/((3.142*((Paėmimas!K11/1000)*(Paėmimas!K11/1000))/4)))</f>
        <v>#DIV/0!</v>
      </c>
      <c r="K11" s="62" t="e">
        <f>J11/Paėmimas!G11</f>
        <v>#DIV/0!</v>
      </c>
      <c r="L11" s="17"/>
      <c r="M11" s="52"/>
      <c r="N11" s="32"/>
    </row>
    <row r="12" spans="1:17" ht="15" customHeight="1" thickBot="1" x14ac:dyDescent="0.35">
      <c r="A12" s="51"/>
      <c r="B12" s="21"/>
      <c r="C12" s="214"/>
      <c r="D12" s="50">
        <f>Paėmimas!L12</f>
        <v>0</v>
      </c>
      <c r="E12" s="63">
        <f>D12*(273/(273+Paėmimas!O12)*(Paėmimas!H12-Paėmimas!J12)/1013)</f>
        <v>0</v>
      </c>
      <c r="F12" s="52"/>
      <c r="G12" s="62" t="e">
        <f>((Paėmimas!Q12/100)*1.965)+((Paėmimas!P12/100)*1.429)+((1-(Paėmimas!Q12/100)-(Paėmimas!P12/100))*1.251)</f>
        <v>#DIV/0!</v>
      </c>
      <c r="H12" s="50" t="e">
        <f>H2O!K7</f>
        <v>#DIV/0!</v>
      </c>
      <c r="I12" s="50" t="e">
        <f>(E12/(1-(H12/1000))*((273+Paėmimas!F12)/273)*(1013/(Paėmimas!H12+Paėmimas!I12)))</f>
        <v>#DIV/0!</v>
      </c>
      <c r="J12" s="50" t="e">
        <f>(I12/(Paėmimas!M12*60)/((3.142*((Paėmimas!K12/1000)*(Paėmimas!K12/1000))/4)))</f>
        <v>#DIV/0!</v>
      </c>
      <c r="K12" s="62" t="e">
        <f>J12/Paėmimas!G12</f>
        <v>#DIV/0!</v>
      </c>
      <c r="L12" s="17"/>
      <c r="M12" s="52"/>
      <c r="N12" s="32"/>
    </row>
    <row r="13" spans="1:17" ht="15" customHeight="1" x14ac:dyDescent="0.3">
      <c r="A13" s="51"/>
      <c r="B13" s="21"/>
      <c r="C13" s="214"/>
      <c r="D13" s="50">
        <f>Paėmimas!L13</f>
        <v>0</v>
      </c>
      <c r="E13" s="63">
        <f>D13*(273/(273+Paėmimas!O13)*(Paėmimas!H13-Paėmimas!J13)/1013)</f>
        <v>0</v>
      </c>
      <c r="F13" s="52"/>
      <c r="G13" s="62" t="e">
        <f>((Paėmimas!Q13/100)*1.965)+((Paėmimas!P13/100)*1.429)+((1-(Paėmimas!Q13/100)-(Paėmimas!P13/100))*1.251)</f>
        <v>#DIV/0!</v>
      </c>
      <c r="H13" s="50" t="e">
        <f>H2O!K7</f>
        <v>#DIV/0!</v>
      </c>
      <c r="I13" s="50" t="e">
        <f>(E13/(1-(H13/1000))*((273+Paėmimas!F13)/273)*(1013/(Paėmimas!H13+Paėmimas!I13)))</f>
        <v>#DIV/0!</v>
      </c>
      <c r="J13" s="50" t="e">
        <f>(I13/(Paėmimas!M13*60)/((3.142*((Paėmimas!K13/1000)*(Paėmimas!K13/1000))/4)))</f>
        <v>#DIV/0!</v>
      </c>
      <c r="K13" s="62" t="e">
        <f>J13/Paėmimas!G13</f>
        <v>#DIV/0!</v>
      </c>
      <c r="L13" s="17"/>
      <c r="M13" s="52"/>
      <c r="N13" s="32"/>
    </row>
    <row r="14" spans="1:17" ht="15" customHeight="1" x14ac:dyDescent="0.3">
      <c r="A14" s="53"/>
      <c r="B14" s="54"/>
      <c r="C14" s="215"/>
      <c r="D14" s="61">
        <f>Paėmimas!L14</f>
        <v>0</v>
      </c>
      <c r="E14" s="64">
        <f>D14*(273/(273+Paėmimas!O14)*(Paėmimas!H14-Paėmimas!J14)/1013)</f>
        <v>0</v>
      </c>
      <c r="F14" s="55"/>
      <c r="G14" s="66" t="e">
        <f>((Paėmimas!Q14/100)*1.965)+((Paėmimas!P14/100)*1.429)+((1-(Paėmimas!Q14/100)-(Paėmimas!P14/100))*1.251)</f>
        <v>#DIV/0!</v>
      </c>
      <c r="H14" s="50" t="e">
        <f>H2O!K7</f>
        <v>#DIV/0!</v>
      </c>
      <c r="I14" s="61" t="e">
        <f>(E14/(1-(H14/1000))*((273+Paėmimas!F14)/273)*(1013/(Paėmimas!H14+Paėmimas!I14)))</f>
        <v>#DIV/0!</v>
      </c>
      <c r="J14" s="50" t="e">
        <f>(I14/(Paėmimas!M14*60)/((3.142*((Paėmimas!K14/1000)*(Paėmimas!K14/1000))/4)))</f>
        <v>#DIV/0!</v>
      </c>
      <c r="K14" s="62" t="e">
        <f>J14/Paėmimas!G14</f>
        <v>#DIV/0!</v>
      </c>
      <c r="L14" s="56"/>
      <c r="M14" s="55"/>
      <c r="N14" s="20"/>
    </row>
    <row r="15" spans="1:17" x14ac:dyDescent="0.3">
      <c r="C15" s="69"/>
      <c r="D15" s="69"/>
      <c r="E15" s="69"/>
      <c r="F15" s="69"/>
      <c r="G15" s="67" t="e">
        <f>AVERAGE(G6:G14)</f>
        <v>#DIV/0!</v>
      </c>
      <c r="H15" s="69"/>
      <c r="I15" s="69"/>
      <c r="J15" s="69"/>
    </row>
    <row r="16" spans="1:17" ht="28" x14ac:dyDescent="0.3">
      <c r="C16" s="70"/>
      <c r="D16" s="70"/>
      <c r="E16" s="70"/>
      <c r="F16" s="70"/>
      <c r="G16" s="134" t="s">
        <v>28</v>
      </c>
      <c r="H16" s="70"/>
      <c r="I16" s="70"/>
      <c r="J16" s="70"/>
    </row>
    <row r="17" spans="1:10" x14ac:dyDescent="0.3">
      <c r="C17" s="70"/>
      <c r="D17" s="70"/>
      <c r="E17" s="70"/>
      <c r="F17" s="70"/>
      <c r="H17" s="70"/>
      <c r="I17" s="70"/>
      <c r="J17" s="70"/>
    </row>
    <row r="20" spans="1:10" x14ac:dyDescent="0.3">
      <c r="A20" s="14" t="s">
        <v>107</v>
      </c>
    </row>
    <row r="21" spans="1:10" x14ac:dyDescent="0.3">
      <c r="A21" s="14" t="s">
        <v>108</v>
      </c>
    </row>
    <row r="22" spans="1:10" x14ac:dyDescent="0.3">
      <c r="A22" s="14" t="s">
        <v>109</v>
      </c>
    </row>
    <row r="23" spans="1:10" x14ac:dyDescent="0.3">
      <c r="A23" s="14" t="s">
        <v>110</v>
      </c>
    </row>
    <row r="24" spans="1:10" x14ac:dyDescent="0.3">
      <c r="A24" s="14" t="s">
        <v>111</v>
      </c>
    </row>
    <row r="25" spans="1:10" x14ac:dyDescent="0.3">
      <c r="A25" s="14" t="s">
        <v>112</v>
      </c>
    </row>
    <row r="26" spans="1:10" x14ac:dyDescent="0.3">
      <c r="A26" s="14" t="s">
        <v>113</v>
      </c>
    </row>
    <row r="28" spans="1:10" x14ac:dyDescent="0.3">
      <c r="A28" s="14" t="s">
        <v>114</v>
      </c>
      <c r="F28" s="179">
        <v>46024</v>
      </c>
      <c r="H28" s="37" t="s">
        <v>121</v>
      </c>
    </row>
    <row r="29" spans="1:10" x14ac:dyDescent="0.3">
      <c r="F29" s="14" t="s">
        <v>116</v>
      </c>
      <c r="H29" s="14" t="s">
        <v>117</v>
      </c>
    </row>
    <row r="30" spans="1:10" x14ac:dyDescent="0.3">
      <c r="A30" s="14" t="s">
        <v>118</v>
      </c>
    </row>
    <row r="31" spans="1:10" x14ac:dyDescent="0.3">
      <c r="H31" s="179">
        <v>46024</v>
      </c>
      <c r="J31" s="14" t="s">
        <v>115</v>
      </c>
    </row>
    <row r="32" spans="1:10" x14ac:dyDescent="0.3">
      <c r="H32" s="14" t="s">
        <v>119</v>
      </c>
      <c r="J32" s="14" t="s">
        <v>117</v>
      </c>
    </row>
    <row r="34" spans="13:13" x14ac:dyDescent="0.3">
      <c r="M34" s="14" t="s">
        <v>120</v>
      </c>
    </row>
    <row r="291" spans="3:4" x14ac:dyDescent="0.3">
      <c r="C291" s="24"/>
      <c r="D291" s="14" t="s">
        <v>10</v>
      </c>
    </row>
    <row r="292" spans="3:4" x14ac:dyDescent="0.3">
      <c r="C292" s="25"/>
      <c r="D292" s="14" t="s">
        <v>11</v>
      </c>
    </row>
  </sheetData>
  <sheetProtection algorithmName="SHA-512" hashValue="j0S4fMs+ubkijdHQeGKEVuz7ah/Ns7FnXfsGzBxI07O+noMIt7NxP+vuN7f9NNzf16rOQ23TfmVxMVGRE/IriQ==" saltValue="jyOhYSSicq/hkE15nv/QEw==" spinCount="100000" sheet="1" formatCells="0" formatColumns="0" formatRows="0"/>
  <mergeCells count="3">
    <mergeCell ref="C2:M2"/>
    <mergeCell ref="C1:D1"/>
    <mergeCell ref="C6:C14"/>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34"/>
  <sheetViews>
    <sheetView zoomScale="80" zoomScaleNormal="80" workbookViewId="0">
      <selection activeCell="A2" sqref="A2:N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8" width="12" style="14" customWidth="1"/>
    <col min="9" max="9" width="10.26953125" style="14" customWidth="1"/>
    <col min="10" max="10" width="11.1796875" style="14" customWidth="1"/>
    <col min="11" max="11" width="14.26953125" style="14" customWidth="1"/>
    <col min="12" max="12" width="11.54296875" style="14" customWidth="1"/>
    <col min="13" max="13" width="10.81640625" style="14" customWidth="1"/>
    <col min="14" max="14" width="17.7265625" style="14" customWidth="1"/>
    <col min="15" max="15" width="9.81640625" style="14" customWidth="1"/>
    <col min="16" max="17" width="9.1796875" style="14"/>
    <col min="18" max="18" width="9.54296875" style="14" bestFit="1" customWidth="1"/>
    <col min="19" max="16384" width="9.1796875" style="14"/>
  </cols>
  <sheetData>
    <row r="1" spans="1:18" ht="27.75" customHeight="1" x14ac:dyDescent="0.3">
      <c r="C1" s="203" t="s">
        <v>20</v>
      </c>
      <c r="D1" s="203"/>
      <c r="R1" s="16"/>
    </row>
    <row r="2" spans="1:18" x14ac:dyDescent="0.3">
      <c r="A2" s="218" t="s">
        <v>102</v>
      </c>
      <c r="B2" s="218"/>
      <c r="C2" s="218"/>
      <c r="D2" s="218"/>
      <c r="E2" s="218"/>
      <c r="F2" s="218"/>
      <c r="G2" s="218"/>
      <c r="H2" s="218"/>
      <c r="I2" s="218"/>
      <c r="J2" s="218"/>
      <c r="K2" s="218"/>
      <c r="L2" s="218"/>
      <c r="M2" s="218"/>
      <c r="N2" s="218"/>
      <c r="O2" s="147"/>
    </row>
    <row r="3" spans="1:18" x14ac:dyDescent="0.3">
      <c r="F3" s="27"/>
      <c r="L3" s="16"/>
      <c r="M3" s="16"/>
    </row>
    <row r="4" spans="1:18" ht="12.75" customHeight="1" x14ac:dyDescent="0.3">
      <c r="L4" s="16"/>
      <c r="M4" s="16"/>
    </row>
    <row r="5" spans="1:18" ht="88.5" customHeight="1" x14ac:dyDescent="0.3">
      <c r="A5" s="97" t="s">
        <v>8</v>
      </c>
      <c r="B5" s="97" t="s">
        <v>48</v>
      </c>
      <c r="C5" s="12" t="s">
        <v>9</v>
      </c>
      <c r="D5" s="12" t="s">
        <v>7</v>
      </c>
      <c r="E5" s="118" t="s">
        <v>70</v>
      </c>
      <c r="F5" s="118" t="s">
        <v>71</v>
      </c>
      <c r="G5" s="118" t="s">
        <v>72</v>
      </c>
      <c r="H5" s="118" t="s">
        <v>73</v>
      </c>
      <c r="I5" s="118" t="s">
        <v>74</v>
      </c>
      <c r="J5" s="118" t="s">
        <v>75</v>
      </c>
      <c r="K5" s="118" t="s">
        <v>76</v>
      </c>
      <c r="L5" s="185" t="s">
        <v>123</v>
      </c>
      <c r="M5" s="186" t="s">
        <v>124</v>
      </c>
      <c r="N5" s="12" t="s">
        <v>12</v>
      </c>
      <c r="O5" s="12" t="s">
        <v>125</v>
      </c>
      <c r="P5" s="47" t="s">
        <v>6</v>
      </c>
    </row>
    <row r="6" spans="1:18" ht="22.5" customHeight="1" x14ac:dyDescent="0.3">
      <c r="A6" s="193" t="str">
        <f>Paėmimas!A6</f>
        <v>X</v>
      </c>
      <c r="B6" s="163" t="str">
        <f>Svėrimas!A6</f>
        <v>XXXXX</v>
      </c>
      <c r="C6" s="216" t="str">
        <f>Paėmimas!C6</f>
        <v>UAB ,,XXX". Taršos šaltinis Nr. 001.</v>
      </c>
      <c r="D6" s="176">
        <f>Svėrimas!C6</f>
        <v>5</v>
      </c>
      <c r="E6" s="142">
        <f>Svėrimas!G6</f>
        <v>0</v>
      </c>
      <c r="F6" s="144">
        <f>Svėrimas!L6</f>
        <v>0</v>
      </c>
      <c r="G6" s="144">
        <f>Svėrimas!M9</f>
        <v>0</v>
      </c>
      <c r="H6" s="144">
        <f>Svėrimas!M11/O6</f>
        <v>0</v>
      </c>
      <c r="I6" s="57">
        <f>Svėrimas!M16</f>
        <v>0</v>
      </c>
      <c r="J6" s="145">
        <f>'Aerodinamika '!F6</f>
        <v>0</v>
      </c>
      <c r="K6" s="98" t="e">
        <f>((F6-E6-G6+H6+I6)/J6)*1000</f>
        <v>#DIV/0!</v>
      </c>
      <c r="L6" s="101" t="e">
        <f>G6/((Paėmimas!L15)/O6)*1000</f>
        <v>#DIV/0!</v>
      </c>
      <c r="M6" s="102" t="e">
        <f>((F6-E6)+H6)/G6</f>
        <v>#DIV/0!</v>
      </c>
      <c r="N6" s="160" t="str">
        <f>Svėrimas!N6</f>
        <v>XXXXXXX</v>
      </c>
      <c r="O6" s="46">
        <v>1</v>
      </c>
      <c r="P6" s="159" t="str">
        <f>Paėmimas!S6</f>
        <v>1 filtras</v>
      </c>
    </row>
    <row r="7" spans="1:18" ht="19.5" customHeight="1" x14ac:dyDescent="0.3">
      <c r="A7" s="161"/>
      <c r="B7" s="163"/>
      <c r="C7" s="216"/>
      <c r="D7" s="177"/>
      <c r="E7" s="142"/>
      <c r="F7" s="57"/>
      <c r="G7" s="144"/>
      <c r="H7" s="144"/>
      <c r="I7" s="57"/>
      <c r="J7" s="57"/>
      <c r="K7" s="60"/>
      <c r="L7" s="191"/>
      <c r="M7" s="187"/>
      <c r="N7" s="188"/>
      <c r="O7" s="188"/>
      <c r="P7" s="19"/>
    </row>
    <row r="8" spans="1:18" ht="22.5" customHeight="1" x14ac:dyDescent="0.3">
      <c r="A8" s="162"/>
      <c r="B8" s="159"/>
      <c r="C8" s="217"/>
      <c r="D8" s="177"/>
      <c r="E8" s="142"/>
      <c r="F8" s="57"/>
      <c r="G8" s="57"/>
      <c r="H8" s="57"/>
      <c r="I8" s="57"/>
      <c r="J8" s="57"/>
      <c r="K8" s="60"/>
      <c r="L8" s="192"/>
      <c r="M8" s="100"/>
      <c r="N8" s="189"/>
      <c r="O8" s="190"/>
      <c r="P8" s="19"/>
    </row>
    <row r="17" spans="1:18" x14ac:dyDescent="0.3">
      <c r="A17" s="146"/>
      <c r="B17" s="146"/>
      <c r="C17" s="146"/>
      <c r="D17" s="146"/>
      <c r="E17" s="146"/>
      <c r="F17" s="146"/>
      <c r="G17" s="146"/>
      <c r="H17" s="146"/>
      <c r="I17" s="146"/>
      <c r="J17" s="146"/>
      <c r="K17" s="146"/>
      <c r="L17" s="146"/>
      <c r="M17" s="146"/>
      <c r="N17" s="146"/>
      <c r="O17" s="146"/>
      <c r="P17" s="146"/>
      <c r="Q17" s="146"/>
      <c r="R17" s="146"/>
    </row>
    <row r="18" spans="1:18" x14ac:dyDescent="0.3">
      <c r="A18" s="146"/>
      <c r="B18" s="146"/>
      <c r="C18" s="146"/>
      <c r="D18" s="146"/>
      <c r="E18" s="146"/>
      <c r="F18" s="146"/>
      <c r="G18" s="146"/>
      <c r="H18" s="146"/>
      <c r="I18" s="146"/>
      <c r="J18" s="146"/>
      <c r="K18" s="146"/>
      <c r="L18" s="146"/>
      <c r="M18" s="146"/>
      <c r="N18" s="146"/>
      <c r="O18" s="146"/>
      <c r="P18" s="146"/>
      <c r="Q18" s="146"/>
      <c r="R18" s="146"/>
    </row>
    <row r="19" spans="1:18" x14ac:dyDescent="0.3">
      <c r="A19" s="180" t="s">
        <v>107</v>
      </c>
      <c r="B19" s="180"/>
      <c r="C19" s="180"/>
      <c r="D19" s="180"/>
      <c r="E19" s="180"/>
      <c r="F19" s="180"/>
      <c r="G19" s="180"/>
      <c r="H19" s="180"/>
      <c r="I19" s="180"/>
      <c r="J19" s="180"/>
      <c r="K19" s="180"/>
      <c r="L19" s="180"/>
      <c r="M19" s="180"/>
      <c r="N19" s="180"/>
      <c r="O19" s="146"/>
      <c r="P19" s="146"/>
      <c r="Q19" s="146"/>
      <c r="R19" s="146"/>
    </row>
    <row r="20" spans="1:18" x14ac:dyDescent="0.3">
      <c r="A20" s="180" t="s">
        <v>108</v>
      </c>
      <c r="B20" s="180"/>
      <c r="C20" s="180"/>
      <c r="D20" s="180"/>
      <c r="E20" s="180"/>
      <c r="F20" s="180"/>
      <c r="G20" s="180"/>
      <c r="H20" s="180"/>
      <c r="I20" s="180"/>
      <c r="J20" s="180"/>
      <c r="K20" s="180"/>
      <c r="L20" s="180"/>
      <c r="M20" s="180"/>
      <c r="N20" s="180"/>
      <c r="O20" s="146"/>
      <c r="P20" s="146"/>
      <c r="Q20" s="146"/>
      <c r="R20" s="146"/>
    </row>
    <row r="21" spans="1:18" x14ac:dyDescent="0.3">
      <c r="A21" s="180" t="s">
        <v>109</v>
      </c>
      <c r="B21" s="180"/>
      <c r="C21" s="180"/>
      <c r="D21" s="180"/>
      <c r="E21" s="180"/>
      <c r="F21" s="180"/>
      <c r="G21" s="180"/>
      <c r="H21" s="180"/>
      <c r="I21" s="180"/>
      <c r="J21" s="180"/>
      <c r="K21" s="180"/>
      <c r="L21" s="180"/>
      <c r="M21" s="180"/>
      <c r="N21" s="180"/>
      <c r="O21" s="146"/>
      <c r="P21" s="146"/>
      <c r="Q21" s="146"/>
      <c r="R21" s="146"/>
    </row>
    <row r="22" spans="1:18" x14ac:dyDescent="0.3">
      <c r="A22" s="180" t="s">
        <v>110</v>
      </c>
      <c r="B22" s="180"/>
      <c r="C22" s="180"/>
      <c r="D22" s="180"/>
      <c r="E22" s="180"/>
      <c r="F22" s="180"/>
      <c r="G22" s="180"/>
      <c r="H22" s="180"/>
      <c r="I22" s="180"/>
      <c r="J22" s="180"/>
      <c r="K22" s="180"/>
      <c r="L22" s="180"/>
      <c r="M22" s="180"/>
      <c r="N22" s="180"/>
      <c r="O22" s="146"/>
      <c r="P22" s="146"/>
      <c r="Q22" s="146"/>
      <c r="R22" s="146"/>
    </row>
    <row r="23" spans="1:18" x14ac:dyDescent="0.3">
      <c r="A23" s="180" t="s">
        <v>111</v>
      </c>
      <c r="B23" s="180"/>
      <c r="C23" s="180"/>
      <c r="D23" s="180"/>
      <c r="E23" s="180"/>
      <c r="F23" s="180"/>
      <c r="G23" s="180"/>
      <c r="H23" s="180"/>
      <c r="I23" s="180"/>
      <c r="J23" s="180"/>
      <c r="K23" s="180"/>
      <c r="L23" s="180"/>
      <c r="M23" s="180"/>
      <c r="N23" s="180"/>
      <c r="O23" s="146"/>
      <c r="P23" s="146"/>
      <c r="Q23" s="146"/>
      <c r="R23" s="146"/>
    </row>
    <row r="24" spans="1:18" x14ac:dyDescent="0.3">
      <c r="A24" s="180" t="s">
        <v>112</v>
      </c>
      <c r="B24" s="180"/>
      <c r="C24" s="180"/>
      <c r="D24" s="180"/>
      <c r="E24" s="180"/>
      <c r="F24" s="180"/>
      <c r="G24" s="180"/>
      <c r="H24" s="180"/>
      <c r="I24" s="180"/>
      <c r="J24" s="180"/>
      <c r="K24" s="180"/>
      <c r="L24" s="180"/>
      <c r="M24" s="180"/>
      <c r="N24" s="180"/>
      <c r="O24" s="146"/>
      <c r="P24" s="146"/>
      <c r="Q24" s="146"/>
      <c r="R24" s="146"/>
    </row>
    <row r="25" spans="1:18" x14ac:dyDescent="0.3">
      <c r="A25" s="180" t="s">
        <v>113</v>
      </c>
      <c r="B25" s="180"/>
      <c r="C25" s="180"/>
      <c r="D25" s="180"/>
      <c r="E25" s="180"/>
      <c r="F25" s="180"/>
      <c r="G25" s="180"/>
      <c r="H25" s="180"/>
      <c r="I25" s="180"/>
      <c r="J25" s="180"/>
      <c r="K25" s="180"/>
      <c r="L25" s="180"/>
      <c r="M25" s="180"/>
      <c r="N25" s="180"/>
      <c r="O25" s="146"/>
      <c r="P25" s="146"/>
      <c r="Q25" s="146"/>
      <c r="R25" s="146"/>
    </row>
    <row r="26" spans="1:18" x14ac:dyDescent="0.3">
      <c r="A26" s="180"/>
      <c r="B26" s="180"/>
      <c r="C26" s="180"/>
      <c r="D26" s="180"/>
      <c r="E26" s="180"/>
      <c r="F26" s="180"/>
      <c r="G26" s="180"/>
      <c r="H26" s="180"/>
      <c r="I26" s="180"/>
      <c r="J26" s="180"/>
      <c r="K26" s="180"/>
      <c r="L26" s="180"/>
      <c r="M26" s="180"/>
      <c r="N26" s="180"/>
      <c r="O26" s="146"/>
      <c r="P26" s="146"/>
      <c r="Q26" s="146"/>
      <c r="R26" s="146"/>
    </row>
    <row r="27" spans="1:18" x14ac:dyDescent="0.3">
      <c r="A27" s="180" t="s">
        <v>114</v>
      </c>
      <c r="B27" s="180"/>
      <c r="C27" s="180"/>
      <c r="D27" s="180"/>
      <c r="E27" s="180"/>
      <c r="F27" s="181">
        <v>46024</v>
      </c>
      <c r="G27" s="180"/>
      <c r="H27" s="37" t="s">
        <v>121</v>
      </c>
      <c r="I27" s="180"/>
      <c r="J27" s="180"/>
      <c r="K27" s="180"/>
      <c r="L27" s="180"/>
      <c r="M27" s="180"/>
      <c r="N27" s="180"/>
      <c r="O27" s="146"/>
      <c r="P27" s="146"/>
      <c r="Q27" s="146"/>
      <c r="R27" s="146"/>
    </row>
    <row r="28" spans="1:18" x14ac:dyDescent="0.3">
      <c r="A28" s="180"/>
      <c r="B28" s="180"/>
      <c r="C28" s="180"/>
      <c r="D28" s="180"/>
      <c r="E28" s="180"/>
      <c r="F28" s="180" t="s">
        <v>116</v>
      </c>
      <c r="G28" s="180"/>
      <c r="H28" s="180" t="s">
        <v>117</v>
      </c>
      <c r="I28" s="180"/>
      <c r="J28" s="180"/>
      <c r="K28" s="180"/>
      <c r="L28" s="180"/>
      <c r="M28" s="180"/>
      <c r="N28" s="180"/>
      <c r="O28" s="146"/>
      <c r="P28" s="146"/>
      <c r="Q28" s="146"/>
      <c r="R28" s="146"/>
    </row>
    <row r="29" spans="1:18" x14ac:dyDescent="0.3">
      <c r="A29" s="180" t="s">
        <v>118</v>
      </c>
      <c r="B29" s="180"/>
      <c r="C29" s="180"/>
      <c r="D29" s="180"/>
      <c r="E29" s="180"/>
      <c r="F29" s="180"/>
      <c r="G29" s="180"/>
      <c r="H29" s="180"/>
      <c r="I29" s="180"/>
      <c r="J29" s="180"/>
      <c r="K29" s="180"/>
      <c r="L29" s="180"/>
      <c r="M29" s="180"/>
      <c r="N29" s="180"/>
      <c r="O29" s="146"/>
      <c r="P29" s="146"/>
      <c r="Q29" s="146"/>
      <c r="R29" s="146"/>
    </row>
    <row r="30" spans="1:18" x14ac:dyDescent="0.3">
      <c r="A30" s="180"/>
      <c r="B30" s="180"/>
      <c r="C30" s="180"/>
      <c r="D30" s="180"/>
      <c r="E30" s="180"/>
      <c r="F30" s="180"/>
      <c r="G30" s="180"/>
      <c r="H30" s="181">
        <v>46024</v>
      </c>
      <c r="I30" s="180"/>
      <c r="J30" s="180" t="s">
        <v>115</v>
      </c>
      <c r="K30" s="180"/>
      <c r="L30" s="180"/>
      <c r="M30" s="180"/>
      <c r="N30" s="180"/>
      <c r="O30" s="146"/>
      <c r="P30" s="146"/>
      <c r="Q30" s="146"/>
      <c r="R30" s="146"/>
    </row>
    <row r="31" spans="1:18" x14ac:dyDescent="0.3">
      <c r="A31" s="180"/>
      <c r="B31" s="180"/>
      <c r="C31" s="180"/>
      <c r="D31" s="180"/>
      <c r="E31" s="180"/>
      <c r="F31" s="180"/>
      <c r="G31" s="180"/>
      <c r="H31" s="180" t="s">
        <v>119</v>
      </c>
      <c r="I31" s="180"/>
      <c r="J31" s="180" t="s">
        <v>117</v>
      </c>
      <c r="K31" s="180"/>
      <c r="L31" s="180"/>
      <c r="M31" s="180"/>
      <c r="N31" s="180"/>
      <c r="O31" s="146"/>
      <c r="P31" s="146"/>
      <c r="Q31" s="146"/>
      <c r="R31" s="146"/>
    </row>
    <row r="32" spans="1:18" x14ac:dyDescent="0.3">
      <c r="A32" s="180"/>
      <c r="B32" s="180"/>
      <c r="C32" s="180"/>
      <c r="D32" s="180"/>
      <c r="E32" s="180"/>
      <c r="F32" s="180"/>
      <c r="G32" s="180"/>
      <c r="H32" s="180"/>
      <c r="I32" s="180"/>
      <c r="J32" s="180"/>
      <c r="K32" s="180"/>
      <c r="L32" s="180"/>
      <c r="M32" s="180"/>
      <c r="N32" s="180"/>
      <c r="O32" s="146"/>
      <c r="P32" s="146"/>
      <c r="Q32" s="146"/>
      <c r="R32" s="146"/>
    </row>
    <row r="33" spans="1:18" x14ac:dyDescent="0.3">
      <c r="A33" s="180"/>
      <c r="B33" s="180"/>
      <c r="C33" s="180"/>
      <c r="D33" s="180"/>
      <c r="E33" s="180"/>
      <c r="F33" s="180"/>
      <c r="G33" s="180"/>
      <c r="H33" s="180"/>
      <c r="I33" s="180"/>
      <c r="J33" s="180"/>
      <c r="K33" s="180"/>
      <c r="L33" s="180"/>
      <c r="M33" s="180" t="s">
        <v>120</v>
      </c>
      <c r="N33" s="180"/>
      <c r="O33" s="146"/>
      <c r="P33" s="146"/>
      <c r="Q33" s="146"/>
      <c r="R33" s="146"/>
    </row>
    <row r="34" spans="1:18" x14ac:dyDescent="0.3">
      <c r="A34" s="146"/>
      <c r="B34" s="146"/>
      <c r="C34" s="146"/>
      <c r="D34" s="146"/>
      <c r="E34" s="146"/>
      <c r="F34" s="146"/>
      <c r="G34" s="146"/>
      <c r="H34" s="146"/>
      <c r="I34" s="146"/>
      <c r="J34" s="146"/>
      <c r="K34" s="146"/>
      <c r="L34" s="146"/>
      <c r="M34" s="146"/>
      <c r="N34" s="146"/>
      <c r="O34" s="146"/>
      <c r="P34" s="146"/>
      <c r="Q34" s="146"/>
      <c r="R34" s="146"/>
    </row>
  </sheetData>
  <sheetProtection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34"/>
  <sheetViews>
    <sheetView zoomScale="70" zoomScaleNormal="70" workbookViewId="0">
      <pane ySplit="5" topLeftCell="A6" activePane="bottomLeft" state="frozen"/>
      <selection pane="bottomLeft" activeCell="A2" sqref="A2:O2"/>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1.26953125" style="14" customWidth="1"/>
    <col min="10" max="10" width="10.81640625" style="14" customWidth="1"/>
    <col min="11" max="11" width="11" style="14" customWidth="1"/>
    <col min="12" max="12" width="11.1796875" style="14" customWidth="1"/>
    <col min="13" max="13" width="19.26953125" style="14" customWidth="1"/>
    <col min="14" max="14" width="16.81640625" style="14" customWidth="1"/>
    <col min="15" max="15" width="32.1796875" style="14" customWidth="1"/>
    <col min="16" max="16384" width="9.1796875" style="14"/>
  </cols>
  <sheetData>
    <row r="1" spans="1:22" ht="26.25" customHeight="1" x14ac:dyDescent="0.3">
      <c r="C1" s="203" t="s">
        <v>21</v>
      </c>
      <c r="D1" s="203"/>
      <c r="E1" s="203"/>
      <c r="F1" s="203"/>
    </row>
    <row r="2" spans="1:22" ht="19.5" customHeight="1" x14ac:dyDescent="0.3">
      <c r="A2" s="212" t="s">
        <v>103</v>
      </c>
      <c r="B2" s="212"/>
      <c r="C2" s="212"/>
      <c r="D2" s="212"/>
      <c r="E2" s="212"/>
      <c r="F2" s="212"/>
      <c r="G2" s="212"/>
      <c r="H2" s="212"/>
      <c r="I2" s="212"/>
      <c r="J2" s="212"/>
      <c r="K2" s="212"/>
      <c r="L2" s="212"/>
      <c r="M2" s="212"/>
      <c r="N2" s="212"/>
      <c r="O2" s="212"/>
      <c r="V2" s="16"/>
    </row>
    <row r="4" spans="1:22" ht="60" customHeight="1" x14ac:dyDescent="0.3">
      <c r="A4" s="222" t="s">
        <v>81</v>
      </c>
      <c r="B4" s="222" t="s">
        <v>9</v>
      </c>
      <c r="C4" s="230" t="s">
        <v>82</v>
      </c>
      <c r="D4" s="230" t="s">
        <v>83</v>
      </c>
      <c r="E4" s="230" t="s">
        <v>84</v>
      </c>
      <c r="F4" s="230"/>
      <c r="G4" s="230"/>
      <c r="H4" s="230" t="s">
        <v>15</v>
      </c>
      <c r="I4" s="226" t="s">
        <v>85</v>
      </c>
      <c r="J4" s="221" t="s">
        <v>86</v>
      </c>
      <c r="K4" s="221"/>
      <c r="L4" s="221"/>
      <c r="M4" s="228" t="s">
        <v>122</v>
      </c>
      <c r="N4" s="221" t="s">
        <v>15</v>
      </c>
      <c r="O4" s="224" t="s">
        <v>6</v>
      </c>
    </row>
    <row r="5" spans="1:22" ht="16.5" customHeight="1" thickBot="1" x14ac:dyDescent="0.35">
      <c r="A5" s="223"/>
      <c r="B5" s="223"/>
      <c r="C5" s="231"/>
      <c r="D5" s="230"/>
      <c r="E5" s="120">
        <v>1</v>
      </c>
      <c r="F5" s="120">
        <v>2</v>
      </c>
      <c r="G5" s="120">
        <v>3</v>
      </c>
      <c r="H5" s="230"/>
      <c r="I5" s="227"/>
      <c r="J5" s="12">
        <v>1</v>
      </c>
      <c r="K5" s="12">
        <v>2</v>
      </c>
      <c r="L5" s="12">
        <v>3</v>
      </c>
      <c r="M5" s="229"/>
      <c r="N5" s="221"/>
      <c r="O5" s="225"/>
    </row>
    <row r="6" spans="1:22" ht="15" customHeight="1" x14ac:dyDescent="0.3">
      <c r="A6" s="32" t="s">
        <v>96</v>
      </c>
      <c r="B6" s="219" t="str">
        <f>Paėmimas!C6</f>
        <v>UAB ,,XXX". Taršos šaltinis Nr. 001.</v>
      </c>
      <c r="C6" s="79">
        <v>5</v>
      </c>
      <c r="D6" s="164" t="str">
        <f>Paėmimas!A6</f>
        <v>X</v>
      </c>
      <c r="E6" s="167"/>
      <c r="F6" s="167"/>
      <c r="G6" s="167"/>
      <c r="H6" s="165" t="str">
        <f>Paėmimas!R6</f>
        <v>XXXX</v>
      </c>
      <c r="I6" s="28" t="s">
        <v>100</v>
      </c>
      <c r="J6" s="167"/>
      <c r="K6" s="167"/>
      <c r="L6" s="167"/>
      <c r="M6" s="142">
        <f>L6-G6</f>
        <v>0</v>
      </c>
      <c r="N6" s="141" t="s">
        <v>101</v>
      </c>
      <c r="O6" s="166" t="str">
        <f>Paėmimas!S6</f>
        <v>1 filtras</v>
      </c>
    </row>
    <row r="7" spans="1:22" ht="15" customHeight="1" x14ac:dyDescent="0.3">
      <c r="A7" s="85"/>
      <c r="B7" s="219"/>
      <c r="C7" s="30"/>
      <c r="D7" s="28"/>
      <c r="E7" s="168"/>
      <c r="F7" s="168"/>
      <c r="G7" s="168"/>
      <c r="H7" s="29"/>
      <c r="I7" s="80"/>
      <c r="J7" s="168"/>
      <c r="K7" s="168"/>
      <c r="L7" s="168"/>
      <c r="M7" s="143">
        <f>L7-G7</f>
        <v>0</v>
      </c>
      <c r="N7" s="83"/>
      <c r="O7" s="31"/>
    </row>
    <row r="8" spans="1:22" ht="15" customHeight="1" x14ac:dyDescent="0.3">
      <c r="A8" s="85"/>
      <c r="B8" s="219"/>
      <c r="C8" s="30"/>
      <c r="D8" s="80"/>
      <c r="E8" s="168"/>
      <c r="F8" s="168"/>
      <c r="G8" s="168"/>
      <c r="H8" s="83"/>
      <c r="I8" s="80"/>
      <c r="J8" s="168"/>
      <c r="K8" s="168"/>
      <c r="L8" s="168"/>
      <c r="M8" s="143">
        <f>L8-G8</f>
        <v>0</v>
      </c>
      <c r="N8" s="83"/>
      <c r="O8" s="31"/>
    </row>
    <row r="9" spans="1:22" ht="17" x14ac:dyDescent="0.45">
      <c r="A9" s="85"/>
      <c r="B9" s="219"/>
      <c r="C9" s="30">
        <v>39</v>
      </c>
      <c r="D9" s="80"/>
      <c r="E9" s="168"/>
      <c r="F9" s="168"/>
      <c r="G9" s="168"/>
      <c r="H9" s="83"/>
      <c r="I9" s="80"/>
      <c r="J9" s="168"/>
      <c r="K9" s="168"/>
      <c r="L9" s="168"/>
      <c r="M9" s="143">
        <f>L9-G9</f>
        <v>0</v>
      </c>
      <c r="N9" s="83"/>
      <c r="O9" s="33" t="s">
        <v>88</v>
      </c>
      <c r="P9" s="34"/>
    </row>
    <row r="10" spans="1:22" x14ac:dyDescent="0.3">
      <c r="A10" s="85"/>
      <c r="B10" s="219"/>
      <c r="C10" s="30"/>
      <c r="D10" s="80"/>
      <c r="E10" s="168"/>
      <c r="F10" s="168"/>
      <c r="G10" s="169"/>
      <c r="H10" s="83"/>
      <c r="I10" s="80"/>
      <c r="J10" s="173"/>
      <c r="K10" s="168"/>
      <c r="L10" s="169"/>
      <c r="M10" s="143"/>
      <c r="N10" s="83"/>
      <c r="O10" s="121"/>
    </row>
    <row r="11" spans="1:22" ht="17" x14ac:dyDescent="0.45">
      <c r="A11" s="85"/>
      <c r="B11" s="219"/>
      <c r="C11" s="30">
        <v>40</v>
      </c>
      <c r="D11" s="80"/>
      <c r="E11" s="168"/>
      <c r="F11" s="168"/>
      <c r="G11" s="169"/>
      <c r="H11" s="83"/>
      <c r="I11" s="80"/>
      <c r="J11" s="173"/>
      <c r="K11" s="168"/>
      <c r="L11" s="169"/>
      <c r="M11" s="143">
        <f>L11-G11</f>
        <v>0</v>
      </c>
      <c r="N11" s="83"/>
      <c r="O11" s="82" t="s">
        <v>89</v>
      </c>
    </row>
    <row r="12" spans="1:22" ht="30.75" customHeight="1" x14ac:dyDescent="0.45">
      <c r="A12" s="85"/>
      <c r="B12" s="219"/>
      <c r="C12" s="114" t="s">
        <v>43</v>
      </c>
      <c r="D12" s="80"/>
      <c r="E12" s="170"/>
      <c r="F12" s="170"/>
      <c r="G12" s="171"/>
      <c r="H12" s="83"/>
      <c r="I12" s="80"/>
      <c r="J12" s="174"/>
      <c r="K12" s="170"/>
      <c r="L12" s="171"/>
      <c r="M12" s="143">
        <f t="shared" ref="M12:M15" si="0">L12-G12</f>
        <v>0</v>
      </c>
      <c r="N12" s="83"/>
      <c r="O12" s="122" t="s">
        <v>90</v>
      </c>
    </row>
    <row r="13" spans="1:22" ht="17" x14ac:dyDescent="0.45">
      <c r="A13" s="85"/>
      <c r="B13" s="219"/>
      <c r="C13" s="115" t="s">
        <v>44</v>
      </c>
      <c r="D13" s="80"/>
      <c r="E13" s="168"/>
      <c r="F13" s="168"/>
      <c r="G13" s="168"/>
      <c r="H13" s="83"/>
      <c r="I13" s="80"/>
      <c r="J13" s="168"/>
      <c r="K13" s="168"/>
      <c r="L13" s="168"/>
      <c r="M13" s="143">
        <f t="shared" si="0"/>
        <v>0</v>
      </c>
      <c r="N13" s="83"/>
      <c r="O13" s="123" t="s">
        <v>91</v>
      </c>
    </row>
    <row r="14" spans="1:22" ht="17" x14ac:dyDescent="0.45">
      <c r="A14" s="85"/>
      <c r="B14" s="219"/>
      <c r="C14" s="115" t="s">
        <v>45</v>
      </c>
      <c r="D14" s="80"/>
      <c r="E14" s="168"/>
      <c r="F14" s="168"/>
      <c r="G14" s="168"/>
      <c r="H14" s="83"/>
      <c r="I14" s="80"/>
      <c r="J14" s="168"/>
      <c r="K14" s="168"/>
      <c r="L14" s="168"/>
      <c r="M14" s="143">
        <f t="shared" si="0"/>
        <v>0</v>
      </c>
      <c r="N14" s="83"/>
      <c r="O14" s="124" t="s">
        <v>92</v>
      </c>
    </row>
    <row r="15" spans="1:22" ht="17" x14ac:dyDescent="0.45">
      <c r="A15" s="85"/>
      <c r="B15" s="219"/>
      <c r="C15" s="116" t="s">
        <v>46</v>
      </c>
      <c r="D15" s="80"/>
      <c r="E15" s="167"/>
      <c r="F15" s="167"/>
      <c r="G15" s="172"/>
      <c r="H15" s="83"/>
      <c r="I15" s="80"/>
      <c r="J15" s="175"/>
      <c r="K15" s="167"/>
      <c r="L15" s="172"/>
      <c r="M15" s="143">
        <f t="shared" si="0"/>
        <v>0</v>
      </c>
      <c r="N15" s="83"/>
      <c r="O15" s="124" t="s">
        <v>93</v>
      </c>
    </row>
    <row r="16" spans="1:22" ht="31.5" customHeight="1" x14ac:dyDescent="0.45">
      <c r="A16" s="86"/>
      <c r="B16" s="220"/>
      <c r="C16" s="30"/>
      <c r="D16" s="81"/>
      <c r="E16" s="19"/>
      <c r="F16" s="19"/>
      <c r="G16" s="30"/>
      <c r="H16" s="84"/>
      <c r="I16" s="81"/>
      <c r="J16" s="105"/>
      <c r="K16" s="103"/>
      <c r="L16" s="104"/>
      <c r="M16" s="143">
        <f>AVERAGE(M13:M15)+M12</f>
        <v>0</v>
      </c>
      <c r="N16" s="84"/>
      <c r="O16" s="125" t="s">
        <v>94</v>
      </c>
    </row>
    <row r="20" spans="1:14" x14ac:dyDescent="0.3">
      <c r="A20" s="182" t="s">
        <v>107</v>
      </c>
      <c r="B20" s="182"/>
      <c r="C20" s="182"/>
      <c r="D20" s="182"/>
      <c r="E20" s="182"/>
      <c r="F20" s="182"/>
      <c r="G20" s="182"/>
      <c r="H20" s="182"/>
      <c r="I20" s="182"/>
      <c r="J20" s="182"/>
      <c r="K20" s="182"/>
      <c r="L20" s="182"/>
      <c r="M20" s="182"/>
      <c r="N20" s="182"/>
    </row>
    <row r="21" spans="1:14" x14ac:dyDescent="0.3">
      <c r="A21" s="182" t="s">
        <v>108</v>
      </c>
      <c r="B21" s="182"/>
      <c r="C21" s="182"/>
      <c r="D21" s="182"/>
      <c r="E21" s="182"/>
      <c r="F21" s="182"/>
      <c r="G21" s="182"/>
      <c r="H21" s="182"/>
      <c r="I21" s="182"/>
      <c r="J21" s="182"/>
      <c r="K21" s="182"/>
      <c r="L21" s="182"/>
      <c r="M21" s="182"/>
      <c r="N21" s="182"/>
    </row>
    <row r="22" spans="1:14" x14ac:dyDescent="0.3">
      <c r="A22" s="182" t="s">
        <v>109</v>
      </c>
      <c r="B22" s="182"/>
      <c r="C22" s="182"/>
      <c r="D22" s="182"/>
      <c r="E22" s="182"/>
      <c r="F22" s="182"/>
      <c r="G22" s="182"/>
      <c r="H22" s="182"/>
      <c r="I22" s="182"/>
      <c r="J22" s="182"/>
      <c r="K22" s="182"/>
      <c r="L22" s="182"/>
      <c r="M22" s="182"/>
      <c r="N22" s="182"/>
    </row>
    <row r="23" spans="1:14" x14ac:dyDescent="0.3">
      <c r="A23" s="182" t="s">
        <v>110</v>
      </c>
      <c r="B23" s="182"/>
      <c r="C23" s="182"/>
      <c r="D23" s="182"/>
      <c r="E23" s="182"/>
      <c r="F23" s="182"/>
      <c r="G23" s="182"/>
      <c r="H23" s="182"/>
      <c r="I23" s="182"/>
      <c r="J23" s="182"/>
      <c r="K23" s="182"/>
      <c r="L23" s="182"/>
      <c r="M23" s="182"/>
      <c r="N23" s="182"/>
    </row>
    <row r="24" spans="1:14" x14ac:dyDescent="0.3">
      <c r="A24" s="182" t="s">
        <v>111</v>
      </c>
      <c r="B24" s="182"/>
      <c r="C24" s="182"/>
      <c r="D24" s="182"/>
      <c r="E24" s="182"/>
      <c r="F24" s="182"/>
      <c r="G24" s="182"/>
      <c r="H24" s="182"/>
      <c r="I24" s="182"/>
      <c r="J24" s="182"/>
      <c r="K24" s="182"/>
      <c r="L24" s="182"/>
      <c r="M24" s="182"/>
      <c r="N24" s="182"/>
    </row>
    <row r="25" spans="1:14" x14ac:dyDescent="0.3">
      <c r="A25" s="182" t="s">
        <v>112</v>
      </c>
      <c r="B25" s="182"/>
      <c r="C25" s="182"/>
      <c r="D25" s="182"/>
      <c r="E25" s="182"/>
      <c r="F25" s="182"/>
      <c r="G25" s="182"/>
      <c r="H25" s="182"/>
      <c r="I25" s="182"/>
      <c r="J25" s="182"/>
      <c r="K25" s="182"/>
      <c r="L25" s="182"/>
      <c r="M25" s="182"/>
      <c r="N25" s="182"/>
    </row>
    <row r="26" spans="1:14" x14ac:dyDescent="0.3">
      <c r="A26" s="182" t="s">
        <v>113</v>
      </c>
      <c r="B26" s="182"/>
      <c r="C26" s="182"/>
      <c r="D26" s="182"/>
      <c r="E26" s="182"/>
      <c r="F26" s="182"/>
      <c r="G26" s="182"/>
      <c r="H26" s="182"/>
      <c r="I26" s="182"/>
      <c r="J26" s="182"/>
      <c r="K26" s="182"/>
      <c r="L26" s="182"/>
      <c r="M26" s="182"/>
      <c r="N26" s="182"/>
    </row>
    <row r="27" spans="1:14" x14ac:dyDescent="0.3">
      <c r="A27" s="182"/>
      <c r="B27" s="182"/>
      <c r="C27" s="182"/>
      <c r="D27" s="182"/>
      <c r="E27" s="182"/>
      <c r="F27" s="182"/>
      <c r="G27" s="182"/>
      <c r="H27" s="182"/>
      <c r="I27" s="182"/>
      <c r="J27" s="182"/>
      <c r="K27" s="182"/>
      <c r="L27" s="182"/>
      <c r="M27" s="182"/>
      <c r="N27" s="182"/>
    </row>
    <row r="28" spans="1:14" x14ac:dyDescent="0.3">
      <c r="A28" s="182" t="s">
        <v>114</v>
      </c>
      <c r="B28" s="182"/>
      <c r="C28" s="182"/>
      <c r="D28" s="182"/>
      <c r="E28" s="182"/>
      <c r="F28" s="183">
        <v>46024</v>
      </c>
      <c r="G28" s="182"/>
      <c r="H28" s="37" t="s">
        <v>121</v>
      </c>
      <c r="I28" s="182"/>
      <c r="J28" s="182"/>
      <c r="K28" s="182"/>
      <c r="L28" s="182"/>
      <c r="M28" s="182"/>
      <c r="N28" s="182"/>
    </row>
    <row r="29" spans="1:14" x14ac:dyDescent="0.3">
      <c r="A29" s="182"/>
      <c r="B29" s="182"/>
      <c r="C29" s="182"/>
      <c r="D29" s="182"/>
      <c r="E29" s="182"/>
      <c r="F29" s="182" t="s">
        <v>116</v>
      </c>
      <c r="G29" s="182"/>
      <c r="H29" s="182" t="s">
        <v>117</v>
      </c>
      <c r="I29" s="182"/>
      <c r="J29" s="182"/>
      <c r="K29" s="182"/>
      <c r="L29" s="182"/>
      <c r="M29" s="182"/>
      <c r="N29" s="182"/>
    </row>
    <row r="30" spans="1:14" x14ac:dyDescent="0.3">
      <c r="A30" s="182" t="s">
        <v>118</v>
      </c>
      <c r="B30" s="182"/>
      <c r="C30" s="182"/>
      <c r="D30" s="182"/>
      <c r="E30" s="182"/>
      <c r="F30" s="182"/>
      <c r="G30" s="182"/>
      <c r="H30" s="182"/>
      <c r="I30" s="182"/>
      <c r="J30" s="182"/>
      <c r="K30" s="182"/>
      <c r="L30" s="182"/>
      <c r="M30" s="182"/>
      <c r="N30" s="182"/>
    </row>
    <row r="31" spans="1:14" x14ac:dyDescent="0.3">
      <c r="A31" s="182"/>
      <c r="B31" s="182"/>
      <c r="C31" s="182"/>
      <c r="D31" s="182"/>
      <c r="E31" s="182"/>
      <c r="F31" s="182"/>
      <c r="G31" s="182"/>
      <c r="H31" s="183">
        <v>46024</v>
      </c>
      <c r="I31" s="182"/>
      <c r="J31" s="182" t="s">
        <v>115</v>
      </c>
      <c r="K31" s="182"/>
      <c r="L31" s="182"/>
      <c r="M31" s="182"/>
      <c r="N31" s="182"/>
    </row>
    <row r="32" spans="1:14" x14ac:dyDescent="0.3">
      <c r="A32" s="182"/>
      <c r="B32" s="182"/>
      <c r="C32" s="182"/>
      <c r="D32" s="182"/>
      <c r="E32" s="182"/>
      <c r="F32" s="182"/>
      <c r="G32" s="182"/>
      <c r="H32" s="182" t="s">
        <v>119</v>
      </c>
      <c r="I32" s="182"/>
      <c r="J32" s="182" t="s">
        <v>117</v>
      </c>
      <c r="K32" s="182"/>
      <c r="L32" s="182"/>
      <c r="M32" s="182"/>
      <c r="N32" s="182"/>
    </row>
    <row r="33" spans="1:14" x14ac:dyDescent="0.3">
      <c r="A33" s="182"/>
      <c r="B33" s="182"/>
      <c r="C33" s="182"/>
      <c r="D33" s="182"/>
      <c r="E33" s="182"/>
      <c r="F33" s="182"/>
      <c r="G33" s="182"/>
      <c r="H33" s="182"/>
      <c r="I33" s="182"/>
      <c r="J33" s="182"/>
      <c r="K33" s="182"/>
      <c r="L33" s="182"/>
      <c r="M33" s="182"/>
      <c r="N33" s="182"/>
    </row>
    <row r="34" spans="1:14" x14ac:dyDescent="0.3">
      <c r="A34" s="182"/>
      <c r="B34" s="182"/>
      <c r="C34" s="182"/>
      <c r="D34" s="182"/>
      <c r="E34" s="182"/>
      <c r="F34" s="182"/>
      <c r="G34" s="182"/>
      <c r="H34" s="182"/>
      <c r="I34" s="182"/>
      <c r="J34" s="182"/>
      <c r="K34" s="182"/>
      <c r="L34" s="182"/>
      <c r="M34" s="182" t="s">
        <v>120</v>
      </c>
      <c r="N34" s="182"/>
    </row>
  </sheetData>
  <sheetProtection algorithmName="SHA-512" hashValue="PFaLAVoKQHFaJHqybCKJwKWqO+3zHoQyTLz3vowb8yv75qGDOb1vneGiMbBd3k9uPbnnBehw3NVjR0mUBPQ37w==" saltValue="PI5evQhTEGJjIECpIEn24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92B52-453B-4D8F-8C5F-02EFD17C1554}">
  <dimension ref="A3:D10"/>
  <sheetViews>
    <sheetView workbookViewId="0">
      <selection activeCell="A11" sqref="A11"/>
    </sheetView>
  </sheetViews>
  <sheetFormatPr defaultColWidth="9.1796875" defaultRowHeight="15.5" x14ac:dyDescent="0.25"/>
  <cols>
    <col min="1" max="1" width="14.7265625" style="106" customWidth="1"/>
    <col min="2" max="2" width="15.26953125" style="106" customWidth="1"/>
    <col min="3" max="3" width="13.453125" style="106" customWidth="1"/>
    <col min="4" max="4" width="21.26953125" style="106" customWidth="1"/>
    <col min="5" max="16384" width="9.1796875" style="106"/>
  </cols>
  <sheetData>
    <row r="3" spans="1:4" ht="30.75" customHeight="1" x14ac:dyDescent="0.25">
      <c r="A3" s="194" t="s">
        <v>39</v>
      </c>
      <c r="B3" s="194"/>
      <c r="C3" s="194"/>
      <c r="D3" s="194"/>
    </row>
    <row r="5" spans="1:4" ht="64.5" customHeight="1" x14ac:dyDescent="0.25">
      <c r="A5" s="107" t="s">
        <v>47</v>
      </c>
      <c r="B5" s="108" t="s">
        <v>40</v>
      </c>
      <c r="C5" s="108" t="s">
        <v>41</v>
      </c>
      <c r="D5" s="108" t="s">
        <v>42</v>
      </c>
    </row>
    <row r="6" spans="1:4" ht="21.75" customHeight="1" x14ac:dyDescent="0.25">
      <c r="A6" s="109">
        <f>(B6*C6*D6)/1000000</f>
        <v>1.944</v>
      </c>
      <c r="B6" s="110">
        <v>30</v>
      </c>
      <c r="C6" s="111">
        <v>5400</v>
      </c>
      <c r="D6" s="112">
        <v>12</v>
      </c>
    </row>
    <row r="10" spans="1:4" x14ac:dyDescent="0.25">
      <c r="C10" s="113"/>
    </row>
  </sheetData>
  <sheetProtection algorithmName="SHA-512" hashValue="phiqtJjRVBinzWCgyvtkTjhJBDxlZGc6OEUs8Bxd9yLLXvZLxM3elVql3w+hluUZoZ2dwlL1wmfqV91wzpiQJA==" saltValue="fTkec2Y6f6b2y/t317qsB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8161107-3028-416E-B6BD-4D514713B3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7</vt:i4>
      </vt:variant>
      <vt:variant>
        <vt:lpstr>Įvardytieji diapazonai</vt:lpstr>
      </vt:variant>
      <vt:variant>
        <vt:i4>8</vt:i4>
      </vt:variant>
    </vt:vector>
  </HeadingPairs>
  <TitlesOfParts>
    <vt:vector size="15" baseType="lpstr">
      <vt:lpstr>Compatibility Report</vt:lpstr>
      <vt:lpstr>H2O</vt:lpstr>
      <vt:lpstr>Paėmimas</vt:lpstr>
      <vt:lpstr>Aerodinamika </vt:lpstr>
      <vt:lpstr>Koncentracija </vt:lpstr>
      <vt:lpstr>Svėrimas</vt:lpstr>
      <vt:lpstr>Koncentracijos ribinės vertės</vt:lpstr>
      <vt:lpstr>'Aerodinamika '!Print_Area</vt:lpstr>
      <vt:lpstr>'Koncentracija '!Print_Area</vt:lpstr>
      <vt:lpstr>Paėmimas!Print_Area</vt:lpstr>
      <vt:lpstr>Svėrimas!Print_Area</vt:lpstr>
      <vt:lpstr>'Aerodinamika '!Print_Titles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2026-03-10T09:28:44Z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