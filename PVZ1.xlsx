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0" documentId="8_{2BCBD961-DBD3-4CBD-B361-331DD08C2361}" xr6:coauthVersionLast="47" xr6:coauthVersionMax="47" xr10:uidLastSave="{00000000-0000-0000-0000-000000000000}"/>
  <bookViews>
    <workbookView xWindow="-110" yWindow="-110" windowWidth="19420" windowHeight="10300" tabRatio="821" firstSheet="1" activeTab="6" xr2:uid="{00000000-000D-0000-FFFF-FFFF00000000}"/>
  </bookViews>
  <sheets>
    <sheet name="Compatibility Report" sheetId="1" state="hidden" r:id="rId1"/>
    <sheet name="Greitis" sheetId="2" r:id="rId2"/>
    <sheet name="H2O" sheetId="3" r:id="rId3"/>
    <sheet name="Paėmimas" sheetId="4" r:id="rId4"/>
    <sheet name="Aerodinamika" sheetId="5" r:id="rId5"/>
    <sheet name="Koncentracija " sheetId="6" r:id="rId6"/>
    <sheet name="Svėrimas" sheetId="7" r:id="rId7"/>
    <sheet name="Koncentracijos ribinės vertės" sheetId="8"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8" l="1"/>
  <c r="M15" i="7"/>
  <c r="M14" i="7"/>
  <c r="M13" i="7"/>
  <c r="M12" i="7"/>
  <c r="M16" i="7" s="1"/>
  <c r="I6" i="6" s="1"/>
  <c r="M11" i="7"/>
  <c r="M9" i="7"/>
  <c r="M8" i="7"/>
  <c r="M7" i="7"/>
  <c r="M6" i="7"/>
  <c r="H6" i="7"/>
  <c r="A6" i="7"/>
  <c r="P6" i="6"/>
  <c r="N6" i="6"/>
  <c r="H6" i="6"/>
  <c r="G6" i="6"/>
  <c r="F6" i="6"/>
  <c r="E6" i="6"/>
  <c r="M6" i="6" s="1"/>
  <c r="D6" i="6"/>
  <c r="B6" i="6"/>
  <c r="N17" i="5"/>
  <c r="D17" i="5"/>
  <c r="D8" i="5"/>
  <c r="N6" i="5"/>
  <c r="M6" i="5"/>
  <c r="B6" i="5"/>
  <c r="A6" i="5"/>
  <c r="N24" i="4"/>
  <c r="M23" i="4"/>
  <c r="L23" i="4"/>
  <c r="D23" i="5" s="1"/>
  <c r="M22" i="4"/>
  <c r="L22" i="4" s="1"/>
  <c r="D22" i="5" s="1"/>
  <c r="M21" i="4"/>
  <c r="L21" i="4"/>
  <c r="D21" i="5" s="1"/>
  <c r="M20" i="4"/>
  <c r="L20" i="4" s="1"/>
  <c r="D20" i="5" s="1"/>
  <c r="M19" i="4"/>
  <c r="L19" i="4"/>
  <c r="D19" i="5" s="1"/>
  <c r="M18" i="4"/>
  <c r="L18" i="4" s="1"/>
  <c r="R17" i="4"/>
  <c r="M17" i="5" s="1"/>
  <c r="M17" i="4"/>
  <c r="M24" i="4" s="1"/>
  <c r="L17" i="4"/>
  <c r="K17" i="4"/>
  <c r="K22" i="4" s="1"/>
  <c r="E17" i="4"/>
  <c r="D17" i="4"/>
  <c r="C17" i="4"/>
  <c r="C17" i="5" s="1"/>
  <c r="B17" i="4"/>
  <c r="B17" i="5" s="1"/>
  <c r="N13" i="4"/>
  <c r="N27" i="4" s="1"/>
  <c r="M12" i="4"/>
  <c r="L12" i="4"/>
  <c r="D12" i="5" s="1"/>
  <c r="K12" i="4"/>
  <c r="M11" i="4"/>
  <c r="L11" i="4" s="1"/>
  <c r="D11" i="5" s="1"/>
  <c r="K11" i="4"/>
  <c r="M10" i="4"/>
  <c r="L10" i="4"/>
  <c r="D10" i="5" s="1"/>
  <c r="K10" i="4"/>
  <c r="V9" i="4"/>
  <c r="F6" i="4" s="1"/>
  <c r="U9" i="4"/>
  <c r="Q6" i="4" s="1"/>
  <c r="T9" i="4"/>
  <c r="P6" i="4" s="1"/>
  <c r="M9" i="4"/>
  <c r="L9" i="4"/>
  <c r="D9" i="5" s="1"/>
  <c r="E9" i="5" s="1"/>
  <c r="K9" i="4"/>
  <c r="H9" i="4"/>
  <c r="M8" i="4"/>
  <c r="L8" i="4"/>
  <c r="K8" i="4"/>
  <c r="I8" i="4"/>
  <c r="M7" i="4"/>
  <c r="M13" i="4" s="1"/>
  <c r="L7" i="4"/>
  <c r="D7" i="5" s="1"/>
  <c r="K7" i="4"/>
  <c r="L6" i="4"/>
  <c r="D6" i="5" s="1"/>
  <c r="E6" i="5" s="1"/>
  <c r="I6" i="4"/>
  <c r="I23" i="4" s="1"/>
  <c r="H6" i="4"/>
  <c r="H17" i="4" s="1"/>
  <c r="C6" i="4"/>
  <c r="C6" i="6" s="1"/>
  <c r="A6" i="4"/>
  <c r="D6" i="7" s="1"/>
  <c r="H7" i="3"/>
  <c r="W6" i="2" s="1"/>
  <c r="G7" i="3"/>
  <c r="D7" i="3"/>
  <c r="L26" i="2"/>
  <c r="K26" i="2"/>
  <c r="L25" i="2"/>
  <c r="K25" i="2"/>
  <c r="L24" i="2"/>
  <c r="K24" i="2"/>
  <c r="L23" i="2"/>
  <c r="K23" i="2"/>
  <c r="L22" i="2"/>
  <c r="K22" i="2"/>
  <c r="U21" i="2"/>
  <c r="Q21" i="2"/>
  <c r="L21" i="2"/>
  <c r="K21" i="2"/>
  <c r="U20" i="2"/>
  <c r="Q20" i="2"/>
  <c r="O20" i="2"/>
  <c r="R21" i="2" s="1"/>
  <c r="S21" i="2" s="1"/>
  <c r="V21" i="2" s="1"/>
  <c r="Y21" i="2" s="1"/>
  <c r="L20" i="2"/>
  <c r="K20" i="2"/>
  <c r="K11" i="2"/>
  <c r="J11" i="2"/>
  <c r="I11" i="2"/>
  <c r="G11" i="2"/>
  <c r="K10" i="2"/>
  <c r="J10" i="2"/>
  <c r="I10" i="2"/>
  <c r="G10" i="2"/>
  <c r="K9" i="2"/>
  <c r="J9" i="2"/>
  <c r="I9" i="2"/>
  <c r="G9" i="2"/>
  <c r="K8" i="2"/>
  <c r="J8" i="2"/>
  <c r="I8" i="2"/>
  <c r="G8" i="2"/>
  <c r="K7" i="2"/>
  <c r="J7" i="2"/>
  <c r="I7" i="2"/>
  <c r="G7" i="2"/>
  <c r="T6" i="2"/>
  <c r="U6" i="2" s="1"/>
  <c r="Q6" i="2"/>
  <c r="J6" i="2"/>
  <c r="I6" i="2"/>
  <c r="K6" i="2" s="1"/>
  <c r="G6" i="2"/>
  <c r="T5" i="2"/>
  <c r="Q5" i="2"/>
  <c r="K5" i="2"/>
  <c r="H5" i="2"/>
  <c r="E17" i="5" l="1"/>
  <c r="E10" i="5"/>
  <c r="E19" i="5"/>
  <c r="Q18" i="4"/>
  <c r="G18" i="5" s="1"/>
  <c r="Q9" i="4"/>
  <c r="Q17" i="4"/>
  <c r="Q8" i="4"/>
  <c r="Q23" i="4"/>
  <c r="Q12" i="4"/>
  <c r="G12" i="5" s="1"/>
  <c r="Q7" i="4"/>
  <c r="Q10" i="4"/>
  <c r="G10" i="5" s="1"/>
  <c r="Q22" i="4"/>
  <c r="G22" i="5" s="1"/>
  <c r="Q11" i="4"/>
  <c r="Q21" i="4"/>
  <c r="Q20" i="4"/>
  <c r="G20" i="5" s="1"/>
  <c r="G6" i="5"/>
  <c r="Q19" i="4"/>
  <c r="F18" i="4"/>
  <c r="F9" i="4"/>
  <c r="F17" i="4"/>
  <c r="F8" i="4"/>
  <c r="F23" i="4"/>
  <c r="F12" i="4"/>
  <c r="F7" i="4"/>
  <c r="F21" i="4"/>
  <c r="F10" i="4"/>
  <c r="F20" i="4"/>
  <c r="F22" i="4"/>
  <c r="F11" i="4"/>
  <c r="F19" i="4"/>
  <c r="E23" i="5"/>
  <c r="L24" i="4"/>
  <c r="D18" i="5"/>
  <c r="M27" i="4"/>
  <c r="P19" i="4"/>
  <c r="P18" i="4"/>
  <c r="P9" i="4"/>
  <c r="P10" i="4"/>
  <c r="P17" i="4"/>
  <c r="P8" i="4"/>
  <c r="P22" i="4"/>
  <c r="P21" i="4"/>
  <c r="P23" i="4"/>
  <c r="P12" i="4"/>
  <c r="P7" i="4"/>
  <c r="P11" i="4"/>
  <c r="P20" i="4"/>
  <c r="E21" i="5"/>
  <c r="A17" i="4"/>
  <c r="A17" i="5" s="1"/>
  <c r="I17" i="4"/>
  <c r="K23" i="4"/>
  <c r="H8" i="2"/>
  <c r="H11" i="2"/>
  <c r="A6" i="6"/>
  <c r="B6" i="7"/>
  <c r="Z21" i="2"/>
  <c r="K18" i="4"/>
  <c r="I19" i="4"/>
  <c r="H20" i="4"/>
  <c r="E20" i="5" s="1"/>
  <c r="H6" i="2"/>
  <c r="I9" i="4"/>
  <c r="H18" i="4"/>
  <c r="H7" i="2"/>
  <c r="H9" i="2"/>
  <c r="H10" i="2"/>
  <c r="Z20" i="2"/>
  <c r="I18" i="4"/>
  <c r="H19" i="4"/>
  <c r="W5" i="2"/>
  <c r="U5" i="2" s="1"/>
  <c r="H10" i="4"/>
  <c r="K19" i="4"/>
  <c r="I20" i="4"/>
  <c r="H21" i="4"/>
  <c r="C6" i="5"/>
  <c r="R20" i="2"/>
  <c r="S20" i="2" s="1"/>
  <c r="V20" i="2" s="1"/>
  <c r="Y20" i="2" s="1"/>
  <c r="I10" i="4"/>
  <c r="H11" i="4"/>
  <c r="E11" i="5" s="1"/>
  <c r="L13" i="4"/>
  <c r="L6" i="6" s="1"/>
  <c r="K20" i="4"/>
  <c r="I21" i="4"/>
  <c r="H22" i="4"/>
  <c r="E22" i="5" s="1"/>
  <c r="H7" i="4"/>
  <c r="E7" i="5" s="1"/>
  <c r="I11" i="4"/>
  <c r="H12" i="4"/>
  <c r="E12" i="5" s="1"/>
  <c r="K21" i="4"/>
  <c r="I22" i="4"/>
  <c r="H23" i="4"/>
  <c r="I7" i="4"/>
  <c r="H8" i="4"/>
  <c r="E8" i="5" s="1"/>
  <c r="I12" i="4"/>
  <c r="F6" i="5" l="1"/>
  <c r="G7" i="5"/>
  <c r="G13" i="5" s="1"/>
  <c r="G19" i="5"/>
  <c r="G23" i="5"/>
  <c r="G8" i="5"/>
  <c r="E18" i="5"/>
  <c r="F17" i="5" s="1"/>
  <c r="G21" i="5"/>
  <c r="G17" i="5"/>
  <c r="G11" i="5"/>
  <c r="G9" i="5"/>
  <c r="F24" i="5" l="1"/>
  <c r="J6" i="6" s="1"/>
  <c r="K6" i="6" s="1"/>
  <c r="G24" i="5"/>
  <c r="G27" i="5" s="1"/>
  <c r="AA5" i="2" l="1"/>
  <c r="J7" i="3"/>
  <c r="K7" i="3" s="1"/>
  <c r="H11" i="5" l="1"/>
  <c r="I11" i="5" s="1"/>
  <c r="J11" i="5" s="1"/>
  <c r="H12" i="5"/>
  <c r="I12" i="5" s="1"/>
  <c r="J12" i="5" s="1"/>
  <c r="H18" i="5"/>
  <c r="I18" i="5" s="1"/>
  <c r="J18" i="5" s="1"/>
  <c r="H19" i="5"/>
  <c r="I19" i="5" s="1"/>
  <c r="J19" i="5" s="1"/>
  <c r="H20" i="5"/>
  <c r="I20" i="5" s="1"/>
  <c r="J20" i="5" s="1"/>
  <c r="H17" i="5"/>
  <c r="I17" i="5" s="1"/>
  <c r="H7" i="5"/>
  <c r="I7" i="5" s="1"/>
  <c r="J7" i="5" s="1"/>
  <c r="H21" i="5"/>
  <c r="I21" i="5" s="1"/>
  <c r="J21" i="5" s="1"/>
  <c r="H8" i="5"/>
  <c r="I8" i="5" s="1"/>
  <c r="J8" i="5" s="1"/>
  <c r="H9" i="5"/>
  <c r="I9" i="5" s="1"/>
  <c r="J9" i="5" s="1"/>
  <c r="H6" i="5"/>
  <c r="I6" i="5" s="1"/>
  <c r="H22" i="5"/>
  <c r="I22" i="5" s="1"/>
  <c r="J22" i="5" s="1"/>
  <c r="H23" i="5"/>
  <c r="I23" i="5" s="1"/>
  <c r="J23" i="5" s="1"/>
  <c r="H10" i="5"/>
  <c r="I10" i="5" s="1"/>
  <c r="J10" i="5" s="1"/>
  <c r="L11" i="2"/>
  <c r="L10" i="2"/>
  <c r="L9" i="2"/>
  <c r="L8" i="2"/>
  <c r="L7" i="2"/>
  <c r="L6" i="2"/>
  <c r="L5" i="2"/>
  <c r="I24" i="5" l="1"/>
  <c r="J17" i="5"/>
  <c r="M6" i="2"/>
  <c r="G7" i="4" s="1"/>
  <c r="K7" i="5" s="1"/>
  <c r="N6" i="2"/>
  <c r="G18" i="4" s="1"/>
  <c r="K18" i="5" s="1"/>
  <c r="N10" i="2"/>
  <c r="G22" i="4" s="1"/>
  <c r="M10" i="2"/>
  <c r="G11" i="4" s="1"/>
  <c r="K11" i="5" s="1"/>
  <c r="M5" i="2"/>
  <c r="N5" i="2"/>
  <c r="G17" i="4" s="1"/>
  <c r="K22" i="5"/>
  <c r="M7" i="2"/>
  <c r="G8" i="4" s="1"/>
  <c r="N7" i="2"/>
  <c r="G19" i="4" s="1"/>
  <c r="K19" i="5" s="1"/>
  <c r="I13" i="5"/>
  <c r="I27" i="5" s="1"/>
  <c r="J6" i="5"/>
  <c r="M8" i="2"/>
  <c r="G9" i="4" s="1"/>
  <c r="K9" i="5" s="1"/>
  <c r="N8" i="2"/>
  <c r="G20" i="4" s="1"/>
  <c r="K20" i="5" s="1"/>
  <c r="K12" i="5"/>
  <c r="M11" i="2"/>
  <c r="G12" i="4" s="1"/>
  <c r="N11" i="2"/>
  <c r="G23" i="4" s="1"/>
  <c r="K23" i="5" s="1"/>
  <c r="M9" i="2"/>
  <c r="G10" i="4" s="1"/>
  <c r="K10" i="5" s="1"/>
  <c r="N9" i="2"/>
  <c r="G21" i="4" s="1"/>
  <c r="K21" i="5" s="1"/>
  <c r="K8" i="5"/>
  <c r="K6" i="5" l="1"/>
  <c r="L6" i="5" s="1"/>
  <c r="L24" i="5" s="1"/>
  <c r="G6" i="4"/>
  <c r="O5" i="2"/>
  <c r="K17" i="5"/>
  <c r="L17" i="5" s="1"/>
  <c r="Z5" i="2" l="1"/>
  <c r="R5" i="2"/>
  <c r="S5" i="2" s="1"/>
  <c r="V5" i="2" s="1"/>
  <c r="Y5" i="2" s="1"/>
  <c r="Z6" i="2"/>
  <c r="R6" i="2"/>
  <c r="S6" i="2" s="1"/>
  <c r="V6" i="2" s="1"/>
  <c r="Y6" i="2" s="1"/>
</calcChain>
</file>

<file path=xl/sharedStrings.xml><?xml version="1.0" encoding="utf-8"?>
<sst xmlns="http://schemas.openxmlformats.org/spreadsheetml/2006/main" count="203" uniqueCount="149">
  <si>
    <t>Debitas pagal matuotą diferencinį slėgį</t>
  </si>
  <si>
    <t>Matavimo data</t>
  </si>
  <si>
    <t>Ėminių registracijos Nr. T-107-2026-E-</t>
  </si>
  <si>
    <t>Objekto pavadinimas, adresas, taršos šaltinio Nr.</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</si>
  <si>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</si>
  <si>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</si>
  <si>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</si>
  <si>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</si>
  <si>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</si>
  <si>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</si>
  <si>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</si>
  <si>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</si>
  <si>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</si>
  <si>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</si>
  <si>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</si>
  <si>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</si>
  <si>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</si>
  <si>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</si>
  <si>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</si>
  <si>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</si>
  <si>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Vandens kondensato masė m H2O, kg</t>
  </si>
  <si>
    <t xml:space="preserve">Vandens garų konc. dujose    x=mH2O/Vmn*qn, kg/kg                                                                                                                                                                                                         
                                                                                                                                                      </t>
  </si>
  <si>
    <t>Sausų dujų tūrio debitas normaliosiomis sąlygomis Vn= Vdr n.s *((1/(1+(x*qn/0.8038)))</t>
  </si>
  <si>
    <t>Prasiurbtas dujų tūris normaliosiomis sąlygomis Vmn, Nm3</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</si>
  <si>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</si>
  <si>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</si>
  <si>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</si>
  <si>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</si>
  <si>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</si>
  <si>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UAB ,,Ekopartneris", L. Ivinskio g. 65, Kaunas. Katilinė. Taršos šaltinis  Nr. 001.</t>
  </si>
  <si>
    <t>S.Č. 2026-02-10</t>
  </si>
  <si>
    <t xml:space="preserve">   </t>
  </si>
  <si>
    <t xml:space="preserve">                                                                                                                                                                                                                                                                                                                                                                                                                                                                                                                                                                                                                                                                                                                                                                                                                                                                                                                                                                                                                                                                                                                                                                                                                                                                                                                                                        </t>
  </si>
  <si>
    <t>RPU**</t>
  </si>
  <si>
    <t>Kai bus 2 linijos, RPU** yra 2 linijos vidurinis taškas.</t>
  </si>
  <si>
    <t xml:space="preserve">                     </t>
  </si>
  <si>
    <t>Debitas pagal matuotą dujų greitį</t>
  </si>
  <si>
    <t>Iš Aerodinamika</t>
  </si>
  <si>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</si>
  <si>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</si>
  <si>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</si>
  <si>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</si>
  <si>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</si>
  <si>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</si>
  <si>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Skaičiuoklė kietųjų dalelių koncentracijai nustatyti. H2O skaičiavimas</t>
  </si>
  <si>
    <t xml:space="preserve"> Ėminių ėmimo laikas t, min.</t>
  </si>
  <si>
    <t>Paėmimo greitis, l/min</t>
  </si>
  <si>
    <t>Atmosf. Slėgis, hPa</t>
  </si>
  <si>
    <t>Išretėjimas, -hPa</t>
  </si>
  <si>
    <t>Temp. prie aspirato-riaus, Vtr oC</t>
  </si>
  <si>
    <t>Dujų tūris normaliom sąlygom, Vn   l.</t>
  </si>
  <si>
    <t>Sausų dujų tankis normaliosioms sąlygomis qn (kg/m3)</t>
  </si>
  <si>
    <t>Drėgmės kiekis X (%) (izokinetinei sistemai)</t>
  </si>
  <si>
    <t>Pastabos</t>
  </si>
  <si>
    <t>TŠ 001   H2O</t>
  </si>
  <si>
    <t>Pratraukto dujų tūrio suma H2O, Nm3. Įrašyti į "Dujų tūris pagal ISO" W stulpelį</t>
  </si>
  <si>
    <t>Išmatuotas vandens kiekis 10ltr*10 min.  Įrašyti iš "Dujų tūris pagal ISO" T stulpelio</t>
  </si>
  <si>
    <t>EFSVPATD/3-3-1
AAA Aplinkos tyrimų departamentas</t>
  </si>
  <si>
    <t>Skaičiuoklė kietųjų dalelių koncentracijai nustatyti. Pradinių duomenų nustatymas</t>
  </si>
  <si>
    <t>Ėminių   registracijos Nr. T-107-2026-E-</t>
  </si>
  <si>
    <t>Ortakio skersmuo d (m)</t>
  </si>
  <si>
    <t>Skerspjūvio plotas A  (m2)</t>
  </si>
  <si>
    <t>Temperatūra ortakyje tor (°C)</t>
  </si>
  <si>
    <t>Vidutinis srauto greitis ortakyje wor (m/s)</t>
  </si>
  <si>
    <t>Atmosfe-rinis slėgis  P (hPa)</t>
  </si>
  <si>
    <t>Statinis slėgis ortakyje  ΔPor (hPa)</t>
  </si>
  <si>
    <t>Slėgis prieš rotametrą ΔPr (±hPa)</t>
  </si>
  <si>
    <t>Antgalio diametras da (mm)</t>
  </si>
  <si>
    <t>Prasiurbtas  dujų tūris Vm (m3)</t>
  </si>
  <si>
    <t xml:space="preserve">Siurbimo laikas t (min) </t>
  </si>
  <si>
    <t xml:space="preserve">Siurbimo greitis Vo (l/min) </t>
  </si>
  <si>
    <t>Siurbiamų dujų temperatūra prieš rotametrą tr (°C)</t>
  </si>
  <si>
    <t>O2iš (%) (ore 21 %)</t>
  </si>
  <si>
    <t>CO2iš (%) (ore 0,04 %)</t>
  </si>
  <si>
    <t>Darbuotojo inicialai, data</t>
  </si>
  <si>
    <t>Išmatuota O2 koncentracija (%)</t>
  </si>
  <si>
    <t>Išmatuota CO2 koncentracija (%)</t>
  </si>
  <si>
    <t>3</t>
  </si>
  <si>
    <t>S.Č., 2026-05-02</t>
  </si>
  <si>
    <t>1 linija, 1 filtras</t>
  </si>
  <si>
    <t>O2iš, (%) vidurkis</t>
  </si>
  <si>
    <t>CO2iš, (%) vidurkis</t>
  </si>
  <si>
    <t xml:space="preserve"> tor vidurkis, °C</t>
  </si>
  <si>
    <t>Suma Vm, m3</t>
  </si>
  <si>
    <t>Suma t, min</t>
  </si>
  <si>
    <t xml:space="preserve">Vidurkis Vo (l/min) </t>
  </si>
  <si>
    <t xml:space="preserve"> </t>
  </si>
  <si>
    <t>2 linija, 1 filtras</t>
  </si>
  <si>
    <t>Viso suma t, min</t>
  </si>
  <si>
    <t xml:space="preserve">Vidurkių vidurkis Vo vid (l/min) </t>
  </si>
  <si>
    <t>EFSVPATD/3-3-2
AAA Aplinkos tyrimų departamentas</t>
  </si>
  <si>
    <t>Skaičiuoklė kietųjų dalelių koncentracijai nustatyti. Izokinetiškumo nustatymas</t>
  </si>
  <si>
    <t>Ėminių  registracijos Nr. T-107-2026-E-</t>
  </si>
  <si>
    <t>Prasiurbtas dujų tūris normaliosiomis sąlygomis Vmn (Nm3)</t>
  </si>
  <si>
    <t>Prasiurbto dujų tūrio normaliosiomis sąlygomis suma Vmn(sum) (Nm3)</t>
  </si>
  <si>
    <t>Drėgmės kiekis X (%)</t>
  </si>
  <si>
    <t>Pratrauktas drėgnų dujų tūris realiomis sąlygomis Vmk (m3)</t>
  </si>
  <si>
    <t>Dujų srauto greitis antgalyje v antg. (m/s)</t>
  </si>
  <si>
    <t>Izokine-tiškumas (0,95-1,15)</t>
  </si>
  <si>
    <t xml:space="preserve"> Izokine-tiškumo vidurkis  (0,95-1,15)</t>
  </si>
  <si>
    <t>Skaičiavimus atlikusio asmens inicialai, data</t>
  </si>
  <si>
    <t>Vidurkis qn, (kg/m3)</t>
  </si>
  <si>
    <t>Suma Vmk (m3)</t>
  </si>
  <si>
    <t>Viso suma Vmn(sum), Nm3.</t>
  </si>
  <si>
    <t xml:space="preserve"> Izokine-tiškumo vidurkių vidurkis</t>
  </si>
  <si>
    <t>Vidurkių vidurkis qn, (kg/m3)</t>
  </si>
  <si>
    <t>Viso suma Vmk(sum), m3.</t>
  </si>
  <si>
    <t>Įvestiniai duomenys</t>
  </si>
  <si>
    <t>Suskaičiuoti duomenys</t>
  </si>
  <si>
    <t>EFSVPATD/3-3-3
AAA Aplinkos tyrimų departamentas</t>
  </si>
  <si>
    <t>Skaičiuoklė kietųjų dalelių koncentracijai nustatyti. Kietųjų dalelių koncentracijos nustatymas</t>
  </si>
  <si>
    <t xml:space="preserve">Filtro Nr. </t>
  </si>
  <si>
    <t>Filtro svoris prieš KD ėmimą mpr (g)</t>
  </si>
  <si>
    <t xml:space="preserve"> Filtro svoris po KD ėmimo mpo (g)</t>
  </si>
  <si>
    <t>Tuščiojo ėminio KD svoris mt (g)</t>
  </si>
  <si>
    <t>Nuosėdų kiekis mn (g)</t>
  </si>
  <si>
    <t>Indų svorių pokytis mIt (g)</t>
  </si>
  <si>
    <t>Sausų dujų tūris n.s. Vmn (Nm3)</t>
  </si>
  <si>
    <t>Kietų dalelių koncentracija c1  (neįvert. O2) (mg/Nm3)</t>
  </si>
  <si>
    <t>Tuščiojo filtro vertė mft (mg/m3) (&lt; 2 mg/m3)</t>
  </si>
  <si>
    <t>Surinktų dulkių ir tuščiojo ėminio santykis mFtk (&gt;5)</t>
  </si>
  <si>
    <t>Filtrų skaičius Fsk (vnt.)</t>
  </si>
  <si>
    <t>FSVPATD/3-3-4
AAA Aplinkos tyrimų departamentas</t>
  </si>
  <si>
    <t>Skaičiuoklė kietųjų dalelių koncentracijai nustatyti. Svėrimas</t>
  </si>
  <si>
    <t xml:space="preserve">Filtro/ indo Nr. </t>
  </si>
  <si>
    <t>Tuščio filtro/indo svėrimo data</t>
  </si>
  <si>
    <t>Filtro/indo svoris prieš KD ėmimą mpr (g)</t>
  </si>
  <si>
    <t>Atsakingo asmens inicialai, data</t>
  </si>
  <si>
    <t xml:space="preserve"> Filtro/indo su ėminiu svėrimo data</t>
  </si>
  <si>
    <t xml:space="preserve"> Filtro/indo svoris po KD ėmimo mpo (g)</t>
  </si>
  <si>
    <t>Kietųjų dalelių svoris  mf/Svorių pokytis (g) (&lt;2,20 g filtro talpumas)</t>
  </si>
  <si>
    <t>S.Č., 2026-02-11</t>
  </si>
  <si>
    <t>1 ir 2 linijos, 1 filtras</t>
  </si>
  <si>
    <t>Tuščiasis ėminys (mt)</t>
  </si>
  <si>
    <t>Išplautos nuosėdos (mn)</t>
  </si>
  <si>
    <t>00</t>
  </si>
  <si>
    <t>Išvalytos ėminių sistemos tuščiasis ėminys (mIt)</t>
  </si>
  <si>
    <t>01</t>
  </si>
  <si>
    <t>Tušti indai svorio kontrolei (mIt1)</t>
  </si>
  <si>
    <t>02</t>
  </si>
  <si>
    <t>Tušti indai svorio kontrolei (mIt2)</t>
  </si>
  <si>
    <t>03</t>
  </si>
  <si>
    <t>Tušti indai svorio kontrolei (mIt3)</t>
  </si>
  <si>
    <t>Tuščių indų ir išvalytos ėminių sistemos tuščiojo ėminio svorio pokytis (mItp)</t>
  </si>
  <si>
    <t>Patikrinimas, ar planuojamas surinkti dulkių kiekis suderinamas su tuščiojo ėminio verte ir ar filtras nebus per daug apkrautas</t>
  </si>
  <si>
    <t>Planuojama surinkti dulkių masė m, g (&lt;2,20 g)</t>
  </si>
  <si>
    <t>Mažiausia ėminio ėmimo trukmė t, 30 min</t>
  </si>
  <si>
    <t>Tikėtina dulkių koncentracija cexs, mg/Nm3;</t>
  </si>
  <si>
    <t>Planuojamas dujų tūrio siurbimo greitis matavimo metu ortakio sąlygomis Vo, l/min.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</si>
</sst>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yyyy\-mm\-dd"/>
    <numFmt numFmtId="166" formatCode="0.00000"/>
    <numFmt numFmtId="167" formatCode="yyyy\-mm\-dd;@"/>
    <numFmt numFmtId="168" formatCode="0.0"/>
    <numFmt numFmtId="169" formatCode="0.000"/>
    <numFmt numFmtId="170" formatCode="0;[Red]0"/>
    <numFmt numFmtId="171" formatCode="0.000000"/>
    <numFmt numFmtId="172" formatCode="0.0;[Red]0.0"/>
  </numFmts>
  <fonts count="17" x14ac:knownFonts="1">
    <font>
      <sz val="10"/>
      <name val="Arial"/>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name val="Times New Roman"/>
      <family val="1"/>
    </font>
    <font>
      <sz val="12"/>
      <color theme="1"/>
      <name val="Times New Roman"/>
      <family val="1"/>
      <charset val="186"/>
    </font>
    <font>
      <b/>
      <sz val="10"/>
      <color rgb="FF000000"/>
      <name val="Times New Roman"/>
    </font>
    <font>
      <sz val="10"/>
      <color rgb="FF000000"/>
      <name val="Arial"/>
    </font>
  </fonts>
  <fills count="8">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rgb="FF00B050"/>
        <bgColor indexed="64"/>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s>
  <borders count="23">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s>
  <cellStyleXfs count="4">
    <xf numFmtId="0" fontId="0" fillId="0" borderId="0"/>
    <xf numFmtId="0" fontId="4" fillId="0" borderId="0"/>
    <xf numFmtId="9" fontId="4" fillId="0" borderId="0"/>
    <xf numFmtId="9" fontId="4" fillId="0" borderId="0"/>
  </cellStyleXfs>
  <cellXfs count="299">
    <xf numFmtId="0" fontId="0" fillId="0" borderId="0" xfId="0"/>
    <xf numFmtId="0" fontId="1"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1"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7" fillId="0" borderId="4" xfId="0" applyFont="1" applyBorder="1" applyAlignment="1" applyProtection="1">
      <alignment horizontal="center" vertical="center" wrapText="1"/>
      <protection locked="0"/>
    </xf>
    <xf numFmtId="0" fontId="7" fillId="0" borderId="0" xfId="0" applyFont="1" applyAlignment="1" applyProtection="1">
      <alignment horizontal="center" vertical="center"/>
      <protection locked="0"/>
    </xf>
    <xf numFmtId="0" fontId="5" fillId="0" borderId="5" xfId="1" applyFont="1" applyBorder="1" applyAlignment="1" applyProtection="1">
      <alignment horizontal="center" vertical="center" wrapText="1"/>
      <protection locked="0"/>
    </xf>
    <xf numFmtId="0" fontId="5" fillId="0" borderId="4"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protection locked="0"/>
    </xf>
    <xf numFmtId="0" fontId="3" fillId="0" borderId="0" xfId="0" applyFont="1" applyProtection="1">
      <protection locked="0"/>
    </xf>
    <xf numFmtId="0" fontId="7" fillId="0" borderId="0" xfId="0" applyFont="1" applyAlignment="1" applyProtection="1">
      <alignment horizontal="center" vertical="center" wrapText="1"/>
      <protection locked="0"/>
    </xf>
    <xf numFmtId="0" fontId="3" fillId="0" borderId="0" xfId="0" applyFont="1" applyAlignment="1" applyProtection="1">
      <alignment horizontal="right"/>
      <protection locked="0"/>
    </xf>
    <xf numFmtId="0" fontId="5" fillId="0" borderId="0" xfId="0" applyFont="1" applyAlignment="1" applyProtection="1">
      <alignment horizontal="center"/>
      <protection locked="0"/>
    </xf>
    <xf numFmtId="0" fontId="3" fillId="0" borderId="0" xfId="0" applyFont="1" applyAlignment="1" applyProtection="1">
      <alignment horizontal="center"/>
      <protection locked="0"/>
    </xf>
    <xf numFmtId="0" fontId="3" fillId="0" borderId="0" xfId="1" applyFont="1" applyProtection="1">
      <protection locked="0"/>
    </xf>
    <xf numFmtId="2" fontId="3" fillId="0" borderId="0" xfId="0" applyNumberFormat="1" applyFont="1" applyAlignment="1" applyProtection="1">
      <alignment vertical="center"/>
      <protection locked="0"/>
    </xf>
    <xf numFmtId="0" fontId="6" fillId="0" borderId="0" xfId="0" applyFont="1" applyAlignment="1" applyProtection="1">
      <alignment horizontal="center" vertical="center"/>
      <protection locked="0"/>
    </xf>
    <xf numFmtId="0" fontId="2" fillId="0" borderId="0" xfId="0" applyFont="1" applyProtection="1">
      <protection locked="0"/>
    </xf>
    <xf numFmtId="49" fontId="6" fillId="0" borderId="0" xfId="0" applyNumberFormat="1" applyFont="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168" fontId="6" fillId="0" borderId="4" xfId="0" applyNumberFormat="1" applyFont="1" applyBorder="1" applyAlignment="1" applyProtection="1">
      <alignment horizontal="center" vertical="center"/>
      <protection locked="0"/>
    </xf>
    <xf numFmtId="0" fontId="3" fillId="0" borderId="4" xfId="0" applyFont="1" applyBorder="1" applyAlignment="1" applyProtection="1">
      <alignment horizontal="center" vertical="center" wrapText="1"/>
      <protection locked="0"/>
    </xf>
    <xf numFmtId="0" fontId="2" fillId="0" borderId="4" xfId="0" applyFont="1" applyBorder="1" applyProtection="1">
      <protection locked="0"/>
    </xf>
    <xf numFmtId="169" fontId="9" fillId="0" borderId="4" xfId="0" applyNumberFormat="1" applyFont="1" applyBorder="1" applyAlignment="1" applyProtection="1">
      <alignment horizontal="center" vertical="center"/>
      <protection locked="0"/>
    </xf>
    <xf numFmtId="0" fontId="5" fillId="0" borderId="5" xfId="0" applyFont="1" applyBorder="1" applyAlignment="1" applyProtection="1">
      <alignment horizontal="center" vertical="center" wrapText="1"/>
      <protection locked="0"/>
    </xf>
    <xf numFmtId="0" fontId="2" fillId="0" borderId="4" xfId="0" applyFont="1" applyBorder="1" applyAlignment="1" applyProtection="1">
      <alignment horizontal="center" vertical="center"/>
      <protection locked="0"/>
    </xf>
    <xf numFmtId="0" fontId="7" fillId="0" borderId="0" xfId="0" applyFont="1" applyAlignment="1" applyProtection="1">
      <alignment vertical="top" wrapText="1"/>
      <protection locked="0"/>
    </xf>
    <xf numFmtId="0" fontId="7" fillId="0" borderId="0" xfId="0" applyFont="1" applyAlignment="1" applyProtection="1">
      <alignment horizontal="center" vertical="top" wrapText="1"/>
      <protection locked="0"/>
    </xf>
    <xf numFmtId="0" fontId="3" fillId="0" borderId="8" xfId="0" applyFont="1" applyBorder="1" applyAlignment="1" applyProtection="1">
      <alignment horizontal="center" vertical="center" wrapText="1"/>
      <protection locked="0"/>
    </xf>
    <xf numFmtId="169" fontId="3" fillId="0" borderId="0" xfId="0" applyNumberFormat="1" applyFont="1" applyAlignment="1" applyProtection="1">
      <alignment horizontal="center" vertical="top" wrapText="1"/>
      <protection locked="0"/>
    </xf>
    <xf numFmtId="169" fontId="3" fillId="0" borderId="4" xfId="0" applyNumberFormat="1" applyFont="1" applyBorder="1" applyAlignment="1" applyProtection="1">
      <alignment horizontal="center" vertical="top" wrapText="1"/>
      <protection locked="0"/>
    </xf>
    <xf numFmtId="0" fontId="6" fillId="0" borderId="4" xfId="0" applyFont="1" applyBorder="1" applyAlignment="1">
      <alignment horizontal="center" vertical="center"/>
    </xf>
    <xf numFmtId="169" fontId="6" fillId="0" borderId="4" xfId="0" applyNumberFormat="1" applyFont="1" applyBorder="1" applyAlignment="1" applyProtection="1">
      <alignment horizontal="center" vertical="center"/>
      <protection locked="0"/>
    </xf>
    <xf numFmtId="2" fontId="6" fillId="0" borderId="4" xfId="0" applyNumberFormat="1" applyFont="1" applyBorder="1" applyAlignment="1">
      <alignment horizontal="center" vertical="center"/>
    </xf>
    <xf numFmtId="171" fontId="6" fillId="0" borderId="4" xfId="0" applyNumberFormat="1" applyFont="1" applyBorder="1" applyAlignment="1">
      <alignment horizontal="center" vertical="center"/>
    </xf>
    <xf numFmtId="164" fontId="6" fillId="0" borderId="4" xfId="0" applyNumberFormat="1" applyFont="1" applyBorder="1" applyAlignment="1">
      <alignment horizontal="center" vertical="center"/>
    </xf>
    <xf numFmtId="0" fontId="6" fillId="0" borderId="4" xfId="0" applyFont="1" applyBorder="1" applyAlignment="1" applyProtection="1">
      <alignment horizontal="center" vertical="center" wrapText="1"/>
      <protection locked="0"/>
    </xf>
    <xf numFmtId="171" fontId="9" fillId="0" borderId="4" xfId="0" applyNumberFormat="1" applyFont="1" applyBorder="1" applyAlignment="1">
      <alignment horizontal="center" vertical="center"/>
    </xf>
    <xf numFmtId="169" fontId="9" fillId="0" borderId="4" xfId="0" applyNumberFormat="1" applyFont="1" applyBorder="1" applyAlignment="1">
      <alignment horizontal="center" vertical="center"/>
    </xf>
    <xf numFmtId="0" fontId="3" fillId="0" borderId="0" xfId="0" applyFont="1" applyAlignment="1" applyProtection="1">
      <alignment horizontal="center" vertical="center"/>
      <protection locked="0"/>
    </xf>
    <xf numFmtId="0" fontId="3" fillId="0" borderId="0" xfId="0" applyFont="1" applyAlignment="1" applyProtection="1">
      <alignment vertical="center"/>
      <protection locked="0"/>
    </xf>
    <xf numFmtId="0" fontId="3" fillId="0" borderId="11"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4" borderId="4" xfId="0" applyFont="1" applyFill="1" applyBorder="1" applyAlignment="1" applyProtection="1">
      <alignment horizontal="center" vertical="center" wrapText="1"/>
      <protection locked="0"/>
    </xf>
    <xf numFmtId="0" fontId="10" fillId="0" borderId="4" xfId="0" applyFont="1" applyBorder="1" applyAlignment="1" applyProtection="1">
      <alignment horizontal="center" vertical="center" wrapText="1"/>
      <protection locked="0"/>
    </xf>
    <xf numFmtId="2" fontId="10" fillId="2" borderId="4" xfId="0" applyNumberFormat="1" applyFont="1" applyFill="1" applyBorder="1" applyAlignment="1">
      <alignment horizontal="center" vertical="center"/>
    </xf>
    <xf numFmtId="0" fontId="10" fillId="0" borderId="4" xfId="0" applyFont="1" applyBorder="1" applyAlignment="1" applyProtection="1">
      <alignment horizontal="center" vertical="center"/>
      <protection locked="0"/>
    </xf>
    <xf numFmtId="0" fontId="11" fillId="0" borderId="4" xfId="0" applyFont="1" applyBorder="1" applyAlignment="1" applyProtection="1">
      <alignment horizontal="center" vertical="center"/>
      <protection locked="0"/>
    </xf>
    <xf numFmtId="1" fontId="11" fillId="0" borderId="4" xfId="0" applyNumberFormat="1"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2" fontId="5" fillId="0" borderId="4" xfId="0" applyNumberFormat="1" applyFont="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49" fontId="7" fillId="0" borderId="4" xfId="0" applyNumberFormat="1" applyFont="1" applyBorder="1" applyAlignment="1" applyProtection="1">
      <alignment horizontal="center" vertical="center" wrapText="1"/>
      <protection locked="0"/>
    </xf>
    <xf numFmtId="0" fontId="14" fillId="0" borderId="5" xfId="0" applyFont="1" applyBorder="1" applyAlignment="1" applyProtection="1">
      <alignment horizontal="center" vertical="center"/>
      <protection locked="0"/>
    </xf>
    <xf numFmtId="0" fontId="9" fillId="0" borderId="4" xfId="0" applyFont="1" applyBorder="1" applyAlignment="1" applyProtection="1">
      <alignment horizontal="center" vertical="center"/>
      <protection locked="0"/>
    </xf>
    <xf numFmtId="2" fontId="6" fillId="0" borderId="4" xfId="0" applyNumberFormat="1" applyFont="1" applyBorder="1" applyAlignment="1" applyProtection="1">
      <alignment horizontal="center" vertical="center" wrapText="1"/>
      <protection locked="0"/>
    </xf>
    <xf numFmtId="2" fontId="6" fillId="0" borderId="4" xfId="0" applyNumberFormat="1" applyFont="1" applyBorder="1" applyAlignment="1" applyProtection="1">
      <alignment horizontal="center" vertical="center"/>
      <protection locked="0"/>
    </xf>
    <xf numFmtId="2" fontId="6" fillId="0" borderId="5" xfId="0" applyNumberFormat="1"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2" fontId="6" fillId="0" borderId="18"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14" fillId="0" borderId="14" xfId="0" applyFont="1" applyBorder="1" applyAlignment="1" applyProtection="1">
      <alignment horizontal="center" vertical="center"/>
      <protection locked="0"/>
    </xf>
    <xf numFmtId="2" fontId="6" fillId="0" borderId="19" xfId="0" applyNumberFormat="1" applyFont="1" applyBorder="1" applyAlignment="1" applyProtection="1">
      <alignment horizontal="center" vertical="center"/>
      <protection locked="0"/>
    </xf>
    <xf numFmtId="0" fontId="14" fillId="0" borderId="17" xfId="0" applyFont="1" applyBorder="1" applyAlignment="1" applyProtection="1">
      <alignment horizontal="center" vertical="center"/>
      <protection locked="0"/>
    </xf>
    <xf numFmtId="0" fontId="14" fillId="0" borderId="4"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169" fontId="6" fillId="0" borderId="4" xfId="0" applyNumberFormat="1" applyFont="1" applyBorder="1" applyAlignment="1" applyProtection="1">
      <alignment horizontal="center" vertical="center" wrapText="1"/>
      <protection locked="0"/>
    </xf>
    <xf numFmtId="169" fontId="14" fillId="0" borderId="4" xfId="0" applyNumberFormat="1" applyFont="1" applyBorder="1" applyAlignment="1" applyProtection="1">
      <alignment horizontal="center" vertical="center"/>
      <protection locked="0"/>
    </xf>
    <xf numFmtId="169" fontId="6" fillId="0" borderId="0" xfId="0" applyNumberFormat="1" applyFont="1" applyAlignment="1" applyProtection="1">
      <alignment horizontal="center" vertical="center"/>
      <protection locked="0"/>
    </xf>
    <xf numFmtId="169" fontId="14" fillId="0" borderId="0" xfId="0" applyNumberFormat="1" applyFont="1" applyAlignment="1" applyProtection="1">
      <alignment horizontal="center" vertical="center"/>
      <protection locked="0"/>
    </xf>
    <xf numFmtId="2" fontId="6" fillId="0" borderId="0" xfId="0" applyNumberFormat="1" applyFont="1" applyAlignment="1" applyProtection="1">
      <alignment horizontal="center" vertical="center"/>
      <protection locked="0"/>
    </xf>
    <xf numFmtId="0" fontId="14" fillId="0" borderId="4" xfId="0" applyFont="1" applyBorder="1" applyAlignment="1" applyProtection="1">
      <alignment horizontal="center" vertical="center" wrapText="1"/>
      <protection locked="0"/>
    </xf>
    <xf numFmtId="0" fontId="14" fillId="0" borderId="15"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2" fontId="6" fillId="0" borderId="15" xfId="0" applyNumberFormat="1" applyFont="1" applyBorder="1" applyAlignment="1" applyProtection="1">
      <alignment horizontal="center" vertical="center"/>
      <protection locked="0"/>
    </xf>
    <xf numFmtId="0" fontId="7" fillId="0" borderId="8" xfId="0" applyFont="1" applyBorder="1" applyAlignment="1" applyProtection="1">
      <alignment horizontal="center" vertical="center" wrapText="1"/>
      <protection locked="0"/>
    </xf>
    <xf numFmtId="169" fontId="6" fillId="0" borderId="5" xfId="0" applyNumberFormat="1" applyFont="1" applyBorder="1" applyAlignment="1" applyProtection="1">
      <alignment horizontal="center" vertical="center" wrapText="1"/>
      <protection locked="0"/>
    </xf>
    <xf numFmtId="169" fontId="6" fillId="0" borderId="5" xfId="0" applyNumberFormat="1"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7" fillId="0" borderId="4" xfId="0" applyFont="1" applyBorder="1" applyAlignment="1">
      <alignment horizontal="center" vertical="center" wrapText="1"/>
    </xf>
    <xf numFmtId="0" fontId="9" fillId="5" borderId="4" xfId="0" applyFont="1" applyFill="1" applyBorder="1" applyAlignment="1" applyProtection="1">
      <alignment horizontal="center" vertical="center"/>
      <protection locked="0"/>
    </xf>
    <xf numFmtId="2" fontId="6" fillId="5" borderId="4" xfId="0" applyNumberFormat="1" applyFont="1" applyFill="1" applyBorder="1" applyAlignment="1" applyProtection="1">
      <alignment horizontal="center" vertical="center" wrapText="1"/>
      <protection locked="0"/>
    </xf>
    <xf numFmtId="169" fontId="6" fillId="5" borderId="4" xfId="0" applyNumberFormat="1" applyFont="1" applyFill="1" applyBorder="1" applyAlignment="1" applyProtection="1">
      <alignment horizontal="center" vertical="center"/>
      <protection locked="0"/>
    </xf>
    <xf numFmtId="168" fontId="6" fillId="5" borderId="4" xfId="0" applyNumberFormat="1" applyFont="1" applyFill="1" applyBorder="1" applyAlignment="1">
      <alignment horizontal="center" vertical="center"/>
    </xf>
    <xf numFmtId="0" fontId="6" fillId="5" borderId="4" xfId="0" applyFont="1" applyFill="1" applyBorder="1" applyAlignment="1" applyProtection="1">
      <alignment horizontal="center" vertical="center"/>
      <protection locked="0"/>
    </xf>
    <xf numFmtId="2" fontId="6" fillId="5" borderId="4" xfId="0" applyNumberFormat="1" applyFont="1" applyFill="1" applyBorder="1" applyAlignment="1" applyProtection="1">
      <alignment horizontal="center" vertical="center"/>
      <protection locked="0"/>
    </xf>
    <xf numFmtId="168" fontId="6" fillId="6" borderId="4" xfId="0" applyNumberFormat="1" applyFont="1" applyFill="1" applyBorder="1" applyAlignment="1">
      <alignment horizontal="center" vertical="center"/>
    </xf>
    <xf numFmtId="0" fontId="6" fillId="6" borderId="4" xfId="0" applyFont="1" applyFill="1" applyBorder="1" applyAlignment="1">
      <alignment horizontal="center" vertical="center"/>
    </xf>
    <xf numFmtId="2" fontId="6" fillId="6" borderId="4" xfId="0" applyNumberFormat="1" applyFont="1" applyFill="1" applyBorder="1" applyAlignment="1">
      <alignment horizontal="center" vertical="center"/>
    </xf>
    <xf numFmtId="164" fontId="6" fillId="6" borderId="4" xfId="0" applyNumberFormat="1" applyFont="1" applyFill="1" applyBorder="1" applyAlignment="1">
      <alignment horizontal="center" vertical="center"/>
    </xf>
    <xf numFmtId="169" fontId="6" fillId="6" borderId="4" xfId="0" applyNumberFormat="1" applyFont="1" applyFill="1" applyBorder="1" applyAlignment="1">
      <alignment horizontal="center" vertical="center"/>
    </xf>
    <xf numFmtId="169" fontId="6" fillId="5" borderId="4" xfId="0" applyNumberFormat="1" applyFont="1" applyFill="1" applyBorder="1" applyAlignment="1">
      <alignment horizontal="center" vertical="center"/>
    </xf>
    <xf numFmtId="169" fontId="9" fillId="5" borderId="4" xfId="0" applyNumberFormat="1" applyFont="1" applyFill="1" applyBorder="1" applyAlignment="1">
      <alignment horizontal="center" vertical="center"/>
    </xf>
    <xf numFmtId="164" fontId="9" fillId="6" borderId="4" xfId="0" applyNumberFormat="1" applyFont="1" applyFill="1" applyBorder="1" applyAlignment="1">
      <alignment horizontal="center" vertical="center" wrapText="1"/>
    </xf>
    <xf numFmtId="171" fontId="9" fillId="5" borderId="4" xfId="0" applyNumberFormat="1" applyFont="1" applyFill="1" applyBorder="1" applyAlignment="1">
      <alignment horizontal="center" vertical="center"/>
    </xf>
    <xf numFmtId="169" fontId="9" fillId="5" borderId="4" xfId="0" applyNumberFormat="1" applyFont="1" applyFill="1" applyBorder="1" applyAlignment="1" applyProtection="1">
      <alignment horizontal="center" vertical="center" wrapText="1"/>
      <protection locked="0"/>
    </xf>
    <xf numFmtId="169" fontId="9" fillId="6" borderId="4" xfId="0" applyNumberFormat="1" applyFont="1" applyFill="1" applyBorder="1" applyAlignment="1">
      <alignment horizontal="center" vertical="center" wrapText="1"/>
    </xf>
    <xf numFmtId="2" fontId="9" fillId="6" borderId="4" xfId="0" applyNumberFormat="1" applyFont="1" applyFill="1" applyBorder="1" applyAlignment="1">
      <alignment horizontal="center" vertical="center"/>
    </xf>
    <xf numFmtId="2" fontId="9" fillId="5" borderId="4" xfId="0" applyNumberFormat="1" applyFont="1" applyFill="1" applyBorder="1" applyAlignment="1">
      <alignment horizontal="center" vertical="center"/>
    </xf>
    <xf numFmtId="1" fontId="6" fillId="5" borderId="4" xfId="0" applyNumberFormat="1" applyFont="1" applyFill="1" applyBorder="1" applyAlignment="1">
      <alignment horizontal="center" vertical="center"/>
    </xf>
    <xf numFmtId="2" fontId="6" fillId="5" borderId="4" xfId="0" applyNumberFormat="1" applyFont="1" applyFill="1" applyBorder="1" applyAlignment="1">
      <alignment horizontal="center" vertical="center"/>
    </xf>
    <xf numFmtId="2" fontId="6" fillId="5" borderId="21" xfId="0" applyNumberFormat="1" applyFont="1" applyFill="1" applyBorder="1" applyAlignment="1" applyProtection="1">
      <alignment horizontal="center" vertical="center"/>
      <protection locked="0"/>
    </xf>
    <xf numFmtId="164" fontId="6" fillId="6" borderId="7" xfId="0" applyNumberFormat="1" applyFont="1" applyFill="1" applyBorder="1" applyAlignment="1">
      <alignment horizontal="center" vertical="center"/>
    </xf>
    <xf numFmtId="0" fontId="9" fillId="5" borderId="5" xfId="0" applyFont="1" applyFill="1" applyBorder="1" applyAlignment="1" applyProtection="1">
      <alignment horizontal="center" vertical="center"/>
      <protection locked="0"/>
    </xf>
    <xf numFmtId="168" fontId="6" fillId="6" borderId="5" xfId="0" applyNumberFormat="1" applyFont="1" applyFill="1" applyBorder="1" applyAlignment="1">
      <alignment horizontal="center" vertical="center"/>
    </xf>
    <xf numFmtId="2" fontId="6" fillId="6" borderId="5" xfId="0" applyNumberFormat="1" applyFont="1" applyFill="1" applyBorder="1" applyAlignment="1">
      <alignment horizontal="center" vertical="center"/>
    </xf>
    <xf numFmtId="2" fontId="6" fillId="5" borderId="20" xfId="0" applyNumberFormat="1" applyFont="1" applyFill="1" applyBorder="1" applyAlignment="1" applyProtection="1">
      <alignment horizontal="center" vertical="center"/>
      <protection locked="0"/>
    </xf>
    <xf numFmtId="168" fontId="6" fillId="0" borderId="4" xfId="0" applyNumberFormat="1" applyFont="1" applyBorder="1" applyAlignment="1">
      <alignment horizontal="center" vertical="center"/>
    </xf>
    <xf numFmtId="169" fontId="6" fillId="0" borderId="4" xfId="0" applyNumberFormat="1" applyFont="1" applyBorder="1" applyAlignment="1">
      <alignment horizontal="center" vertical="center"/>
    </xf>
    <xf numFmtId="164" fontId="9" fillId="0" borderId="4" xfId="0" applyNumberFormat="1" applyFont="1" applyBorder="1" applyAlignment="1">
      <alignment horizontal="center" vertical="center" wrapText="1"/>
    </xf>
    <xf numFmtId="171" fontId="6" fillId="0" borderId="4" xfId="0" applyNumberFormat="1" applyFont="1" applyBorder="1" applyAlignment="1" applyProtection="1">
      <alignment horizontal="center" vertical="center"/>
      <protection locked="0"/>
    </xf>
    <xf numFmtId="164" fontId="6" fillId="0" borderId="7" xfId="0" applyNumberFormat="1" applyFont="1" applyBorder="1" applyAlignment="1">
      <alignment horizontal="center" vertical="center"/>
    </xf>
    <xf numFmtId="168" fontId="6" fillId="0" borderId="5" xfId="0" applyNumberFormat="1" applyFont="1" applyBorder="1" applyAlignment="1">
      <alignment horizontal="center" vertical="center"/>
    </xf>
    <xf numFmtId="0" fontId="15" fillId="0" borderId="4" xfId="0" applyFont="1" applyBorder="1" applyAlignment="1" applyProtection="1">
      <alignment horizontal="center" vertical="center" wrapText="1"/>
      <protection locked="0"/>
    </xf>
    <xf numFmtId="0" fontId="15" fillId="5" borderId="4" xfId="0" applyFont="1" applyFill="1" applyBorder="1" applyAlignment="1" applyProtection="1">
      <alignment horizontal="center" vertical="center"/>
      <protection locked="0"/>
    </xf>
    <xf numFmtId="1" fontId="15" fillId="5" borderId="4" xfId="0" applyNumberFormat="1" applyFont="1" applyFill="1" applyBorder="1" applyAlignment="1" applyProtection="1">
      <alignment horizontal="center" vertical="center"/>
      <protection locked="0"/>
    </xf>
    <xf numFmtId="0" fontId="15" fillId="5" borderId="4" xfId="0" applyFont="1" applyFill="1" applyBorder="1" applyAlignment="1">
      <alignment horizontal="center" vertical="center"/>
    </xf>
    <xf numFmtId="168" fontId="15" fillId="5" borderId="4" xfId="0" applyNumberFormat="1" applyFont="1" applyFill="1" applyBorder="1" applyAlignment="1" applyProtection="1">
      <alignment horizontal="center" vertical="center"/>
      <protection locked="0"/>
    </xf>
    <xf numFmtId="2" fontId="15" fillId="6" borderId="4" xfId="0" applyNumberFormat="1" applyFont="1" applyFill="1" applyBorder="1" applyAlignment="1">
      <alignment horizontal="center" vertical="center"/>
    </xf>
    <xf numFmtId="171" fontId="15" fillId="6" borderId="4" xfId="0" applyNumberFormat="1" applyFont="1" applyFill="1" applyBorder="1" applyAlignment="1">
      <alignment horizontal="center" vertical="center"/>
    </xf>
    <xf numFmtId="169" fontId="15" fillId="5" borderId="4" xfId="0" applyNumberFormat="1" applyFont="1" applyFill="1" applyBorder="1" applyAlignment="1" applyProtection="1">
      <alignment horizontal="center" vertical="center"/>
      <protection locked="0"/>
    </xf>
    <xf numFmtId="2" fontId="15" fillId="5" borderId="4" xfId="0" applyNumberFormat="1" applyFont="1" applyFill="1" applyBorder="1" applyAlignment="1">
      <alignment horizontal="center" vertical="center"/>
    </xf>
    <xf numFmtId="169" fontId="15" fillId="6" borderId="4" xfId="0" applyNumberFormat="1" applyFont="1" applyFill="1" applyBorder="1" applyAlignment="1">
      <alignment horizontal="center" vertical="center"/>
    </xf>
    <xf numFmtId="0" fontId="15" fillId="0" borderId="4" xfId="0" applyFont="1" applyBorder="1" applyProtection="1">
      <protection locked="0"/>
    </xf>
    <xf numFmtId="167" fontId="16" fillId="0" borderId="5" xfId="0" applyNumberFormat="1" applyFont="1" applyBorder="1" applyAlignment="1">
      <alignment horizontal="center" vertical="center"/>
    </xf>
    <xf numFmtId="49" fontId="16" fillId="0" borderId="5" xfId="0" applyNumberFormat="1" applyFont="1" applyBorder="1" applyAlignment="1" applyProtection="1">
      <alignment horizontal="center" vertical="center"/>
      <protection locked="0"/>
    </xf>
    <xf numFmtId="2" fontId="16" fillId="5" borderId="5" xfId="0" applyNumberFormat="1" applyFont="1" applyFill="1" applyBorder="1" applyAlignment="1" applyProtection="1">
      <alignment horizontal="center" vertical="center"/>
      <protection locked="0"/>
    </xf>
    <xf numFmtId="164" fontId="16" fillId="5" borderId="5" xfId="0" applyNumberFormat="1" applyFont="1" applyFill="1" applyBorder="1" applyAlignment="1" applyProtection="1">
      <alignment horizontal="center" vertical="center"/>
      <protection locked="0"/>
    </xf>
    <xf numFmtId="168" fontId="16" fillId="6" borderId="4" xfId="0" applyNumberFormat="1" applyFont="1" applyFill="1" applyBorder="1" applyAlignment="1">
      <alignment horizontal="center" vertical="center"/>
    </xf>
    <xf numFmtId="2" fontId="16" fillId="5" borderId="4" xfId="0" applyNumberFormat="1" applyFont="1" applyFill="1" applyBorder="1" applyAlignment="1">
      <alignment horizontal="center" vertical="center"/>
    </xf>
    <xf numFmtId="0" fontId="16" fillId="5" borderId="4" xfId="0" applyFont="1" applyFill="1" applyBorder="1" applyAlignment="1">
      <alignment horizontal="center" vertical="center"/>
    </xf>
    <xf numFmtId="168" fontId="16" fillId="5" borderId="4" xfId="0" applyNumberFormat="1" applyFont="1" applyFill="1" applyBorder="1" applyAlignment="1" applyProtection="1">
      <alignment horizontal="center" vertical="center"/>
      <protection locked="0"/>
    </xf>
    <xf numFmtId="169" fontId="16" fillId="6" borderId="4" xfId="0" applyNumberFormat="1" applyFont="1" applyFill="1" applyBorder="1" applyAlignment="1">
      <alignment horizontal="center" vertical="center"/>
    </xf>
    <xf numFmtId="0" fontId="16" fillId="5" borderId="4" xfId="0" applyFont="1" applyFill="1" applyBorder="1" applyAlignment="1" applyProtection="1">
      <alignment horizontal="center" vertical="center"/>
      <protection locked="0"/>
    </xf>
    <xf numFmtId="1" fontId="16" fillId="5" borderId="4" xfId="0" applyNumberFormat="1" applyFont="1" applyFill="1" applyBorder="1" applyAlignment="1" applyProtection="1">
      <alignment horizontal="center" vertical="center"/>
      <protection locked="0"/>
    </xf>
    <xf numFmtId="2" fontId="16" fillId="6" borderId="4" xfId="0" applyNumberFormat="1" applyFont="1" applyFill="1" applyBorder="1" applyAlignment="1">
      <alignment horizontal="center" vertical="center"/>
    </xf>
    <xf numFmtId="0" fontId="16" fillId="0" borderId="5" xfId="0" applyFont="1" applyBorder="1" applyAlignment="1" applyProtection="1">
      <alignment horizontal="center" vertical="center" wrapText="1"/>
      <protection locked="0"/>
    </xf>
    <xf numFmtId="168" fontId="16" fillId="0" borderId="5" xfId="0" applyNumberFormat="1" applyFont="1" applyBorder="1" applyAlignment="1" applyProtection="1">
      <alignment horizontal="center"/>
      <protection locked="0"/>
    </xf>
    <xf numFmtId="2" fontId="16" fillId="5" borderId="4" xfId="0" applyNumberFormat="1" applyFont="1" applyFill="1" applyBorder="1" applyAlignment="1" applyProtection="1">
      <alignment horizontal="center" vertical="center"/>
      <protection locked="0"/>
    </xf>
    <xf numFmtId="167" fontId="16" fillId="0" borderId="10" xfId="0" applyNumberFormat="1" applyFont="1" applyBorder="1" applyAlignment="1">
      <alignment horizontal="center" vertical="center"/>
    </xf>
    <xf numFmtId="0" fontId="16" fillId="0" borderId="10" xfId="0" applyFont="1" applyBorder="1" applyAlignment="1">
      <alignment horizontal="center" vertical="center"/>
    </xf>
    <xf numFmtId="0" fontId="16" fillId="0" borderId="10" xfId="0" applyFont="1" applyBorder="1"/>
    <xf numFmtId="2" fontId="16" fillId="0" borderId="10" xfId="0" applyNumberFormat="1" applyFont="1" applyBorder="1" applyAlignment="1" applyProtection="1">
      <alignment horizontal="center" vertical="center"/>
      <protection locked="0"/>
    </xf>
    <xf numFmtId="164" fontId="16" fillId="0" borderId="10" xfId="0" applyNumberFormat="1" applyFont="1" applyBorder="1" applyAlignment="1" applyProtection="1">
      <alignment horizontal="center" vertical="center"/>
      <protection locked="0"/>
    </xf>
    <xf numFmtId="1" fontId="16" fillId="5" borderId="4" xfId="0" applyNumberFormat="1" applyFont="1" applyFill="1" applyBorder="1" applyAlignment="1">
      <alignment horizontal="center" vertical="center"/>
    </xf>
    <xf numFmtId="168" fontId="16" fillId="5" borderId="4" xfId="0" applyNumberFormat="1" applyFont="1" applyFill="1" applyBorder="1" applyAlignment="1">
      <alignment horizontal="center" vertical="center"/>
    </xf>
    <xf numFmtId="0" fontId="16" fillId="0" borderId="10" xfId="0" applyFont="1" applyBorder="1" applyAlignment="1" applyProtection="1">
      <alignment horizontal="center" vertical="center" wrapText="1"/>
      <protection locked="0"/>
    </xf>
    <xf numFmtId="168" fontId="16" fillId="0" borderId="10" xfId="0" applyNumberFormat="1" applyFont="1" applyBorder="1" applyAlignment="1" applyProtection="1">
      <alignment horizontal="center"/>
      <protection locked="0"/>
    </xf>
    <xf numFmtId="0" fontId="16" fillId="0" borderId="10" xfId="0" applyFont="1" applyBorder="1" applyProtection="1">
      <protection locked="0"/>
    </xf>
    <xf numFmtId="0" fontId="16" fillId="0" borderId="8" xfId="0" applyFont="1" applyBorder="1"/>
    <xf numFmtId="0" fontId="16" fillId="0" borderId="8" xfId="0" applyFont="1" applyBorder="1" applyProtection="1">
      <protection locked="0"/>
    </xf>
    <xf numFmtId="169" fontId="5" fillId="6" borderId="4" xfId="0" applyNumberFormat="1" applyFont="1" applyFill="1" applyBorder="1" applyAlignment="1">
      <alignment horizontal="center" vertical="top"/>
    </xf>
    <xf numFmtId="1" fontId="5" fillId="6" borderId="4" xfId="0" applyNumberFormat="1" applyFont="1" applyFill="1" applyBorder="1" applyAlignment="1">
      <alignment horizontal="center" vertical="top"/>
    </xf>
    <xf numFmtId="0" fontId="16" fillId="0" borderId="5" xfId="0" applyFont="1" applyBorder="1" applyAlignment="1">
      <alignment horizontal="center" vertical="center"/>
    </xf>
    <xf numFmtId="2" fontId="16" fillId="5" borderId="5" xfId="0" applyNumberFormat="1" applyFont="1" applyFill="1" applyBorder="1" applyAlignment="1">
      <alignment horizontal="center" vertical="center"/>
    </xf>
    <xf numFmtId="164" fontId="16" fillId="5" borderId="5" xfId="0" applyNumberFormat="1" applyFont="1" applyFill="1" applyBorder="1" applyAlignment="1">
      <alignment horizontal="center" vertical="center"/>
    </xf>
    <xf numFmtId="168" fontId="16" fillId="0" borderId="5" xfId="0" applyNumberFormat="1" applyFont="1" applyBorder="1" applyAlignment="1" applyProtection="1">
      <alignment horizontal="center" vertical="center"/>
      <protection locked="0"/>
    </xf>
    <xf numFmtId="0" fontId="16" fillId="0" borderId="0" xfId="0" applyFont="1"/>
    <xf numFmtId="167" fontId="16" fillId="0" borderId="10" xfId="0" applyNumberFormat="1" applyFont="1" applyBorder="1" applyAlignment="1" applyProtection="1">
      <alignment horizontal="center" vertical="center"/>
      <protection locked="0"/>
    </xf>
    <xf numFmtId="0" fontId="16" fillId="0" borderId="10" xfId="0" applyFont="1" applyBorder="1" applyAlignment="1" applyProtection="1">
      <alignment horizontal="center" vertical="center"/>
      <protection locked="0"/>
    </xf>
    <xf numFmtId="1" fontId="5" fillId="6" borderId="4" xfId="0" applyNumberFormat="1" applyFont="1" applyFill="1" applyBorder="1" applyAlignment="1">
      <alignment horizontal="center" vertical="center"/>
    </xf>
    <xf numFmtId="0" fontId="15" fillId="0" borderId="0" xfId="0" applyFont="1"/>
    <xf numFmtId="0" fontId="15" fillId="0" borderId="0" xfId="0" applyFont="1" applyAlignment="1" applyProtection="1">
      <alignment horizontal="center" vertical="center" wrapText="1"/>
      <protection locked="0"/>
    </xf>
    <xf numFmtId="0" fontId="15" fillId="0" borderId="0" xfId="0" applyFont="1" applyProtection="1">
      <protection locked="0"/>
    </xf>
    <xf numFmtId="0" fontId="15" fillId="0" borderId="0" xfId="0" applyFont="1" applyAlignment="1" applyProtection="1">
      <alignment horizontal="center" vertical="center"/>
      <protection locked="0"/>
    </xf>
    <xf numFmtId="0" fontId="15" fillId="0" borderId="0" xfId="0" applyFont="1" applyAlignment="1" applyProtection="1">
      <alignment horizontal="center" wrapText="1"/>
      <protection locked="0"/>
    </xf>
    <xf numFmtId="0" fontId="15" fillId="0" borderId="0" xfId="1" applyFont="1" applyProtection="1">
      <protection locked="0"/>
    </xf>
    <xf numFmtId="0" fontId="15" fillId="0" borderId="4" xfId="1" applyFont="1" applyBorder="1" applyAlignment="1" applyProtection="1">
      <alignment horizontal="center" vertical="center" wrapText="1"/>
      <protection locked="0"/>
    </xf>
    <xf numFmtId="0" fontId="15" fillId="0" borderId="4" xfId="0" applyFont="1" applyBorder="1" applyAlignment="1" applyProtection="1">
      <alignment horizontal="center" vertical="center"/>
      <protection locked="0"/>
    </xf>
    <xf numFmtId="167" fontId="15" fillId="0" borderId="5" xfId="0" applyNumberFormat="1" applyFont="1" applyBorder="1" applyAlignment="1">
      <alignment vertical="center"/>
    </xf>
    <xf numFmtId="0" fontId="15" fillId="0" borderId="5" xfId="0" applyFont="1" applyBorder="1" applyAlignment="1">
      <alignment horizontal="center" vertical="center" wrapText="1"/>
    </xf>
    <xf numFmtId="171" fontId="15" fillId="6" borderId="5" xfId="0" applyNumberFormat="1" applyFont="1" applyFill="1" applyBorder="1" applyAlignment="1">
      <alignment horizontal="center" vertical="center"/>
    </xf>
    <xf numFmtId="2" fontId="15" fillId="6" borderId="5" xfId="0" applyNumberFormat="1" applyFont="1" applyFill="1" applyBorder="1" applyAlignment="1">
      <alignment horizontal="center" vertical="center"/>
    </xf>
    <xf numFmtId="169" fontId="15" fillId="0" borderId="5" xfId="0" applyNumberFormat="1" applyFont="1" applyBorder="1" applyAlignment="1">
      <alignment horizontal="center" vertical="center"/>
    </xf>
    <xf numFmtId="1" fontId="15" fillId="0" borderId="5" xfId="0" applyNumberFormat="1" applyFont="1" applyBorder="1" applyAlignment="1">
      <alignment horizontal="center" vertical="center"/>
    </xf>
    <xf numFmtId="167" fontId="15" fillId="0" borderId="10" xfId="0" applyNumberFormat="1" applyFont="1" applyBorder="1" applyAlignment="1" applyProtection="1">
      <alignment vertical="center"/>
      <protection locked="0"/>
    </xf>
    <xf numFmtId="0" fontId="15" fillId="0" borderId="10" xfId="0" applyFont="1" applyBorder="1" applyAlignment="1" applyProtection="1">
      <alignment horizontal="center" vertical="center" wrapText="1"/>
      <protection locked="0"/>
    </xf>
    <xf numFmtId="169" fontId="15" fillId="0" borderId="10" xfId="0" applyNumberFormat="1" applyFont="1" applyBorder="1" applyAlignment="1" applyProtection="1">
      <alignment horizontal="center" vertical="center"/>
      <protection locked="0"/>
    </xf>
    <xf numFmtId="2" fontId="15" fillId="0" borderId="10" xfId="0" applyNumberFormat="1" applyFont="1" applyBorder="1" applyAlignment="1" applyProtection="1">
      <alignment horizontal="center" vertical="center"/>
      <protection locked="0"/>
    </xf>
    <xf numFmtId="0" fontId="15" fillId="0" borderId="10" xfId="0" applyFont="1" applyBorder="1" applyAlignment="1" applyProtection="1">
      <alignment horizontal="center" vertical="center"/>
      <protection locked="0"/>
    </xf>
    <xf numFmtId="167" fontId="15" fillId="0" borderId="8" xfId="0" applyNumberFormat="1" applyFont="1" applyBorder="1" applyAlignment="1" applyProtection="1">
      <alignment vertical="center"/>
      <protection locked="0"/>
    </xf>
    <xf numFmtId="0" fontId="15" fillId="0" borderId="8" xfId="0" applyFont="1" applyBorder="1" applyAlignment="1" applyProtection="1">
      <alignment horizontal="center" vertical="center" wrapText="1"/>
      <protection locked="0"/>
    </xf>
    <xf numFmtId="2" fontId="15" fillId="0" borderId="8" xfId="0" applyNumberFormat="1" applyFont="1" applyBorder="1" applyAlignment="1" applyProtection="1">
      <alignment horizontal="center" vertical="center"/>
      <protection locked="0"/>
    </xf>
    <xf numFmtId="169" fontId="15" fillId="0" borderId="8" xfId="0" applyNumberFormat="1" applyFont="1" applyBorder="1" applyAlignment="1" applyProtection="1">
      <alignment horizontal="center" vertical="center"/>
      <protection locked="0"/>
    </xf>
    <xf numFmtId="0" fontId="15" fillId="0" borderId="8" xfId="0" applyFont="1" applyBorder="1" applyAlignment="1" applyProtection="1">
      <alignment horizontal="center" vertical="center"/>
      <protection locked="0"/>
    </xf>
    <xf numFmtId="169" fontId="15" fillId="0" borderId="16" xfId="0" applyNumberFormat="1" applyFont="1" applyBorder="1" applyAlignment="1">
      <alignment vertical="center"/>
    </xf>
    <xf numFmtId="169" fontId="15" fillId="0" borderId="0" xfId="0" applyNumberFormat="1" applyFont="1" applyAlignment="1">
      <alignment vertical="center"/>
    </xf>
    <xf numFmtId="171" fontId="15" fillId="2" borderId="15" xfId="0" applyNumberFormat="1" applyFont="1" applyFill="1" applyBorder="1" applyAlignment="1">
      <alignment horizontal="center" vertical="center"/>
    </xf>
    <xf numFmtId="2" fontId="15" fillId="2" borderId="8" xfId="0" applyNumberFormat="1" applyFont="1" applyFill="1" applyBorder="1" applyAlignment="1" applyProtection="1">
      <alignment horizontal="center" vertical="center"/>
      <protection locked="0"/>
    </xf>
    <xf numFmtId="171" fontId="15" fillId="0" borderId="0" xfId="0" applyNumberFormat="1" applyFont="1" applyAlignment="1">
      <alignment vertical="center"/>
    </xf>
    <xf numFmtId="0" fontId="15" fillId="6" borderId="0" xfId="0" applyFont="1" applyFill="1" applyProtection="1">
      <protection locked="0"/>
    </xf>
    <xf numFmtId="0" fontId="15" fillId="6" borderId="0" xfId="0" applyFont="1" applyFill="1"/>
    <xf numFmtId="0" fontId="0" fillId="6" borderId="0" xfId="0" applyFill="1"/>
    <xf numFmtId="0" fontId="15" fillId="0" borderId="0" xfId="0" applyFont="1" applyAlignment="1" applyProtection="1">
      <alignment horizontal="right"/>
      <protection locked="0"/>
    </xf>
    <xf numFmtId="0" fontId="15" fillId="0" borderId="5" xfId="0" applyFont="1" applyBorder="1" applyAlignment="1" applyProtection="1">
      <alignment horizontal="center" vertical="center" wrapText="1"/>
      <protection locked="0"/>
    </xf>
    <xf numFmtId="14" fontId="15" fillId="0" borderId="10" xfId="0" applyNumberFormat="1" applyFont="1" applyBorder="1" applyAlignment="1">
      <alignment vertical="center"/>
    </xf>
    <xf numFmtId="0" fontId="15" fillId="0" borderId="10" xfId="0" applyFont="1" applyBorder="1" applyAlignment="1">
      <alignment horizontal="center" vertical="center" wrapText="1"/>
    </xf>
    <xf numFmtId="170" fontId="15" fillId="0" borderId="10" xfId="0" applyNumberFormat="1" applyFont="1" applyBorder="1" applyAlignment="1">
      <alignment horizontal="center" vertical="center" wrapText="1"/>
    </xf>
    <xf numFmtId="164" fontId="15" fillId="6" borderId="9" xfId="0" applyNumberFormat="1" applyFont="1" applyFill="1" applyBorder="1" applyAlignment="1">
      <alignment horizontal="center" vertical="center"/>
    </xf>
    <xf numFmtId="164" fontId="15" fillId="6" borderId="8" xfId="0" applyNumberFormat="1" applyFont="1" applyFill="1" applyBorder="1" applyAlignment="1">
      <alignment horizontal="center" vertical="center"/>
    </xf>
    <xf numFmtId="171" fontId="15" fillId="6" borderId="10" xfId="0" applyNumberFormat="1" applyFont="1" applyFill="1" applyBorder="1" applyAlignment="1">
      <alignment horizontal="center" vertical="center"/>
    </xf>
    <xf numFmtId="168" fontId="15" fillId="6" borderId="4"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8" fontId="15" fillId="6" borderId="5" xfId="0" applyNumberFormat="1" applyFont="1" applyFill="1" applyBorder="1" applyAlignment="1">
      <alignment horizontal="center" vertical="center"/>
    </xf>
    <xf numFmtId="169" fontId="15" fillId="0" borderId="12" xfId="0" applyNumberFormat="1" applyFont="1" applyBorder="1" applyAlignment="1">
      <alignment horizontal="center" vertical="center"/>
    </xf>
    <xf numFmtId="0" fontId="15" fillId="5" borderId="5" xfId="0" applyFont="1" applyFill="1" applyBorder="1" applyAlignment="1" applyProtection="1">
      <alignment horizontal="center" vertical="center"/>
      <protection locked="0"/>
    </xf>
    <xf numFmtId="0" fontId="15" fillId="0" borderId="8" xfId="0" applyFont="1" applyBorder="1" applyAlignment="1">
      <alignment horizontal="center" vertical="center"/>
    </xf>
    <xf numFmtId="170" fontId="15" fillId="0" borderId="4" xfId="0" applyNumberFormat="1" applyFont="1" applyBorder="1" applyAlignment="1">
      <alignment horizontal="center" vertical="center" wrapText="1"/>
    </xf>
    <xf numFmtId="164" fontId="15" fillId="6" borderId="4" xfId="0" applyNumberFormat="1" applyFont="1" applyFill="1" applyBorder="1" applyAlignment="1">
      <alignment horizontal="center" vertical="center"/>
    </xf>
    <xf numFmtId="168" fontId="15" fillId="6" borderId="11" xfId="0" applyNumberFormat="1" applyFont="1" applyFill="1" applyBorder="1" applyAlignment="1">
      <alignment horizontal="center" vertical="center"/>
    </xf>
    <xf numFmtId="166" fontId="15" fillId="6" borderId="10" xfId="0" applyNumberFormat="1" applyFont="1" applyFill="1" applyBorder="1" applyAlignment="1">
      <alignment vertical="center"/>
    </xf>
    <xf numFmtId="168" fontId="15" fillId="6" borderId="10" xfId="0" applyNumberFormat="1" applyFont="1" applyFill="1" applyBorder="1" applyAlignment="1">
      <alignment horizontal="center" vertical="center"/>
    </xf>
    <xf numFmtId="14" fontId="15" fillId="0" borderId="8" xfId="0" applyNumberFormat="1" applyFont="1" applyBorder="1" applyAlignment="1">
      <alignment vertical="center"/>
    </xf>
    <xf numFmtId="168" fontId="15" fillId="6" borderId="6" xfId="0" applyNumberFormat="1" applyFont="1" applyFill="1" applyBorder="1" applyAlignment="1">
      <alignment horizontal="center" vertical="center"/>
    </xf>
    <xf numFmtId="166" fontId="15" fillId="6" borderId="8" xfId="0" applyNumberFormat="1" applyFont="1" applyFill="1" applyBorder="1" applyAlignment="1">
      <alignment vertical="center"/>
    </xf>
    <xf numFmtId="168" fontId="15" fillId="6" borderId="8" xfId="0" applyNumberFormat="1" applyFont="1" applyFill="1" applyBorder="1" applyAlignment="1">
      <alignment horizontal="center" vertical="center"/>
    </xf>
    <xf numFmtId="169" fontId="15" fillId="0" borderId="13" xfId="0" applyNumberFormat="1" applyFont="1" applyBorder="1" applyAlignment="1">
      <alignment horizontal="center" vertical="center"/>
    </xf>
    <xf numFmtId="0" fontId="15" fillId="0" borderId="4" xfId="0" applyFont="1" applyBorder="1" applyAlignment="1">
      <alignment horizontal="center" vertical="center"/>
    </xf>
    <xf numFmtId="0" fontId="15" fillId="0" borderId="7" xfId="0" applyFont="1" applyBorder="1" applyProtection="1">
      <protection locked="0"/>
    </xf>
    <xf numFmtId="1" fontId="15" fillId="0" borderId="11" xfId="0" applyNumberFormat="1" applyFont="1" applyBorder="1" applyAlignment="1">
      <alignment horizontal="center" vertical="center"/>
    </xf>
    <xf numFmtId="0" fontId="15" fillId="0" borderId="9" xfId="0" applyFont="1" applyBorder="1" applyAlignment="1" applyProtection="1">
      <alignment horizontal="center" vertical="center"/>
      <protection locked="0"/>
    </xf>
    <xf numFmtId="165" fontId="15" fillId="0" borderId="10" xfId="0" applyNumberFormat="1" applyFont="1" applyBorder="1" applyAlignment="1">
      <alignment horizontal="center" vertical="center"/>
    </xf>
    <xf numFmtId="164" fontId="15" fillId="5" borderId="8" xfId="0" applyNumberFormat="1" applyFont="1" applyFill="1" applyBorder="1" applyAlignment="1" applyProtection="1">
      <alignment horizontal="center" vertical="center"/>
      <protection locked="0"/>
    </xf>
    <xf numFmtId="166" fontId="15" fillId="0" borderId="11" xfId="0" applyNumberFormat="1" applyFont="1" applyBorder="1" applyAlignment="1">
      <alignment horizontal="center" vertical="center"/>
    </xf>
    <xf numFmtId="165" fontId="15" fillId="0" borderId="10" xfId="0" applyNumberFormat="1" applyFont="1" applyBorder="1" applyAlignment="1" applyProtection="1">
      <alignment horizontal="center" vertical="center"/>
      <protection locked="0"/>
    </xf>
    <xf numFmtId="166" fontId="15" fillId="0" borderId="10" xfId="0" applyNumberFormat="1" applyFont="1" applyBorder="1" applyAlignment="1" applyProtection="1">
      <alignment horizontal="center" vertical="center"/>
      <protection locked="0"/>
    </xf>
    <xf numFmtId="0" fontId="15" fillId="0" borderId="12" xfId="0" applyFont="1" applyBorder="1" applyAlignment="1" applyProtection="1">
      <alignment horizontal="center" vertical="center"/>
      <protection locked="0"/>
    </xf>
    <xf numFmtId="0" fontId="15" fillId="0" borderId="6" xfId="0" applyFont="1" applyBorder="1" applyAlignment="1" applyProtection="1">
      <alignment horizontal="center" vertical="center"/>
      <protection locked="0"/>
    </xf>
    <xf numFmtId="164" fontId="15" fillId="0" borderId="4" xfId="0" applyNumberFormat="1" applyFont="1" applyBorder="1" applyAlignment="1" applyProtection="1">
      <alignment horizontal="center" vertical="center"/>
      <protection locked="0"/>
    </xf>
    <xf numFmtId="166" fontId="15" fillId="0" borderId="11" xfId="0" applyNumberFormat="1" applyFont="1" applyBorder="1" applyAlignment="1" applyProtection="1">
      <alignment horizontal="center" vertical="center"/>
      <protection locked="0"/>
    </xf>
    <xf numFmtId="164" fontId="15" fillId="6" borderId="6" xfId="0" applyNumberFormat="1" applyFont="1" applyFill="1" applyBorder="1" applyAlignment="1">
      <alignment horizontal="center" vertical="center"/>
    </xf>
    <xf numFmtId="0" fontId="15" fillId="0" borderId="7" xfId="0" applyFont="1" applyBorder="1" applyAlignment="1" applyProtection="1">
      <alignment horizontal="center" vertical="center"/>
      <protection locked="0"/>
    </xf>
    <xf numFmtId="165" fontId="15" fillId="0" borderId="10" xfId="0" applyNumberFormat="1" applyFont="1" applyBorder="1" applyAlignment="1" applyProtection="1">
      <alignment vertical="center"/>
      <protection locked="0"/>
    </xf>
    <xf numFmtId="166" fontId="15" fillId="0" borderId="10" xfId="0" applyNumberFormat="1" applyFont="1" applyBorder="1" applyAlignment="1" applyProtection="1">
      <alignment vertical="center"/>
      <protection locked="0"/>
    </xf>
    <xf numFmtId="0" fontId="15" fillId="0" borderId="13" xfId="0" applyFont="1" applyBorder="1" applyAlignment="1" applyProtection="1">
      <alignment horizontal="center" vertical="center"/>
      <protection locked="0"/>
    </xf>
    <xf numFmtId="164" fontId="15" fillId="5" borderId="4" xfId="0" applyNumberFormat="1" applyFont="1" applyFill="1" applyBorder="1" applyAlignment="1" applyProtection="1">
      <alignment horizontal="center" vertical="center"/>
      <protection locked="0"/>
    </xf>
    <xf numFmtId="164" fontId="15" fillId="0" borderId="6" xfId="0" applyNumberFormat="1" applyFont="1" applyBorder="1" applyAlignment="1" applyProtection="1">
      <alignment horizontal="center" vertical="center"/>
      <protection locked="0"/>
    </xf>
    <xf numFmtId="164" fontId="15" fillId="0" borderId="7" xfId="0" applyNumberFormat="1" applyFont="1" applyBorder="1" applyAlignment="1" applyProtection="1">
      <alignment horizontal="center" vertical="center"/>
      <protection locked="0"/>
    </xf>
    <xf numFmtId="164" fontId="15" fillId="0" borderId="6" xfId="0" applyNumberFormat="1" applyFont="1" applyBorder="1" applyAlignment="1">
      <alignment horizontal="center" vertical="center"/>
    </xf>
    <xf numFmtId="0" fontId="15" fillId="0" borderId="13" xfId="0" applyFont="1" applyBorder="1" applyProtection="1">
      <protection locked="0"/>
    </xf>
    <xf numFmtId="49" fontId="15" fillId="0" borderId="14" xfId="0" applyNumberFormat="1" applyFont="1" applyBorder="1" applyAlignment="1" applyProtection="1">
      <alignment horizontal="center" vertical="center"/>
      <protection locked="0"/>
    </xf>
    <xf numFmtId="164" fontId="15" fillId="5" borderId="5" xfId="0" applyNumberFormat="1" applyFont="1" applyFill="1" applyBorder="1" applyAlignment="1" applyProtection="1">
      <alignment horizontal="center" vertical="center"/>
      <protection locked="0"/>
    </xf>
    <xf numFmtId="164" fontId="15" fillId="5" borderId="14" xfId="0" applyNumberFormat="1" applyFont="1" applyFill="1" applyBorder="1" applyAlignment="1" applyProtection="1">
      <alignment horizontal="center" vertical="center"/>
      <protection locked="0"/>
    </xf>
    <xf numFmtId="0" fontId="15" fillId="0" borderId="17" xfId="0" applyFont="1" applyBorder="1" applyAlignment="1" applyProtection="1">
      <alignment wrapText="1"/>
      <protection locked="0"/>
    </xf>
    <xf numFmtId="49" fontId="15" fillId="0" borderId="4" xfId="0" applyNumberFormat="1" applyFont="1" applyBorder="1" applyAlignment="1" applyProtection="1">
      <alignment horizontal="center" vertical="center"/>
      <protection locked="0"/>
    </xf>
    <xf numFmtId="49" fontId="15" fillId="0" borderId="9" xfId="0" applyNumberFormat="1" applyFont="1" applyBorder="1" applyAlignment="1" applyProtection="1">
      <alignment horizontal="center" vertical="center"/>
      <protection locked="0"/>
    </xf>
    <xf numFmtId="165" fontId="15" fillId="0" borderId="8" xfId="0" applyNumberFormat="1" applyFont="1" applyBorder="1" applyAlignment="1" applyProtection="1">
      <alignment vertical="center"/>
      <protection locked="0"/>
    </xf>
    <xf numFmtId="166" fontId="15" fillId="0" borderId="8" xfId="0" applyNumberFormat="1" applyFont="1" applyBorder="1" applyAlignment="1" applyProtection="1">
      <alignment vertical="center"/>
      <protection locked="0"/>
    </xf>
    <xf numFmtId="164" fontId="15" fillId="0" borderId="4" xfId="0" applyNumberFormat="1" applyFont="1" applyBorder="1" applyAlignment="1" applyProtection="1">
      <alignment vertical="center"/>
      <protection locked="0"/>
    </xf>
    <xf numFmtId="0" fontId="15" fillId="0" borderId="13" xfId="0" applyFont="1" applyBorder="1" applyAlignment="1" applyProtection="1">
      <alignment wrapText="1"/>
      <protection locked="0"/>
    </xf>
    <xf numFmtId="0" fontId="15" fillId="0" borderId="0" xfId="0" applyFont="1" applyAlignment="1" applyProtection="1">
      <alignment vertical="center"/>
      <protection locked="0"/>
    </xf>
    <xf numFmtId="0" fontId="14" fillId="0" borderId="4" xfId="0" applyFont="1" applyBorder="1" applyAlignment="1" applyProtection="1">
      <alignment horizontal="center" vertical="center"/>
      <protection locked="0"/>
    </xf>
    <xf numFmtId="0" fontId="0" fillId="0" borderId="10" xfId="0" applyBorder="1" applyProtection="1">
      <protection locked="0"/>
    </xf>
    <xf numFmtId="0" fontId="0" fillId="0" borderId="8" xfId="0" applyBorder="1" applyProtection="1">
      <protection locked="0"/>
    </xf>
    <xf numFmtId="49" fontId="7" fillId="0" borderId="4" xfId="0" applyNumberFormat="1" applyFont="1" applyBorder="1" applyAlignment="1" applyProtection="1">
      <alignment horizontal="center" vertical="top" wrapText="1"/>
      <protection locked="0"/>
    </xf>
    <xf numFmtId="0" fontId="14" fillId="0" borderId="4" xfId="0" applyFont="1" applyBorder="1" applyAlignment="1" applyProtection="1">
      <alignment horizontal="center" vertical="center" wrapText="1"/>
      <protection locked="0"/>
    </xf>
    <xf numFmtId="14" fontId="14" fillId="0" borderId="4" xfId="0" applyNumberFormat="1" applyFont="1" applyBorder="1" applyAlignment="1" applyProtection="1">
      <alignment horizontal="center" vertical="center"/>
      <protection locked="0"/>
    </xf>
    <xf numFmtId="2" fontId="6" fillId="7" borderId="5" xfId="0" applyNumberFormat="1" applyFont="1" applyFill="1" applyBorder="1" applyAlignment="1" applyProtection="1">
      <alignment horizontal="center" vertical="center" wrapText="1"/>
      <protection locked="0"/>
    </xf>
    <xf numFmtId="0" fontId="0" fillId="0" borderId="16" xfId="0" applyBorder="1" applyProtection="1">
      <protection locked="0"/>
    </xf>
    <xf numFmtId="0" fontId="0" fillId="0" borderId="17" xfId="0" applyBorder="1" applyProtection="1">
      <protection locked="0"/>
    </xf>
    <xf numFmtId="0" fontId="10" fillId="0" borderId="4"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0" fillId="0" borderId="0" xfId="0" applyProtection="1">
      <protection locked="0"/>
    </xf>
    <xf numFmtId="0" fontId="9" fillId="0" borderId="11" xfId="0" applyFont="1" applyBorder="1" applyAlignment="1" applyProtection="1">
      <alignment horizontal="center" vertical="center"/>
      <protection locked="0"/>
    </xf>
    <xf numFmtId="0" fontId="7" fillId="0" borderId="4" xfId="0" applyFont="1" applyBorder="1" applyAlignment="1" applyProtection="1">
      <alignment horizontal="center" vertical="top" wrapText="1"/>
      <protection locked="0"/>
    </xf>
    <xf numFmtId="0" fontId="7" fillId="0" borderId="6" xfId="0" applyFont="1" applyBorder="1" applyAlignment="1" applyProtection="1">
      <alignment horizontal="center" vertical="top" wrapText="1"/>
      <protection locked="0"/>
    </xf>
    <xf numFmtId="0" fontId="0" fillId="0" borderId="11" xfId="0" applyBorder="1" applyProtection="1">
      <protection locked="0"/>
    </xf>
    <xf numFmtId="0" fontId="0" fillId="0" borderId="9" xfId="0" applyBorder="1" applyProtection="1">
      <protection locked="0"/>
    </xf>
    <xf numFmtId="0" fontId="6" fillId="0" borderId="0" xfId="0" applyFont="1" applyAlignment="1" applyProtection="1">
      <alignment horizontal="center" vertical="center"/>
      <protection locked="0"/>
    </xf>
    <xf numFmtId="0" fontId="16" fillId="0" borderId="4" xfId="0" applyFont="1" applyBorder="1" applyAlignment="1" applyProtection="1">
      <alignment horizontal="center" vertical="center" wrapText="1"/>
      <protection locked="0"/>
    </xf>
    <xf numFmtId="0" fontId="16" fillId="0" borderId="10" xfId="0" applyFont="1" applyBorder="1" applyProtection="1">
      <protection locked="0"/>
    </xf>
    <xf numFmtId="0" fontId="16" fillId="0" borderId="8" xfId="0" applyFont="1" applyBorder="1" applyProtection="1">
      <protection locked="0"/>
    </xf>
    <xf numFmtId="0" fontId="7" fillId="3" borderId="0" xfId="0" applyFont="1" applyFill="1" applyAlignment="1" applyProtection="1">
      <alignment horizontal="center" vertical="center" wrapText="1"/>
      <protection locked="0"/>
    </xf>
    <xf numFmtId="0" fontId="16" fillId="0" borderId="4" xfId="0" applyFont="1" applyBorder="1" applyAlignment="1">
      <alignment horizontal="center" vertical="top" wrapText="1"/>
    </xf>
    <xf numFmtId="0" fontId="16" fillId="0" borderId="10" xfId="0" applyFont="1" applyBorder="1"/>
    <xf numFmtId="0" fontId="16" fillId="0" borderId="8" xfId="0" applyFont="1" applyBorder="1"/>
    <xf numFmtId="0" fontId="16" fillId="0" borderId="4" xfId="0" applyFont="1" applyBorder="1" applyAlignment="1" applyProtection="1">
      <alignment horizontal="center" wrapText="1"/>
      <protection locked="0"/>
    </xf>
    <xf numFmtId="0" fontId="13" fillId="0" borderId="0" xfId="0" applyFont="1" applyAlignment="1" applyProtection="1">
      <alignment horizontal="center" vertical="center"/>
      <protection locked="0"/>
    </xf>
    <xf numFmtId="0" fontId="15" fillId="0" borderId="0" xfId="0" applyFont="1" applyAlignment="1" applyProtection="1">
      <alignment horizontal="center" vertical="center" wrapText="1"/>
      <protection locked="0"/>
    </xf>
    <xf numFmtId="0" fontId="15" fillId="0" borderId="0" xfId="0" applyFont="1" applyProtection="1">
      <protection locked="0"/>
    </xf>
    <xf numFmtId="0" fontId="15" fillId="0" borderId="5" xfId="0" applyFont="1" applyBorder="1" applyAlignment="1">
      <alignment horizontal="center" vertical="top" wrapText="1"/>
    </xf>
    <xf numFmtId="0" fontId="15" fillId="0" borderId="10" xfId="0" applyFont="1" applyBorder="1"/>
    <xf numFmtId="0" fontId="15" fillId="0" borderId="0" xfId="0" applyFont="1" applyAlignment="1" applyProtection="1">
      <alignment horizontal="center" vertical="center"/>
      <protection locked="0"/>
    </xf>
    <xf numFmtId="172" fontId="15" fillId="0" borderId="8" xfId="0" applyNumberFormat="1" applyFont="1" applyBorder="1" applyAlignment="1">
      <alignment horizontal="center" vertical="top" wrapText="1"/>
    </xf>
    <xf numFmtId="0" fontId="15" fillId="0" borderId="8" xfId="0" applyFont="1" applyBorder="1"/>
    <xf numFmtId="0" fontId="15" fillId="0" borderId="4" xfId="0" applyFont="1" applyBorder="1" applyAlignment="1" applyProtection="1">
      <alignment horizontal="center" vertical="center" wrapText="1"/>
      <protection locked="0"/>
    </xf>
    <xf numFmtId="0" fontId="15" fillId="0" borderId="22" xfId="0" applyFont="1" applyBorder="1" applyProtection="1">
      <protection locked="0"/>
    </xf>
    <xf numFmtId="0" fontId="15" fillId="0" borderId="7" xfId="0" applyFont="1" applyBorder="1" applyProtection="1">
      <protection locked="0"/>
    </xf>
    <xf numFmtId="0" fontId="15" fillId="0" borderId="4" xfId="0" applyFont="1" applyBorder="1" applyAlignment="1">
      <alignment horizontal="center" vertical="top" wrapText="1"/>
    </xf>
    <xf numFmtId="0" fontId="15" fillId="0" borderId="8" xfId="0" applyFont="1" applyBorder="1" applyProtection="1">
      <protection locked="0"/>
    </xf>
    <xf numFmtId="0" fontId="15" fillId="0" borderId="5" xfId="0" applyFont="1" applyBorder="1" applyAlignment="1" applyProtection="1">
      <alignment horizontal="center" vertical="center" wrapText="1"/>
      <protection locked="0"/>
    </xf>
    <xf numFmtId="0" fontId="15" fillId="0" borderId="10" xfId="0" applyFont="1" applyBorder="1" applyProtection="1">
      <protection locked="0"/>
    </xf>
    <xf numFmtId="0" fontId="15" fillId="0" borderId="4" xfId="0" applyFont="1" applyBorder="1" applyAlignment="1" applyProtection="1">
      <alignment horizontal="center" vertical="center" wrapText="1" shrinkToFit="1"/>
      <protection locked="0"/>
    </xf>
    <xf numFmtId="0" fontId="9" fillId="0" borderId="0" xfId="0" applyFont="1" applyAlignment="1" applyProtection="1">
      <alignment horizontal="center" vertical="center" wrapText="1"/>
      <protection locked="0"/>
    </xf>
  </cellXfs>
  <cellStyles count="4">
    <cellStyle name="Įprastas" xfId="0" builtinId="0"/>
    <cellStyle name="Įprastas 2" xfId="1" xr:uid="{00000000-0005-0000-0000-000001000000}"/>
    <cellStyle name="Procentai 2" xfId="2" xr:uid="{00000000-0005-0000-0000-000002000000}"/>
    <cellStyle name="Procentai 2 2"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customHeight="1" x14ac:dyDescent="0.25">
      <c r="B1" s="1" t="s">
        <v>38</v>
      </c>
      <c r="C1" s="1"/>
      <c r="D1" s="5"/>
      <c r="E1" s="5"/>
    </row>
    <row r="2" spans="2:5" ht="13" customHeight="1" x14ac:dyDescent="0.25">
      <c r="B2" s="1" t="s">
        <v>39</v>
      </c>
      <c r="C2" s="1"/>
      <c r="D2" s="5"/>
      <c r="E2" s="5"/>
    </row>
    <row r="3" spans="2:5" x14ac:dyDescent="0.25">
      <c r="B3" s="2"/>
      <c r="C3" s="2"/>
      <c r="D3" s="6"/>
      <c r="E3" s="6"/>
    </row>
    <row r="4" spans="2:5" ht="37.5" customHeight="1" x14ac:dyDescent="0.25">
      <c r="B4" s="2" t="s">
        <v>40</v>
      </c>
      <c r="C4" s="2"/>
      <c r="D4" s="6"/>
      <c r="E4" s="6"/>
    </row>
    <row r="5" spans="2:5" x14ac:dyDescent="0.25">
      <c r="B5" s="2"/>
      <c r="C5" s="2"/>
      <c r="D5" s="6"/>
      <c r="E5" s="6"/>
    </row>
    <row r="6" spans="2:5" ht="13" customHeight="1" x14ac:dyDescent="0.25">
      <c r="B6" s="1" t="s">
        <v>41</v>
      </c>
      <c r="C6" s="1"/>
      <c r="D6" s="5"/>
      <c r="E6" s="5" t="s">
        <v>42</v>
      </c>
    </row>
    <row r="7" spans="2:5" ht="13" customHeight="1" thickBot="1" x14ac:dyDescent="0.3">
      <c r="B7" s="2"/>
      <c r="C7" s="2"/>
      <c r="D7" s="6"/>
      <c r="E7" s="6"/>
    </row>
    <row r="8" spans="2:5" ht="38" customHeight="1" thickBot="1" x14ac:dyDescent="0.3">
      <c r="B8" s="3" t="s">
        <v>43</v>
      </c>
      <c r="C8" s="4"/>
      <c r="D8" s="7"/>
      <c r="E8" s="8">
        <v>1</v>
      </c>
    </row>
    <row r="9" spans="2:5" x14ac:dyDescent="0.25">
      <c r="B9" s="2"/>
      <c r="C9" s="2"/>
      <c r="D9" s="6"/>
      <c r="E9" s="6"/>
    </row>
    <row r="10" spans="2:5" x14ac:dyDescent="0.25">
      <c r="B10" s="2"/>
      <c r="C10" s="2"/>
      <c r="D10" s="6"/>
      <c r="E10"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B26"/>
  <sheetViews>
    <sheetView zoomScale="80" zoomScaleNormal="80" workbookViewId="0">
      <selection activeCell="E13" sqref="E13:N13"/>
    </sheetView>
  </sheetViews>
  <sheetFormatPr defaultColWidth="9.1796875" defaultRowHeight="15.5" x14ac:dyDescent="0.25"/>
  <cols>
    <col min="1" max="2" width="11.26953125" style="56" customWidth="1"/>
    <col min="3" max="3" width="15.81640625" style="56" customWidth="1"/>
    <col min="4" max="4" width="9.81640625" style="56" customWidth="1"/>
    <col min="5" max="5" width="11.54296875" style="56" customWidth="1"/>
    <col min="6" max="6" width="11.453125" style="56" customWidth="1"/>
    <col min="7" max="7" width="10.54296875" style="56" customWidth="1"/>
    <col min="8" max="12" width="9.1796875" style="56" customWidth="1"/>
    <col min="13" max="13" width="11.1796875" style="56" customWidth="1"/>
    <col min="14" max="14" width="11.453125" style="56" customWidth="1"/>
    <col min="15" max="15" width="9.1796875" style="56" customWidth="1"/>
    <col min="16" max="16" width="10.54296875" style="56" customWidth="1"/>
    <col min="17" max="17" width="9.54296875" style="56" bestFit="1" customWidth="1"/>
    <col min="18" max="18" width="9.1796875" style="56" customWidth="1"/>
    <col min="19" max="19" width="11.26953125" style="56" customWidth="1"/>
    <col min="20" max="20" width="11.7265625" style="56" customWidth="1"/>
    <col min="21" max="21" width="10" style="56" customWidth="1"/>
    <col min="22" max="22" width="11.7265625" style="56" customWidth="1"/>
    <col min="23" max="23" width="11.453125" style="56" customWidth="1"/>
    <col min="24" max="24" width="9.54296875" style="56" customWidth="1"/>
    <col min="25" max="26" width="10.26953125" style="56" customWidth="1"/>
    <col min="27" max="27" width="9.1796875" style="56" customWidth="1"/>
    <col min="28" max="28" width="10.7265625" style="56" customWidth="1"/>
    <col min="29" max="29" width="9.1796875" style="56" customWidth="1"/>
    <col min="30" max="16384" width="9.1796875" style="56"/>
  </cols>
  <sheetData>
    <row r="2" spans="1:28" x14ac:dyDescent="0.25">
      <c r="D2" s="266" t="s">
        <v>0</v>
      </c>
      <c r="E2" s="267"/>
      <c r="F2" s="267"/>
      <c r="G2" s="267"/>
      <c r="H2" s="267"/>
      <c r="I2" s="267"/>
      <c r="J2" s="267"/>
      <c r="K2" s="267"/>
      <c r="L2" s="267"/>
      <c r="M2" s="267"/>
      <c r="N2" s="267"/>
      <c r="O2" s="267"/>
      <c r="P2" s="267"/>
      <c r="Q2" s="267"/>
      <c r="R2" s="267"/>
      <c r="S2" s="267"/>
      <c r="T2" s="267"/>
      <c r="U2" s="267"/>
      <c r="V2" s="267"/>
      <c r="W2" s="267"/>
      <c r="X2" s="267"/>
      <c r="Y2" s="267"/>
      <c r="Z2" s="267"/>
    </row>
    <row r="4" spans="1:28" s="10" customFormat="1" ht="126" customHeight="1" x14ac:dyDescent="0.25">
      <c r="A4" s="9" t="s">
        <v>1</v>
      </c>
      <c r="B4" s="9" t="s">
        <v>2</v>
      </c>
      <c r="C4" s="9" t="s">
        <v>3</v>
      </c>
      <c r="D4" s="26" t="s">
        <v>4</v>
      </c>
      <c r="E4" s="26" t="s">
        <v>5</v>
      </c>
      <c r="F4" s="26" t="s">
        <v>6</v>
      </c>
      <c r="G4" s="9" t="s">
        <v>7</v>
      </c>
      <c r="H4" s="9" t="s">
        <v>8</v>
      </c>
      <c r="I4" s="9" t="s">
        <v>9</v>
      </c>
      <c r="J4" s="9" t="s">
        <v>10</v>
      </c>
      <c r="K4" s="9" t="s">
        <v>11</v>
      </c>
      <c r="L4" s="9" t="s">
        <v>12</v>
      </c>
      <c r="M4" s="9" t="s">
        <v>13</v>
      </c>
      <c r="N4" s="9" t="s">
        <v>14</v>
      </c>
      <c r="O4" s="9" t="s">
        <v>15</v>
      </c>
      <c r="P4" s="9" t="s">
        <v>16</v>
      </c>
      <c r="Q4" s="9" t="s">
        <v>17</v>
      </c>
      <c r="R4" s="9" t="s">
        <v>18</v>
      </c>
      <c r="S4" s="9" t="s">
        <v>19</v>
      </c>
      <c r="T4" s="9" t="s">
        <v>20</v>
      </c>
      <c r="U4" s="84" t="s">
        <v>21</v>
      </c>
      <c r="V4" s="84" t="s">
        <v>22</v>
      </c>
      <c r="W4" s="9" t="s">
        <v>23</v>
      </c>
      <c r="X4" s="9" t="s">
        <v>24</v>
      </c>
      <c r="Y4" s="9" t="s">
        <v>25</v>
      </c>
      <c r="Z4" s="9" t="s">
        <v>26</v>
      </c>
      <c r="AA4" s="76" t="s">
        <v>27</v>
      </c>
      <c r="AB4" s="57" t="s">
        <v>28</v>
      </c>
    </row>
    <row r="5" spans="1:28" x14ac:dyDescent="0.25">
      <c r="A5" s="261">
        <v>46063</v>
      </c>
      <c r="B5" s="265">
        <v>5</v>
      </c>
      <c r="C5" s="260" t="s">
        <v>29</v>
      </c>
      <c r="D5" s="85">
        <v>5</v>
      </c>
      <c r="E5" s="86">
        <v>0.73</v>
      </c>
      <c r="F5" s="86">
        <v>0.61</v>
      </c>
      <c r="G5" s="87">
        <v>0.82699999999999996</v>
      </c>
      <c r="H5" s="88">
        <f>Paėmimas!V9</f>
        <v>63.033333333333339</v>
      </c>
      <c r="I5" s="89">
        <v>1012</v>
      </c>
      <c r="J5" s="90">
        <v>0.35</v>
      </c>
      <c r="K5" s="91">
        <f t="shared" ref="K5:K11" si="0">SUM(I5:J5)</f>
        <v>1012.35</v>
      </c>
      <c r="L5" s="92">
        <f>AA5*22.4</f>
        <v>29.52251008</v>
      </c>
      <c r="M5" s="93">
        <f t="shared" ref="M5:M11" si="1">G5*129*(SQRT(E5*(273+H5)/(I5+J5)/L5))</f>
        <v>9.6650887553236231</v>
      </c>
      <c r="N5" s="93">
        <f t="shared" ref="N5:N11" si="2">G5*129*(SQRT(F5*(273+H5)/(I5+J5)/L5))</f>
        <v>8.8350565576759319</v>
      </c>
      <c r="O5" s="93">
        <f>AVERAGE(M5:N11)</f>
        <v>10.098211086686707</v>
      </c>
      <c r="P5" s="90">
        <v>1.2</v>
      </c>
      <c r="Q5" s="94">
        <f>+(3.14*P5*P5/4)</f>
        <v>1.1303999999999998</v>
      </c>
      <c r="R5" s="95">
        <f>O5*Q5</f>
        <v>11.415017812390651</v>
      </c>
      <c r="S5" s="96">
        <f>+(I5+J5)/(273+H5)*0.269*R5</f>
        <v>9.2507554596523729</v>
      </c>
      <c r="T5" s="97">
        <f>H2O!I7</f>
        <v>1.4999999999999999E-2</v>
      </c>
      <c r="U5" s="98">
        <f>T5/(1.29*W5)</f>
        <v>0.12493956371121842</v>
      </c>
      <c r="V5" s="97">
        <f>S5*1/(1+(U5*1.29/0.8038))</f>
        <v>7.7056712028060366</v>
      </c>
      <c r="W5" s="99">
        <f>H2O!H7</f>
        <v>9.3068253412670637E-2</v>
      </c>
      <c r="X5" s="100">
        <v>7.9000000000000001E-2</v>
      </c>
      <c r="Y5" s="101">
        <f>V5*X5</f>
        <v>0.60874802502167691</v>
      </c>
      <c r="Z5" s="102">
        <f>O5*X5</f>
        <v>0.79775867584824989</v>
      </c>
      <c r="AA5" s="103">
        <f>Aerodinamika!G27</f>
        <v>1.3179692000000001</v>
      </c>
      <c r="AB5" s="259" t="s">
        <v>30</v>
      </c>
    </row>
    <row r="6" spans="1:28" x14ac:dyDescent="0.25">
      <c r="A6" s="257"/>
      <c r="B6" s="257"/>
      <c r="C6" s="257"/>
      <c r="D6" s="85">
        <v>16</v>
      </c>
      <c r="E6" s="86">
        <v>0.87</v>
      </c>
      <c r="F6" s="86">
        <v>0.76</v>
      </c>
      <c r="G6" s="96">
        <f>(G5)</f>
        <v>0.82699999999999996</v>
      </c>
      <c r="H6" s="88">
        <f>(H5)</f>
        <v>63.033333333333339</v>
      </c>
      <c r="I6" s="104">
        <f>(I5)</f>
        <v>1012</v>
      </c>
      <c r="J6" s="105">
        <f>(J5)</f>
        <v>0.35</v>
      </c>
      <c r="K6" s="91">
        <f t="shared" si="0"/>
        <v>1012.35</v>
      </c>
      <c r="L6" s="92">
        <f>AA5*22.4</f>
        <v>29.52251008</v>
      </c>
      <c r="M6" s="93">
        <f t="shared" si="1"/>
        <v>10.551253146635817</v>
      </c>
      <c r="N6" s="93">
        <f t="shared" si="2"/>
        <v>9.8616869609626541</v>
      </c>
      <c r="O6" s="63"/>
      <c r="P6" s="106">
        <v>0</v>
      </c>
      <c r="Q6" s="107">
        <f>+(P7*P6)</f>
        <v>0</v>
      </c>
      <c r="R6" s="95">
        <f>O5*Q6</f>
        <v>0</v>
      </c>
      <c r="S6" s="96">
        <f>+(I5+J5)/(273+H5)*0.269*R6</f>
        <v>0</v>
      </c>
      <c r="T6" s="97">
        <f>H2O!I7</f>
        <v>1.4999999999999999E-2</v>
      </c>
      <c r="U6" s="98">
        <f>T6/(1.29*W6)</f>
        <v>0.12493956371121842</v>
      </c>
      <c r="V6" s="97">
        <f>S6*(1/(1+(U6*1.29/0.8038)))</f>
        <v>0</v>
      </c>
      <c r="W6" s="99">
        <f>H2O!H7</f>
        <v>9.3068253412670637E-2</v>
      </c>
      <c r="X6" s="100">
        <v>7.9000000000000001E-2</v>
      </c>
      <c r="Y6" s="101">
        <f>V6*X6</f>
        <v>0</v>
      </c>
      <c r="Z6" s="102">
        <f>O5*X6</f>
        <v>0.79775867584824989</v>
      </c>
      <c r="AB6" s="258"/>
    </row>
    <row r="7" spans="1:28" x14ac:dyDescent="0.25">
      <c r="A7" s="257"/>
      <c r="B7" s="257"/>
      <c r="C7" s="257"/>
      <c r="D7" s="108">
        <v>31</v>
      </c>
      <c r="E7" s="86">
        <v>0.94</v>
      </c>
      <c r="F7" s="86">
        <v>0.78</v>
      </c>
      <c r="G7" s="96">
        <f>(G5)</f>
        <v>0.82699999999999996</v>
      </c>
      <c r="H7" s="88">
        <f>(H5)</f>
        <v>63.033333333333339</v>
      </c>
      <c r="I7" s="104">
        <f>(I5)</f>
        <v>1012</v>
      </c>
      <c r="J7" s="105">
        <f>(J5)</f>
        <v>0.35</v>
      </c>
      <c r="K7" s="109">
        <f t="shared" si="0"/>
        <v>1012.35</v>
      </c>
      <c r="L7" s="92">
        <f>AA5*22.4</f>
        <v>29.52251008</v>
      </c>
      <c r="M7" s="110">
        <f t="shared" si="1"/>
        <v>10.967517682796174</v>
      </c>
      <c r="N7" s="110">
        <f t="shared" si="2"/>
        <v>9.9906033732292308</v>
      </c>
      <c r="O7" s="66"/>
      <c r="P7" s="111">
        <v>0</v>
      </c>
      <c r="Q7" s="68"/>
      <c r="R7" s="58"/>
      <c r="S7" s="58"/>
    </row>
    <row r="8" spans="1:28" x14ac:dyDescent="0.25">
      <c r="A8" s="257"/>
      <c r="B8" s="257"/>
      <c r="C8" s="257"/>
      <c r="D8" s="85">
        <v>60</v>
      </c>
      <c r="E8" s="86">
        <v>0.92</v>
      </c>
      <c r="F8" s="86">
        <v>0.87</v>
      </c>
      <c r="G8" s="96">
        <f>(G5)</f>
        <v>0.82699999999999996</v>
      </c>
      <c r="H8" s="88">
        <f>(H5)</f>
        <v>63.033333333333339</v>
      </c>
      <c r="I8" s="104">
        <f>(I5)</f>
        <v>1012</v>
      </c>
      <c r="J8" s="105">
        <f>(J5)</f>
        <v>0.35</v>
      </c>
      <c r="K8" s="91">
        <f t="shared" si="0"/>
        <v>1012.35</v>
      </c>
      <c r="L8" s="92">
        <f>AA5*22.4</f>
        <v>29.52251008</v>
      </c>
      <c r="M8" s="110">
        <f t="shared" si="1"/>
        <v>10.850214655816185</v>
      </c>
      <c r="N8" s="110">
        <f t="shared" si="2"/>
        <v>10.551253146635817</v>
      </c>
      <c r="O8" s="69"/>
      <c r="P8" s="69"/>
      <c r="Q8" s="69"/>
      <c r="R8" s="69"/>
      <c r="S8" s="69"/>
      <c r="W8" s="70"/>
      <c r="AA8" s="70"/>
    </row>
    <row r="9" spans="1:28" x14ac:dyDescent="0.25">
      <c r="A9" s="257"/>
      <c r="B9" s="257"/>
      <c r="C9" s="257"/>
      <c r="D9" s="85">
        <v>89</v>
      </c>
      <c r="E9" s="86">
        <v>0.86</v>
      </c>
      <c r="F9" s="86">
        <v>0.82</v>
      </c>
      <c r="G9" s="96">
        <f>(G5)</f>
        <v>0.82699999999999996</v>
      </c>
      <c r="H9" s="88">
        <f>(H5)</f>
        <v>63.033333333333339</v>
      </c>
      <c r="I9" s="104">
        <f>(I5)</f>
        <v>1012</v>
      </c>
      <c r="J9" s="105">
        <f>(J5)</f>
        <v>0.35</v>
      </c>
      <c r="K9" s="91">
        <f t="shared" si="0"/>
        <v>1012.35</v>
      </c>
      <c r="L9" s="92">
        <f>AA5*22.4</f>
        <v>29.52251008</v>
      </c>
      <c r="M9" s="110">
        <f t="shared" si="1"/>
        <v>10.490438500930884</v>
      </c>
      <c r="N9" s="110">
        <f t="shared" si="2"/>
        <v>10.243570073538624</v>
      </c>
    </row>
    <row r="10" spans="1:28" x14ac:dyDescent="0.25">
      <c r="A10" s="257"/>
      <c r="B10" s="257"/>
      <c r="C10" s="257"/>
      <c r="D10" s="85">
        <v>104</v>
      </c>
      <c r="E10" s="86">
        <v>0.77</v>
      </c>
      <c r="F10" s="86">
        <v>0.81</v>
      </c>
      <c r="G10" s="96">
        <f>(G5)</f>
        <v>0.82699999999999996</v>
      </c>
      <c r="H10" s="88">
        <f>(H5)</f>
        <v>63.033333333333339</v>
      </c>
      <c r="I10" s="104">
        <f>(I5)</f>
        <v>1012</v>
      </c>
      <c r="J10" s="105">
        <f>(J5)</f>
        <v>0.35</v>
      </c>
      <c r="K10" s="91">
        <f t="shared" si="0"/>
        <v>1012.35</v>
      </c>
      <c r="L10" s="92">
        <f>AA5*22.4</f>
        <v>29.52251008</v>
      </c>
      <c r="M10" s="110">
        <f t="shared" si="1"/>
        <v>9.9263544536048087</v>
      </c>
      <c r="N10" s="110">
        <f t="shared" si="2"/>
        <v>10.180917681079487</v>
      </c>
    </row>
    <row r="11" spans="1:28" x14ac:dyDescent="0.25">
      <c r="A11" s="258"/>
      <c r="B11" s="258"/>
      <c r="C11" s="258"/>
      <c r="D11" s="85">
        <v>115</v>
      </c>
      <c r="E11" s="86">
        <v>0.7</v>
      </c>
      <c r="F11" s="86">
        <v>0.75</v>
      </c>
      <c r="G11" s="96">
        <f>(G5)</f>
        <v>0.82699999999999996</v>
      </c>
      <c r="H11" s="88">
        <f>(H5)</f>
        <v>63.033333333333339</v>
      </c>
      <c r="I11" s="104">
        <f>(I5)</f>
        <v>1012</v>
      </c>
      <c r="J11" s="105">
        <f>(J5)</f>
        <v>0.35</v>
      </c>
      <c r="K11" s="91">
        <f t="shared" si="0"/>
        <v>1012.35</v>
      </c>
      <c r="L11" s="92">
        <f>AA5*22.4</f>
        <v>29.52251008</v>
      </c>
      <c r="M11" s="110">
        <f t="shared" si="1"/>
        <v>9.4644076191035573</v>
      </c>
      <c r="N11" s="110">
        <f t="shared" si="2"/>
        <v>9.796592606281104</v>
      </c>
    </row>
    <row r="12" spans="1:28" x14ac:dyDescent="0.25">
      <c r="A12" s="69"/>
      <c r="B12" s="69"/>
      <c r="C12" s="69"/>
      <c r="D12" s="69"/>
      <c r="E12" s="71"/>
      <c r="F12" s="60"/>
      <c r="G12" s="72"/>
      <c r="H12" s="69"/>
      <c r="I12" s="69"/>
      <c r="J12" s="69"/>
      <c r="K12" s="69"/>
      <c r="L12" s="69"/>
      <c r="M12" s="69"/>
      <c r="N12" s="61"/>
      <c r="O12" s="56" t="s">
        <v>31</v>
      </c>
      <c r="P12" s="56" t="s">
        <v>32</v>
      </c>
    </row>
    <row r="13" spans="1:28" x14ac:dyDescent="0.25">
      <c r="D13" s="65" t="s">
        <v>33</v>
      </c>
      <c r="E13" s="262" t="s">
        <v>34</v>
      </c>
      <c r="F13" s="263"/>
      <c r="G13" s="263"/>
      <c r="H13" s="263"/>
      <c r="I13" s="263"/>
      <c r="J13" s="263"/>
      <c r="K13" s="263"/>
      <c r="L13" s="263"/>
      <c r="M13" s="263"/>
      <c r="N13" s="264"/>
    </row>
    <row r="14" spans="1:28" x14ac:dyDescent="0.25">
      <c r="A14" s="69"/>
      <c r="B14" s="69"/>
      <c r="C14" s="69"/>
      <c r="E14" s="73"/>
      <c r="F14" s="73"/>
      <c r="G14" s="74"/>
      <c r="N14" s="75"/>
    </row>
    <row r="15" spans="1:28" x14ac:dyDescent="0.25">
      <c r="A15" s="76"/>
      <c r="B15" s="76"/>
      <c r="C15" s="76"/>
      <c r="E15" s="73"/>
      <c r="F15" s="73"/>
      <c r="G15" s="74"/>
      <c r="N15" s="75"/>
      <c r="P15" s="56" t="s">
        <v>35</v>
      </c>
    </row>
    <row r="16" spans="1:28" x14ac:dyDescent="0.25">
      <c r="A16" s="69"/>
      <c r="B16" s="69"/>
      <c r="C16" s="69"/>
      <c r="E16" s="21"/>
      <c r="F16" s="21"/>
      <c r="N16" s="75"/>
    </row>
    <row r="17" spans="1:28" x14ac:dyDescent="0.25">
      <c r="A17" s="69"/>
      <c r="B17" s="69"/>
      <c r="C17" s="69"/>
      <c r="D17" s="268" t="s">
        <v>36</v>
      </c>
      <c r="E17" s="267"/>
      <c r="F17" s="267"/>
      <c r="G17" s="267"/>
      <c r="H17" s="267"/>
      <c r="I17" s="267"/>
      <c r="J17" s="267"/>
      <c r="K17" s="267"/>
      <c r="L17" s="267"/>
      <c r="M17" s="267"/>
      <c r="N17" s="267"/>
      <c r="O17" s="267"/>
      <c r="P17" s="267"/>
      <c r="Q17" s="267"/>
      <c r="R17" s="267"/>
      <c r="S17" s="267"/>
      <c r="T17" s="267"/>
      <c r="U17" s="267"/>
      <c r="V17" s="267"/>
      <c r="W17" s="267"/>
      <c r="X17" s="267"/>
      <c r="Y17" s="267"/>
      <c r="Z17" s="267"/>
    </row>
    <row r="18" spans="1:28" x14ac:dyDescent="0.25">
      <c r="A18" s="69"/>
      <c r="B18" s="69"/>
      <c r="C18" s="69"/>
      <c r="D18" s="77"/>
      <c r="E18" s="78"/>
      <c r="F18" s="78"/>
      <c r="G18" s="77"/>
      <c r="H18" s="77"/>
      <c r="I18" s="77"/>
      <c r="J18" s="77"/>
      <c r="K18" s="77"/>
      <c r="L18" s="77"/>
      <c r="M18" s="77"/>
      <c r="N18" s="79"/>
      <c r="O18" s="77"/>
    </row>
    <row r="19" spans="1:28" s="10" customFormat="1" ht="126" customHeight="1" x14ac:dyDescent="0.25">
      <c r="A19" s="9" t="s">
        <v>1</v>
      </c>
      <c r="B19" s="9" t="s">
        <v>2</v>
      </c>
      <c r="C19" s="9" t="s">
        <v>3</v>
      </c>
      <c r="D19" s="33" t="s">
        <v>4</v>
      </c>
      <c r="E19" s="33" t="s">
        <v>5</v>
      </c>
      <c r="F19" s="33" t="s">
        <v>6</v>
      </c>
      <c r="G19" s="80" t="s">
        <v>7</v>
      </c>
      <c r="H19" s="80" t="s">
        <v>8</v>
      </c>
      <c r="I19" s="80" t="s">
        <v>9</v>
      </c>
      <c r="J19" s="80" t="s">
        <v>10</v>
      </c>
      <c r="K19" s="80" t="s">
        <v>11</v>
      </c>
      <c r="L19" s="80" t="s">
        <v>12</v>
      </c>
      <c r="M19" s="80" t="s">
        <v>13</v>
      </c>
      <c r="N19" s="80" t="s">
        <v>14</v>
      </c>
      <c r="O19" s="80" t="s">
        <v>15</v>
      </c>
      <c r="P19" s="9" t="s">
        <v>16</v>
      </c>
      <c r="Q19" s="9" t="s">
        <v>17</v>
      </c>
      <c r="R19" s="9" t="s">
        <v>18</v>
      </c>
      <c r="S19" s="9" t="s">
        <v>19</v>
      </c>
      <c r="T19" s="9" t="s">
        <v>20</v>
      </c>
      <c r="U19" s="84" t="s">
        <v>21</v>
      </c>
      <c r="V19" s="84" t="s">
        <v>22</v>
      </c>
      <c r="W19" s="9" t="s">
        <v>23</v>
      </c>
      <c r="X19" s="9" t="s">
        <v>24</v>
      </c>
      <c r="Y19" s="9" t="s">
        <v>25</v>
      </c>
      <c r="Z19" s="9" t="s">
        <v>26</v>
      </c>
      <c r="AA19" s="76" t="s">
        <v>27</v>
      </c>
      <c r="AB19" s="57" t="s">
        <v>28</v>
      </c>
    </row>
    <row r="20" spans="1:28" ht="16" customHeight="1" thickBot="1" x14ac:dyDescent="0.3">
      <c r="A20" s="256"/>
      <c r="B20" s="256"/>
      <c r="C20" s="256"/>
      <c r="D20" s="59">
        <v>3</v>
      </c>
      <c r="E20" s="71"/>
      <c r="F20" s="71"/>
      <c r="G20" s="37"/>
      <c r="H20" s="13">
        <v>17.899999999999999</v>
      </c>
      <c r="I20" s="13">
        <v>1007</v>
      </c>
      <c r="J20" s="13">
        <v>-9.6000000000000002E-2</v>
      </c>
      <c r="K20" s="112">
        <f t="shared" ref="K20:K26" si="3">SUM(I20:J20)</f>
        <v>1006.904</v>
      </c>
      <c r="L20" s="36">
        <f>AA20*22.4</f>
        <v>30.24</v>
      </c>
      <c r="M20" s="61">
        <v>14.003518772244311</v>
      </c>
      <c r="N20" s="61">
        <v>14.062233993167199</v>
      </c>
      <c r="O20" s="38">
        <f>AVERAGE(M20:N26)</f>
        <v>12.85728398330267</v>
      </c>
      <c r="P20" s="62">
        <v>0.3</v>
      </c>
      <c r="Q20" s="40">
        <f>+(3.14*P20*P20/4)</f>
        <v>7.0649999999999991E-2</v>
      </c>
      <c r="R20" s="113">
        <f>O20*Q20</f>
        <v>0.90836711342033349</v>
      </c>
      <c r="S20" s="113">
        <f>+(I20+J20)/(273+H20)*0.269*R20</f>
        <v>0.84578120011104596</v>
      </c>
      <c r="T20" s="28">
        <v>0</v>
      </c>
      <c r="U20" s="114">
        <f>T20/(1.29*W20)</f>
        <v>0</v>
      </c>
      <c r="V20" s="43">
        <f>S20*1/(1+(U20*1.29/0.8038))</f>
        <v>0.84578120011104596</v>
      </c>
      <c r="W20" s="115">
        <v>1</v>
      </c>
      <c r="X20" s="59">
        <v>8.3000000000000004E-2</v>
      </c>
      <c r="Y20" s="43">
        <f>V20*X20</f>
        <v>7.0199839609216816E-2</v>
      </c>
      <c r="Z20" s="43">
        <f>O20*X20</f>
        <v>1.0671545706141217</v>
      </c>
      <c r="AA20" s="59">
        <v>1.35</v>
      </c>
      <c r="AB20" s="259"/>
    </row>
    <row r="21" spans="1:28" x14ac:dyDescent="0.25">
      <c r="A21" s="257"/>
      <c r="B21" s="257"/>
      <c r="C21" s="257"/>
      <c r="D21" s="59">
        <v>15</v>
      </c>
      <c r="E21" s="71"/>
      <c r="F21" s="71"/>
      <c r="G21" s="37"/>
      <c r="H21" s="13">
        <v>17.899999999999999</v>
      </c>
      <c r="I21" s="13">
        <v>1007</v>
      </c>
      <c r="J21" s="13">
        <v>-9.6000000000000002E-2</v>
      </c>
      <c r="K21" s="112">
        <f t="shared" si="3"/>
        <v>1006.904</v>
      </c>
      <c r="L21" s="36">
        <f>AA20*22.4</f>
        <v>30.24</v>
      </c>
      <c r="M21" s="61">
        <v>13.216505159941191</v>
      </c>
      <c r="N21" s="61">
        <v>13.71</v>
      </c>
      <c r="O21" s="63"/>
      <c r="P21" s="64">
        <v>0.35</v>
      </c>
      <c r="Q21" s="116">
        <f>+(P22*P21)</f>
        <v>0.105</v>
      </c>
      <c r="R21" s="113">
        <f>O20*Q21</f>
        <v>1.3500148182467804</v>
      </c>
      <c r="S21" s="113">
        <f>+(I20+J20)/(273+H20)*0.269*R21</f>
        <v>1.2569996604622766</v>
      </c>
      <c r="T21" s="28">
        <v>0</v>
      </c>
      <c r="U21" s="114">
        <f>T21/(1.29*W21)</f>
        <v>0</v>
      </c>
      <c r="V21" s="43">
        <f>S21*(1/(1+(U21*1.29/0.8038)))</f>
        <v>1.2569996604622766</v>
      </c>
      <c r="W21" s="115">
        <v>1</v>
      </c>
      <c r="X21" s="59">
        <v>8.3000000000000004E-2</v>
      </c>
      <c r="Y21" s="43">
        <f>V21*X21</f>
        <v>0.10433097181836896</v>
      </c>
      <c r="Z21" s="43">
        <f>O20*X21</f>
        <v>1.0671545706141217</v>
      </c>
      <c r="AB21" s="258"/>
    </row>
    <row r="22" spans="1:28" x14ac:dyDescent="0.25">
      <c r="A22" s="257"/>
      <c r="B22" s="257"/>
      <c r="C22" s="257"/>
      <c r="D22" s="65">
        <v>27</v>
      </c>
      <c r="E22" s="81"/>
      <c r="F22" s="81"/>
      <c r="G22" s="82"/>
      <c r="H22" s="83">
        <v>17.899999999999999</v>
      </c>
      <c r="I22" s="13">
        <v>1007</v>
      </c>
      <c r="J22" s="83">
        <v>-9.6000000000000002E-2</v>
      </c>
      <c r="K22" s="117">
        <f t="shared" si="3"/>
        <v>1006.904</v>
      </c>
      <c r="L22" s="36">
        <f>AA20*22.4</f>
        <v>30.24</v>
      </c>
      <c r="M22" s="62">
        <v>13.94455632605824</v>
      </c>
      <c r="N22" s="62">
        <v>13.825877092706779</v>
      </c>
      <c r="O22" s="66"/>
      <c r="P22" s="67">
        <v>0.3</v>
      </c>
      <c r="Q22" s="68"/>
      <c r="R22" s="58"/>
      <c r="S22" s="58"/>
    </row>
    <row r="23" spans="1:28" x14ac:dyDescent="0.25">
      <c r="A23" s="257"/>
      <c r="B23" s="257"/>
      <c r="C23" s="257"/>
      <c r="D23" s="59">
        <v>4</v>
      </c>
      <c r="E23" s="71"/>
      <c r="F23" s="71"/>
      <c r="G23" s="37"/>
      <c r="H23" s="83">
        <v>17.899999999999999</v>
      </c>
      <c r="I23" s="13">
        <v>1007</v>
      </c>
      <c r="J23" s="13">
        <v>-9.6000000000000002E-2</v>
      </c>
      <c r="K23" s="112">
        <f t="shared" si="3"/>
        <v>1006.904</v>
      </c>
      <c r="L23" s="36">
        <f>AA20*22.4</f>
        <v>30.24</v>
      </c>
      <c r="M23" s="62">
        <v>12.57764444969207</v>
      </c>
      <c r="N23" s="62">
        <v>12.772658318644339</v>
      </c>
      <c r="O23" s="69"/>
      <c r="P23" s="69"/>
      <c r="Q23" s="69"/>
      <c r="R23" s="69"/>
      <c r="S23" s="69"/>
      <c r="W23" s="70" t="s">
        <v>37</v>
      </c>
      <c r="AA23" s="70" t="s">
        <v>37</v>
      </c>
    </row>
    <row r="24" spans="1:28" x14ac:dyDescent="0.25">
      <c r="A24" s="257"/>
      <c r="B24" s="257"/>
      <c r="C24" s="257"/>
      <c r="D24" s="59">
        <v>5</v>
      </c>
      <c r="E24" s="71"/>
      <c r="F24" s="71"/>
      <c r="G24" s="37"/>
      <c r="H24" s="83">
        <v>17.899999999999999</v>
      </c>
      <c r="I24" s="13">
        <v>1007</v>
      </c>
      <c r="J24" s="13">
        <v>-9.6000000000000002E-2</v>
      </c>
      <c r="K24" s="112">
        <f t="shared" si="3"/>
        <v>1006.904</v>
      </c>
      <c r="L24" s="36">
        <f>AA20*22.4</f>
        <v>30.24</v>
      </c>
      <c r="M24" s="62">
        <v>11.48176597562666</v>
      </c>
      <c r="N24" s="62">
        <v>11.97356079188542</v>
      </c>
    </row>
    <row r="25" spans="1:28" x14ac:dyDescent="0.25">
      <c r="A25" s="257"/>
      <c r="B25" s="257"/>
      <c r="C25" s="257"/>
      <c r="D25" s="59">
        <v>6</v>
      </c>
      <c r="E25" s="71"/>
      <c r="F25" s="71"/>
      <c r="G25" s="37"/>
      <c r="H25" s="83">
        <v>17.899999999999999</v>
      </c>
      <c r="I25" s="13">
        <v>1007</v>
      </c>
      <c r="J25" s="13">
        <v>-9.6000000000000002E-2</v>
      </c>
      <c r="K25" s="112">
        <f t="shared" si="3"/>
        <v>1006.904</v>
      </c>
      <c r="L25" s="36">
        <f>AA20*22.4</f>
        <v>30.24</v>
      </c>
      <c r="M25" s="62">
        <v>12.04217774785624</v>
      </c>
      <c r="N25" s="62">
        <v>12.44593773706479</v>
      </c>
    </row>
    <row r="26" spans="1:28" x14ac:dyDescent="0.25">
      <c r="A26" s="258"/>
      <c r="B26" s="258"/>
      <c r="C26" s="258"/>
      <c r="D26" s="59">
        <v>7</v>
      </c>
      <c r="E26" s="71"/>
      <c r="F26" s="71"/>
      <c r="G26" s="37"/>
      <c r="H26" s="13">
        <v>17.899999999999999</v>
      </c>
      <c r="I26" s="13">
        <v>1007</v>
      </c>
      <c r="J26" s="13">
        <v>-9.6000000000000002E-2</v>
      </c>
      <c r="K26" s="112">
        <f t="shared" si="3"/>
        <v>1006.904</v>
      </c>
      <c r="L26" s="36">
        <f>AA20*22.4</f>
        <v>30.24</v>
      </c>
      <c r="M26" s="61">
        <v>11.83513347153294</v>
      </c>
      <c r="N26" s="61">
        <v>12.110405929817221</v>
      </c>
    </row>
  </sheetData>
  <sheetProtection algorithmName="SHA-512" hashValue="YnNuFyjIZWP4o8siiNLOxJuXYMQvqdvZ9OrGGKpnMs1jyahS3pGpSVhE713S/7NZQvFDz0ZfCGMwTjhjC08CdQ==" saltValue="gCAgvRWICbIOkCsyhMCWFQ==" spinCount="100000" sheet="1" formatCells="0" formatColumns="0" formatRows="0"/>
  <mergeCells count="11">
    <mergeCell ref="D2:Z2"/>
    <mergeCell ref="D17:Z17"/>
    <mergeCell ref="B20:B26"/>
    <mergeCell ref="C20:C26"/>
    <mergeCell ref="A20:A26"/>
    <mergeCell ref="AB5:AB6"/>
    <mergeCell ref="AB20:AB21"/>
    <mergeCell ref="C5:C11"/>
    <mergeCell ref="A5:A11"/>
    <mergeCell ref="E13:N13"/>
    <mergeCell ref="B5:B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6"/>
  <sheetViews>
    <sheetView zoomScale="90" zoomScaleNormal="90" workbookViewId="0">
      <selection activeCell="E25" sqref="E25"/>
    </sheetView>
  </sheetViews>
  <sheetFormatPr defaultColWidth="9.1796875" defaultRowHeight="13" x14ac:dyDescent="0.3"/>
  <cols>
    <col min="1" max="1" width="12.453125" style="22" customWidth="1"/>
    <col min="2" max="2" width="8.453125" style="22" customWidth="1"/>
    <col min="3" max="4" width="9.1796875" style="22" customWidth="1"/>
    <col min="5" max="5" width="10.7265625" style="22" customWidth="1"/>
    <col min="6" max="6" width="9.1796875" style="22" customWidth="1"/>
    <col min="7" max="7" width="11.26953125" style="22" customWidth="1"/>
    <col min="8" max="8" width="12.26953125" style="22" customWidth="1"/>
    <col min="9" max="9" width="10.81640625" style="22" customWidth="1"/>
    <col min="10" max="10" width="10.54296875" style="22" customWidth="1"/>
    <col min="11" max="11" width="9.1796875" style="22" customWidth="1"/>
    <col min="12" max="16384" width="9.1796875" style="22"/>
  </cols>
  <sheetData>
    <row r="1" spans="1:12" ht="15" customHeight="1" x14ac:dyDescent="0.3">
      <c r="A1" s="21"/>
      <c r="B1" s="10"/>
      <c r="C1" s="10"/>
      <c r="D1" s="10"/>
      <c r="E1" s="10"/>
      <c r="F1" s="10"/>
      <c r="G1" s="10"/>
      <c r="H1" s="10"/>
      <c r="I1" s="10"/>
    </row>
    <row r="2" spans="1:12" ht="15" customHeight="1" x14ac:dyDescent="0.3">
      <c r="A2" s="23"/>
      <c r="B2" s="10"/>
      <c r="C2" s="10"/>
      <c r="D2" s="10"/>
      <c r="E2" s="10"/>
      <c r="F2" s="10"/>
      <c r="G2" s="10"/>
      <c r="H2" s="10"/>
      <c r="I2" s="10"/>
    </row>
    <row r="3" spans="1:12" ht="23.25" customHeight="1" x14ac:dyDescent="0.3">
      <c r="A3" s="273" t="s">
        <v>44</v>
      </c>
      <c r="B3" s="267"/>
      <c r="C3" s="267"/>
      <c r="D3" s="267"/>
      <c r="E3" s="267"/>
      <c r="F3" s="267"/>
      <c r="G3" s="267"/>
      <c r="H3" s="267"/>
      <c r="I3" s="267"/>
      <c r="J3" s="267"/>
    </row>
    <row r="4" spans="1:12" ht="14" customHeight="1" x14ac:dyDescent="0.3">
      <c r="A4" s="10"/>
      <c r="B4" s="10"/>
      <c r="C4" s="10"/>
      <c r="D4" s="10"/>
      <c r="E4" s="10"/>
      <c r="F4" s="10"/>
      <c r="G4" s="10"/>
      <c r="H4" s="10"/>
      <c r="I4" s="10"/>
    </row>
    <row r="5" spans="1:12" ht="84" customHeight="1" x14ac:dyDescent="0.3">
      <c r="A5" s="9"/>
      <c r="B5" s="9" t="s">
        <v>45</v>
      </c>
      <c r="C5" s="9" t="s">
        <v>46</v>
      </c>
      <c r="D5" s="9" t="s">
        <v>47</v>
      </c>
      <c r="E5" s="9" t="s">
        <v>48</v>
      </c>
      <c r="F5" s="9" t="s">
        <v>49</v>
      </c>
      <c r="G5" s="9" t="s">
        <v>50</v>
      </c>
      <c r="H5" s="9" t="s">
        <v>23</v>
      </c>
      <c r="I5" s="9" t="s">
        <v>20</v>
      </c>
      <c r="J5" s="26" t="s">
        <v>51</v>
      </c>
      <c r="K5" s="26" t="s">
        <v>52</v>
      </c>
      <c r="L5" s="26" t="s">
        <v>53</v>
      </c>
    </row>
    <row r="6" spans="1:12" ht="17.25" customHeight="1" x14ac:dyDescent="0.3">
      <c r="A6" s="24"/>
      <c r="B6" s="9"/>
      <c r="C6" s="9"/>
      <c r="D6" s="9"/>
      <c r="E6" s="9"/>
      <c r="F6" s="9"/>
      <c r="G6" s="9"/>
      <c r="H6" s="9"/>
      <c r="I6" s="9"/>
      <c r="J6" s="30"/>
      <c r="K6" s="27"/>
      <c r="L6" s="27"/>
    </row>
    <row r="7" spans="1:12" ht="33" customHeight="1" x14ac:dyDescent="0.3">
      <c r="A7" s="118" t="s">
        <v>54</v>
      </c>
      <c r="B7" s="119">
        <v>10</v>
      </c>
      <c r="C7" s="120">
        <v>10</v>
      </c>
      <c r="D7" s="121">
        <f>Greitis!I5</f>
        <v>1012</v>
      </c>
      <c r="E7" s="119">
        <v>27.2</v>
      </c>
      <c r="F7" s="122">
        <v>12.7</v>
      </c>
      <c r="G7" s="123">
        <f>+(D7-E7)*B7*C7*0.27/(273+F7)</f>
        <v>93.068253412670643</v>
      </c>
      <c r="H7" s="124">
        <f>G7/1000</f>
        <v>9.3068253412670637E-2</v>
      </c>
      <c r="I7" s="125">
        <v>1.4999999999999999E-2</v>
      </c>
      <c r="J7" s="126">
        <f>Aerodinamika!G27</f>
        <v>1.3179692000000001</v>
      </c>
      <c r="K7" s="127">
        <f>(100*((I7/(H7*J7))/0.8038))/(((I7/(H7*J7))/0.8038)+(1/J7))</f>
        <v>16.702249492868962</v>
      </c>
      <c r="L7" s="128"/>
    </row>
    <row r="8" spans="1:12" ht="15" customHeight="1" x14ac:dyDescent="0.3">
      <c r="A8" s="13"/>
      <c r="B8" s="36"/>
      <c r="C8" s="37"/>
      <c r="D8" s="13"/>
      <c r="E8" s="13"/>
      <c r="F8" s="25"/>
      <c r="G8" s="38"/>
      <c r="H8" s="39"/>
      <c r="I8" s="28"/>
      <c r="J8" s="30"/>
      <c r="K8" s="27"/>
      <c r="L8" s="27"/>
    </row>
    <row r="9" spans="1:12" ht="15" customHeight="1" x14ac:dyDescent="0.3">
      <c r="A9" s="13"/>
      <c r="B9" s="36"/>
      <c r="C9" s="37"/>
      <c r="D9" s="13"/>
      <c r="E9" s="13"/>
      <c r="F9" s="25"/>
      <c r="G9" s="38"/>
      <c r="H9" s="39"/>
      <c r="I9" s="28"/>
      <c r="J9" s="30"/>
      <c r="K9" s="27"/>
      <c r="L9" s="27"/>
    </row>
    <row r="10" spans="1:12" ht="42.75" customHeight="1" x14ac:dyDescent="0.3">
      <c r="A10" s="41"/>
      <c r="B10" s="36"/>
      <c r="C10" s="13"/>
      <c r="D10" s="13"/>
      <c r="E10" s="13"/>
      <c r="F10" s="25"/>
      <c r="G10" s="40"/>
      <c r="H10" s="42"/>
      <c r="I10" s="43"/>
      <c r="J10" s="30"/>
      <c r="K10" s="27"/>
      <c r="L10" s="27"/>
    </row>
    <row r="11" spans="1:12" ht="12.75" customHeight="1" x14ac:dyDescent="0.3">
      <c r="H11" s="270" t="s">
        <v>55</v>
      </c>
      <c r="I11" s="269" t="s">
        <v>56</v>
      </c>
    </row>
    <row r="12" spans="1:12" ht="12.75" customHeight="1" x14ac:dyDescent="0.3">
      <c r="H12" s="271"/>
      <c r="I12" s="257"/>
    </row>
    <row r="13" spans="1:12" ht="12.75" customHeight="1" x14ac:dyDescent="0.3">
      <c r="H13" s="271"/>
      <c r="I13" s="257"/>
    </row>
    <row r="14" spans="1:12" x14ac:dyDescent="0.3">
      <c r="H14" s="271"/>
      <c r="I14" s="257"/>
    </row>
    <row r="15" spans="1:12" x14ac:dyDescent="0.3">
      <c r="H15" s="271"/>
      <c r="I15" s="257"/>
    </row>
    <row r="16" spans="1:12" x14ac:dyDescent="0.3">
      <c r="H16" s="271"/>
      <c r="I16" s="257"/>
    </row>
    <row r="17" spans="8:9" x14ac:dyDescent="0.3">
      <c r="H17" s="271"/>
      <c r="I17" s="257"/>
    </row>
    <row r="18" spans="8:9" x14ac:dyDescent="0.3">
      <c r="H18" s="272"/>
      <c r="I18" s="257"/>
    </row>
    <row r="19" spans="8:9" ht="12.75" customHeight="1" x14ac:dyDescent="0.3">
      <c r="I19" s="257"/>
    </row>
    <row r="20" spans="8:9" ht="12.75" customHeight="1" x14ac:dyDescent="0.3">
      <c r="I20" s="258"/>
    </row>
    <row r="21" spans="8:9" ht="12.75" customHeight="1" x14ac:dyDescent="0.3">
      <c r="I21" s="32"/>
    </row>
    <row r="22" spans="8:9" ht="12.75" customHeight="1" x14ac:dyDescent="0.3"/>
    <row r="23" spans="8:9" ht="14" customHeight="1" x14ac:dyDescent="0.3">
      <c r="I23" s="31"/>
    </row>
    <row r="24" spans="8:9" ht="14" customHeight="1" x14ac:dyDescent="0.3">
      <c r="I24" s="31"/>
    </row>
    <row r="25" spans="8:9" ht="14" customHeight="1" x14ac:dyDescent="0.3">
      <c r="I25" s="31"/>
    </row>
    <row r="26" spans="8:9" ht="14" customHeight="1" x14ac:dyDescent="0.3">
      <c r="I26" s="31"/>
    </row>
  </sheetData>
  <sheetProtection algorithmName="SHA-512" hashValue="hQ3yOpikEE6TmopgIPTO1YMAt0/2Ueb5eIRhUxMacMZt5ukufEkJMHB7hji/kIxix/VjbSRw+2CFQweRYYMAaw==" saltValue="M0qiBaHESse9/ZOAKtc2QA==" spinCount="100000" sheet="1" formatCells="0" formatColumns="0" formatRows="0"/>
  <mergeCells count="3">
    <mergeCell ref="I11:I20"/>
    <mergeCell ref="H11:H18"/>
    <mergeCell ref="A3:J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V77"/>
  <sheetViews>
    <sheetView zoomScale="80" zoomScaleNormal="80" workbookViewId="0">
      <pane ySplit="5" topLeftCell="A6" activePane="bottomLeft" state="frozen"/>
      <selection pane="bottomLeft" activeCell="E29" sqref="E29"/>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23" width="9.1796875" style="14" customWidth="1"/>
    <col min="24" max="16384" width="9.1796875" style="14"/>
  </cols>
  <sheetData>
    <row r="1" spans="1:22" ht="30" customHeight="1" x14ac:dyDescent="0.3">
      <c r="C1" s="277" t="s">
        <v>57</v>
      </c>
      <c r="D1" s="267"/>
      <c r="E1" s="15"/>
      <c r="S1" s="16"/>
    </row>
    <row r="2" spans="1:22" ht="19.5" customHeight="1" x14ac:dyDescent="0.3">
      <c r="A2" s="282" t="s">
        <v>58</v>
      </c>
      <c r="B2" s="267"/>
      <c r="C2" s="267"/>
      <c r="D2" s="267"/>
      <c r="E2" s="267"/>
      <c r="F2" s="267"/>
      <c r="G2" s="267"/>
      <c r="H2" s="267"/>
      <c r="I2" s="267"/>
      <c r="J2" s="267"/>
      <c r="K2" s="267"/>
      <c r="L2" s="267"/>
      <c r="M2" s="267"/>
      <c r="N2" s="267"/>
      <c r="O2" s="267"/>
      <c r="P2" s="267"/>
      <c r="Q2" s="267"/>
      <c r="R2" s="267"/>
      <c r="S2" s="267"/>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0"/>
    </row>
    <row r="5" spans="1:22" ht="100.5" customHeight="1" x14ac:dyDescent="0.3">
      <c r="A5" s="11" t="s">
        <v>1</v>
      </c>
      <c r="B5" s="11" t="s">
        <v>59</v>
      </c>
      <c r="C5" s="11" t="s">
        <v>3</v>
      </c>
      <c r="D5" s="29" t="s">
        <v>60</v>
      </c>
      <c r="E5" s="29" t="s">
        <v>61</v>
      </c>
      <c r="F5" s="29" t="s">
        <v>62</v>
      </c>
      <c r="G5" s="29" t="s">
        <v>63</v>
      </c>
      <c r="H5" s="29" t="s">
        <v>64</v>
      </c>
      <c r="I5" s="29" t="s">
        <v>65</v>
      </c>
      <c r="J5" s="29" t="s">
        <v>66</v>
      </c>
      <c r="K5" s="29" t="s">
        <v>67</v>
      </c>
      <c r="L5" s="29" t="s">
        <v>68</v>
      </c>
      <c r="M5" s="29" t="s">
        <v>69</v>
      </c>
      <c r="N5" s="29" t="s">
        <v>70</v>
      </c>
      <c r="O5" s="29" t="s">
        <v>71</v>
      </c>
      <c r="P5" s="29" t="s">
        <v>72</v>
      </c>
      <c r="Q5" s="29" t="s">
        <v>73</v>
      </c>
      <c r="R5" s="29" t="s">
        <v>74</v>
      </c>
      <c r="S5" s="29" t="s">
        <v>53</v>
      </c>
      <c r="T5" s="55" t="s">
        <v>75</v>
      </c>
      <c r="U5" s="55" t="s">
        <v>76</v>
      </c>
      <c r="V5" s="12" t="s">
        <v>62</v>
      </c>
    </row>
    <row r="6" spans="1:22" ht="15" customHeight="1" x14ac:dyDescent="0.3">
      <c r="A6" s="129">
        <f>Greitis!A5</f>
        <v>46063</v>
      </c>
      <c r="B6" s="130" t="s">
        <v>77</v>
      </c>
      <c r="C6" s="278" t="str">
        <f>Greitis!C5</f>
        <v>UAB ,,Ekopartneris", L. Ivinskio g. 65, Kaunas. Katilinė. Taršos šaltinis  Nr. 001.</v>
      </c>
      <c r="D6" s="131">
        <v>1.2</v>
      </c>
      <c r="E6" s="132">
        <v>1.1304000000000001</v>
      </c>
      <c r="F6" s="133">
        <f>V9</f>
        <v>63.033333333333339</v>
      </c>
      <c r="G6" s="134">
        <f>Greitis!M5</f>
        <v>9.6650887553236231</v>
      </c>
      <c r="H6" s="135">
        <f>Greitis!I5</f>
        <v>1012</v>
      </c>
      <c r="I6" s="134">
        <f>Greitis!J5</f>
        <v>0.35</v>
      </c>
      <c r="J6" s="136">
        <v>58.6</v>
      </c>
      <c r="K6" s="136">
        <v>5</v>
      </c>
      <c r="L6" s="137">
        <f t="shared" ref="L6:L12" si="0">M6*N6/1000</f>
        <v>3.3000000000000002E-2</v>
      </c>
      <c r="M6" s="138">
        <v>3</v>
      </c>
      <c r="N6" s="139">
        <v>11</v>
      </c>
      <c r="O6" s="136">
        <v>13.4</v>
      </c>
      <c r="P6" s="140">
        <f>T9</f>
        <v>7.94</v>
      </c>
      <c r="Q6" s="140">
        <f>U9</f>
        <v>7.3999999999999995</v>
      </c>
      <c r="R6" s="141" t="s">
        <v>78</v>
      </c>
      <c r="S6" s="142" t="s">
        <v>79</v>
      </c>
      <c r="T6" s="143">
        <v>7.92</v>
      </c>
      <c r="U6" s="143">
        <v>7.41</v>
      </c>
      <c r="V6" s="136">
        <v>63.1</v>
      </c>
    </row>
    <row r="7" spans="1:22" x14ac:dyDescent="0.3">
      <c r="A7" s="144"/>
      <c r="B7" s="145"/>
      <c r="C7" s="279"/>
      <c r="D7" s="147"/>
      <c r="E7" s="148"/>
      <c r="F7" s="133">
        <f>(F6)</f>
        <v>63.033333333333339</v>
      </c>
      <c r="G7" s="134">
        <f>Greitis!M6</f>
        <v>10.551253146635817</v>
      </c>
      <c r="H7" s="149">
        <f>(H6)</f>
        <v>1012</v>
      </c>
      <c r="I7" s="134">
        <f>(I6)</f>
        <v>0.35</v>
      </c>
      <c r="J7" s="136">
        <v>72.400000000000006</v>
      </c>
      <c r="K7" s="150">
        <f>(K6)</f>
        <v>5</v>
      </c>
      <c r="L7" s="137">
        <f t="shared" si="0"/>
        <v>3.5999999999999997E-2</v>
      </c>
      <c r="M7" s="149">
        <f>(M6)</f>
        <v>3</v>
      </c>
      <c r="N7" s="139">
        <v>12</v>
      </c>
      <c r="O7" s="136">
        <v>12.9</v>
      </c>
      <c r="P7" s="140">
        <f>(P6)</f>
        <v>7.94</v>
      </c>
      <c r="Q7" s="140">
        <f>(Q6)</f>
        <v>7.3999999999999995</v>
      </c>
      <c r="R7" s="151"/>
      <c r="S7" s="152"/>
      <c r="T7" s="143">
        <v>7.94</v>
      </c>
      <c r="U7" s="143">
        <v>7.4</v>
      </c>
      <c r="V7" s="136">
        <v>62.7</v>
      </c>
    </row>
    <row r="8" spans="1:22" x14ac:dyDescent="0.3">
      <c r="A8" s="144"/>
      <c r="B8" s="145"/>
      <c r="C8" s="279"/>
      <c r="D8" s="147"/>
      <c r="E8" s="148"/>
      <c r="F8" s="133">
        <f>(F6)</f>
        <v>63.033333333333339</v>
      </c>
      <c r="G8" s="134">
        <f>Greitis!M7</f>
        <v>10.967517682796174</v>
      </c>
      <c r="H8" s="149">
        <f>(H6)</f>
        <v>1012</v>
      </c>
      <c r="I8" s="134">
        <f>(I6)</f>
        <v>0.35</v>
      </c>
      <c r="J8" s="136">
        <v>72.7</v>
      </c>
      <c r="K8" s="150">
        <f>(K6)</f>
        <v>5</v>
      </c>
      <c r="L8" s="137">
        <f t="shared" si="0"/>
        <v>3.5999999999999997E-2</v>
      </c>
      <c r="M8" s="149">
        <f>(M6)</f>
        <v>3</v>
      </c>
      <c r="N8" s="139">
        <v>12</v>
      </c>
      <c r="O8" s="136">
        <v>12.8</v>
      </c>
      <c r="P8" s="140">
        <f>(P6)</f>
        <v>7.94</v>
      </c>
      <c r="Q8" s="140">
        <f>(Q6)</f>
        <v>7.3999999999999995</v>
      </c>
      <c r="R8" s="151"/>
      <c r="S8" s="152"/>
      <c r="T8" s="143">
        <v>7.96</v>
      </c>
      <c r="U8" s="143">
        <v>7.39</v>
      </c>
      <c r="V8" s="136">
        <v>63.3</v>
      </c>
    </row>
    <row r="9" spans="1:22" x14ac:dyDescent="0.3">
      <c r="A9" s="146"/>
      <c r="B9" s="146"/>
      <c r="C9" s="279"/>
      <c r="D9" s="153"/>
      <c r="E9" s="153"/>
      <c r="F9" s="133">
        <f>(F6)</f>
        <v>63.033333333333339</v>
      </c>
      <c r="G9" s="134">
        <f>Greitis!M8</f>
        <v>10.850214655816185</v>
      </c>
      <c r="H9" s="149">
        <f>(H6)</f>
        <v>1012</v>
      </c>
      <c r="I9" s="134">
        <f>(I6)</f>
        <v>0.35</v>
      </c>
      <c r="J9" s="136">
        <v>73.900000000000006</v>
      </c>
      <c r="K9" s="150">
        <f>(K6)</f>
        <v>5</v>
      </c>
      <c r="L9" s="137">
        <f t="shared" si="0"/>
        <v>3.5999999999999997E-2</v>
      </c>
      <c r="M9" s="149">
        <f>(M6)</f>
        <v>3</v>
      </c>
      <c r="N9" s="139">
        <v>12</v>
      </c>
      <c r="O9" s="136">
        <v>12.9</v>
      </c>
      <c r="P9" s="140">
        <f>(P6)</f>
        <v>7.94</v>
      </c>
      <c r="Q9" s="140">
        <f>(Q6)</f>
        <v>7.3999999999999995</v>
      </c>
      <c r="R9" s="153"/>
      <c r="S9" s="153"/>
      <c r="T9" s="140">
        <f>AVERAGE(T6:T8)</f>
        <v>7.94</v>
      </c>
      <c r="U9" s="140">
        <f>AVERAGE(U6:U8)</f>
        <v>7.3999999999999995</v>
      </c>
      <c r="V9" s="133">
        <f>AVERAGE(V6:V8)</f>
        <v>63.033333333333339</v>
      </c>
    </row>
    <row r="10" spans="1:22" ht="15" customHeight="1" x14ac:dyDescent="0.3">
      <c r="A10" s="146"/>
      <c r="B10" s="146"/>
      <c r="C10" s="279"/>
      <c r="D10" s="153"/>
      <c r="E10" s="153"/>
      <c r="F10" s="133">
        <f>(F6)</f>
        <v>63.033333333333339</v>
      </c>
      <c r="G10" s="134">
        <f>Greitis!M9</f>
        <v>10.490438500930884</v>
      </c>
      <c r="H10" s="149">
        <f>(H6)</f>
        <v>1012</v>
      </c>
      <c r="I10" s="134">
        <f>(I6)</f>
        <v>0.35</v>
      </c>
      <c r="J10" s="136">
        <v>75.099999999999994</v>
      </c>
      <c r="K10" s="150">
        <f>(K6)</f>
        <v>5</v>
      </c>
      <c r="L10" s="137">
        <f t="shared" si="0"/>
        <v>3.5999999999999997E-2</v>
      </c>
      <c r="M10" s="149">
        <f>(M6)</f>
        <v>3</v>
      </c>
      <c r="N10" s="139">
        <v>12</v>
      </c>
      <c r="O10" s="136">
        <v>13.1</v>
      </c>
      <c r="P10" s="140">
        <f>(P6)</f>
        <v>7.94</v>
      </c>
      <c r="Q10" s="140">
        <f>(Q6)</f>
        <v>7.3999999999999995</v>
      </c>
      <c r="R10" s="153"/>
      <c r="S10" s="153"/>
      <c r="T10" s="274" t="s">
        <v>80</v>
      </c>
      <c r="U10" s="274" t="s">
        <v>81</v>
      </c>
      <c r="V10" s="281" t="s">
        <v>82</v>
      </c>
    </row>
    <row r="11" spans="1:22" x14ac:dyDescent="0.3">
      <c r="A11" s="146"/>
      <c r="B11" s="146"/>
      <c r="C11" s="279"/>
      <c r="D11" s="153"/>
      <c r="E11" s="153"/>
      <c r="F11" s="133">
        <f>(F6)</f>
        <v>63.033333333333339</v>
      </c>
      <c r="G11" s="134">
        <f>Greitis!M10</f>
        <v>9.9263544536048087</v>
      </c>
      <c r="H11" s="149">
        <f>(H6)</f>
        <v>1012</v>
      </c>
      <c r="I11" s="134">
        <f>(I6)</f>
        <v>0.35</v>
      </c>
      <c r="J11" s="136">
        <v>67.5</v>
      </c>
      <c r="K11" s="150">
        <f>(K6)</f>
        <v>5</v>
      </c>
      <c r="L11" s="137">
        <f t="shared" si="0"/>
        <v>3.3000000000000002E-2</v>
      </c>
      <c r="M11" s="149">
        <f>(M6)</f>
        <v>3</v>
      </c>
      <c r="N11" s="139">
        <v>11</v>
      </c>
      <c r="O11" s="136">
        <v>13.2</v>
      </c>
      <c r="P11" s="140">
        <f>(P6)</f>
        <v>7.94</v>
      </c>
      <c r="Q11" s="140">
        <f>(Q6)</f>
        <v>7.3999999999999995</v>
      </c>
      <c r="R11" s="153"/>
      <c r="S11" s="153"/>
      <c r="T11" s="275"/>
      <c r="U11" s="275"/>
      <c r="V11" s="275"/>
    </row>
    <row r="12" spans="1:22" ht="15" customHeight="1" x14ac:dyDescent="0.3">
      <c r="A12" s="154"/>
      <c r="B12" s="154"/>
      <c r="C12" s="280"/>
      <c r="D12" s="155"/>
      <c r="E12" s="155"/>
      <c r="F12" s="133">
        <f>(F6)</f>
        <v>63.033333333333339</v>
      </c>
      <c r="G12" s="134">
        <f>Greitis!M11</f>
        <v>9.4644076191035573</v>
      </c>
      <c r="H12" s="149">
        <f>(H6)</f>
        <v>1012</v>
      </c>
      <c r="I12" s="134">
        <f>(I6)</f>
        <v>0.35</v>
      </c>
      <c r="J12" s="136">
        <v>62.4</v>
      </c>
      <c r="K12" s="150">
        <f>(K6)</f>
        <v>5</v>
      </c>
      <c r="L12" s="137">
        <f t="shared" si="0"/>
        <v>0.03</v>
      </c>
      <c r="M12" s="149">
        <f>(M6)</f>
        <v>3</v>
      </c>
      <c r="N12" s="139">
        <v>10</v>
      </c>
      <c r="O12" s="136">
        <v>13.4</v>
      </c>
      <c r="P12" s="140">
        <f>(P6)</f>
        <v>7.94</v>
      </c>
      <c r="Q12" s="140">
        <f>(Q6)</f>
        <v>7.3999999999999995</v>
      </c>
      <c r="R12" s="155"/>
      <c r="S12" s="155"/>
      <c r="T12" s="276"/>
      <c r="U12" s="276"/>
      <c r="V12" s="276"/>
    </row>
    <row r="13" spans="1:22" x14ac:dyDescent="0.3">
      <c r="L13" s="156">
        <f>SUM(L6:L12)</f>
        <v>0.24000000000000002</v>
      </c>
      <c r="M13" s="157">
        <f>SUM(M6:M12)</f>
        <v>21</v>
      </c>
      <c r="N13" s="157">
        <f>AVERAGE(N6:N12)</f>
        <v>11.428571428571429</v>
      </c>
    </row>
    <row r="14" spans="1:22" ht="30.75" customHeight="1" x14ac:dyDescent="0.3">
      <c r="L14" s="35" t="s">
        <v>83</v>
      </c>
      <c r="M14" s="26" t="s">
        <v>84</v>
      </c>
      <c r="N14" s="26" t="s">
        <v>85</v>
      </c>
    </row>
    <row r="15" spans="1:22" x14ac:dyDescent="0.3">
      <c r="A15" s="14" t="s">
        <v>86</v>
      </c>
    </row>
    <row r="17" spans="1:22" x14ac:dyDescent="0.3">
      <c r="A17" s="129">
        <f t="shared" ref="A17:F17" si="1">(A6)</f>
        <v>46063</v>
      </c>
      <c r="B17" s="158" t="str">
        <f t="shared" si="1"/>
        <v>3</v>
      </c>
      <c r="C17" s="278" t="str">
        <f t="shared" si="1"/>
        <v>UAB ,,Ekopartneris", L. Ivinskio g. 65, Kaunas. Katilinė. Taršos šaltinis  Nr. 001.</v>
      </c>
      <c r="D17" s="159">
        <f t="shared" si="1"/>
        <v>1.2</v>
      </c>
      <c r="E17" s="160">
        <f t="shared" si="1"/>
        <v>1.1304000000000001</v>
      </c>
      <c r="F17" s="133">
        <f t="shared" si="1"/>
        <v>63.033333333333339</v>
      </c>
      <c r="G17" s="134">
        <f>Greitis!N5</f>
        <v>8.8350565576759319</v>
      </c>
      <c r="H17" s="149">
        <f>(H6)</f>
        <v>1012</v>
      </c>
      <c r="I17" s="134">
        <f>(I6)</f>
        <v>0.35</v>
      </c>
      <c r="J17" s="136">
        <v>62.6</v>
      </c>
      <c r="K17" s="150">
        <f>(K6)</f>
        <v>5</v>
      </c>
      <c r="L17" s="137">
        <f t="shared" ref="L17:L23" si="2">M17*N17/1000</f>
        <v>0.03</v>
      </c>
      <c r="M17" s="149">
        <f>(M6)</f>
        <v>3</v>
      </c>
      <c r="N17" s="139">
        <v>10</v>
      </c>
      <c r="O17" s="136">
        <v>13.7</v>
      </c>
      <c r="P17" s="140">
        <f>(P6)</f>
        <v>7.94</v>
      </c>
      <c r="Q17" s="140">
        <f>(Q6)</f>
        <v>7.3999999999999995</v>
      </c>
      <c r="R17" s="129" t="str">
        <f>(R6)</f>
        <v>S.Č., 2026-05-02</v>
      </c>
      <c r="S17" s="161" t="s">
        <v>87</v>
      </c>
      <c r="T17" s="162"/>
      <c r="U17" s="162"/>
      <c r="V17" s="162"/>
    </row>
    <row r="18" spans="1:22" x14ac:dyDescent="0.3">
      <c r="A18" s="163"/>
      <c r="B18" s="164"/>
      <c r="C18" s="279"/>
      <c r="D18" s="147"/>
      <c r="E18" s="148"/>
      <c r="F18" s="133">
        <f>(F6)</f>
        <v>63.033333333333339</v>
      </c>
      <c r="G18" s="134">
        <f>Greitis!N6</f>
        <v>9.8616869609626541</v>
      </c>
      <c r="H18" s="149">
        <f>(H6)</f>
        <v>1012</v>
      </c>
      <c r="I18" s="134">
        <f>(I6)</f>
        <v>0.35</v>
      </c>
      <c r="J18" s="136">
        <v>67.599999999999994</v>
      </c>
      <c r="K18" s="150">
        <f>(K17)</f>
        <v>5</v>
      </c>
      <c r="L18" s="137">
        <f t="shared" si="2"/>
        <v>3.3000000000000002E-2</v>
      </c>
      <c r="M18" s="149">
        <f>(M6)</f>
        <v>3</v>
      </c>
      <c r="N18" s="139">
        <v>11</v>
      </c>
      <c r="O18" s="136">
        <v>13.8</v>
      </c>
      <c r="P18" s="140">
        <f>(P6)</f>
        <v>7.94</v>
      </c>
      <c r="Q18" s="140">
        <f>(Q6)</f>
        <v>7.3999999999999995</v>
      </c>
      <c r="R18" s="151"/>
      <c r="S18" s="152"/>
      <c r="T18" s="162"/>
      <c r="U18" s="162"/>
      <c r="V18" s="162"/>
    </row>
    <row r="19" spans="1:22" x14ac:dyDescent="0.3">
      <c r="A19" s="163"/>
      <c r="B19" s="164"/>
      <c r="C19" s="279"/>
      <c r="D19" s="147"/>
      <c r="E19" s="148"/>
      <c r="F19" s="133">
        <f>(F6)</f>
        <v>63.033333333333339</v>
      </c>
      <c r="G19" s="134">
        <f>Greitis!N7</f>
        <v>9.9906033732292308</v>
      </c>
      <c r="H19" s="149">
        <f>(H6)</f>
        <v>1012</v>
      </c>
      <c r="I19" s="134">
        <f>(I6)</f>
        <v>0.35</v>
      </c>
      <c r="J19" s="136">
        <v>67.900000000000006</v>
      </c>
      <c r="K19" s="150">
        <f>(K17)</f>
        <v>5</v>
      </c>
      <c r="L19" s="137">
        <f t="shared" si="2"/>
        <v>3.3000000000000002E-2</v>
      </c>
      <c r="M19" s="149">
        <f>(M6)</f>
        <v>3</v>
      </c>
      <c r="N19" s="139">
        <v>11</v>
      </c>
      <c r="O19" s="136">
        <v>13.8</v>
      </c>
      <c r="P19" s="140">
        <f>(P6)</f>
        <v>7.94</v>
      </c>
      <c r="Q19" s="140">
        <f>(Q6)</f>
        <v>7.3999999999999995</v>
      </c>
      <c r="R19" s="151"/>
      <c r="S19" s="152"/>
      <c r="T19" s="162"/>
      <c r="U19" s="162"/>
      <c r="V19" s="162"/>
    </row>
    <row r="20" spans="1:22" x14ac:dyDescent="0.3">
      <c r="A20" s="153"/>
      <c r="B20" s="153"/>
      <c r="C20" s="279"/>
      <c r="D20" s="153"/>
      <c r="E20" s="153"/>
      <c r="F20" s="133">
        <f>(F6)</f>
        <v>63.033333333333339</v>
      </c>
      <c r="G20" s="134">
        <f>Greitis!N8</f>
        <v>10.551253146635817</v>
      </c>
      <c r="H20" s="149">
        <f>(H6)</f>
        <v>1012</v>
      </c>
      <c r="I20" s="134">
        <f>(I6)</f>
        <v>0.35</v>
      </c>
      <c r="J20" s="136">
        <v>76.2</v>
      </c>
      <c r="K20" s="150">
        <f>(K17)</f>
        <v>5</v>
      </c>
      <c r="L20" s="137">
        <f t="shared" si="2"/>
        <v>3.5999999999999997E-2</v>
      </c>
      <c r="M20" s="149">
        <f>(M6)</f>
        <v>3</v>
      </c>
      <c r="N20" s="139">
        <v>12</v>
      </c>
      <c r="O20" s="136">
        <v>13.7</v>
      </c>
      <c r="P20" s="140">
        <f>(P6)</f>
        <v>7.94</v>
      </c>
      <c r="Q20" s="140">
        <f>(Q6)</f>
        <v>7.3999999999999995</v>
      </c>
      <c r="R20" s="153"/>
      <c r="S20" s="153"/>
      <c r="T20" s="162"/>
      <c r="U20" s="162"/>
      <c r="V20" s="162"/>
    </row>
    <row r="21" spans="1:22" x14ac:dyDescent="0.3">
      <c r="A21" s="153"/>
      <c r="B21" s="153"/>
      <c r="C21" s="279"/>
      <c r="D21" s="153"/>
      <c r="E21" s="153"/>
      <c r="F21" s="133">
        <f>(F6)</f>
        <v>63.033333333333339</v>
      </c>
      <c r="G21" s="134">
        <f>Greitis!N9</f>
        <v>10.243570073538624</v>
      </c>
      <c r="H21" s="149">
        <f>(H6)</f>
        <v>1012</v>
      </c>
      <c r="I21" s="134">
        <f>(I6)</f>
        <v>0.35</v>
      </c>
      <c r="J21" s="136">
        <v>69.8</v>
      </c>
      <c r="K21" s="150">
        <f>(K17)</f>
        <v>5</v>
      </c>
      <c r="L21" s="137">
        <f t="shared" si="2"/>
        <v>3.3000000000000002E-2</v>
      </c>
      <c r="M21" s="149">
        <f>(M6)</f>
        <v>3</v>
      </c>
      <c r="N21" s="139">
        <v>11</v>
      </c>
      <c r="O21" s="136">
        <v>13.7</v>
      </c>
      <c r="P21" s="140">
        <f>(P6)</f>
        <v>7.94</v>
      </c>
      <c r="Q21" s="140">
        <f>(Q6)</f>
        <v>7.3999999999999995</v>
      </c>
      <c r="R21" s="153"/>
      <c r="S21" s="153"/>
      <c r="T21" s="162"/>
      <c r="U21" s="162"/>
      <c r="V21" s="162"/>
    </row>
    <row r="22" spans="1:22" x14ac:dyDescent="0.3">
      <c r="A22" s="153"/>
      <c r="B22" s="153"/>
      <c r="C22" s="279"/>
      <c r="D22" s="153"/>
      <c r="E22" s="153"/>
      <c r="F22" s="133">
        <f>(F6)</f>
        <v>63.033333333333339</v>
      </c>
      <c r="G22" s="134">
        <f>Greitis!N10</f>
        <v>10.180917681079487</v>
      </c>
      <c r="H22" s="149">
        <f>(H6)</f>
        <v>1012</v>
      </c>
      <c r="I22" s="134">
        <f>(I6)</f>
        <v>0.35</v>
      </c>
      <c r="J22" s="136">
        <v>70.400000000000006</v>
      </c>
      <c r="K22" s="150">
        <f>(K17)</f>
        <v>5</v>
      </c>
      <c r="L22" s="137">
        <f t="shared" si="2"/>
        <v>3.3000000000000002E-2</v>
      </c>
      <c r="M22" s="149">
        <f>(M6)</f>
        <v>3</v>
      </c>
      <c r="N22" s="139">
        <v>11</v>
      </c>
      <c r="O22" s="136">
        <v>13.6</v>
      </c>
      <c r="P22" s="140">
        <f>(P6)</f>
        <v>7.94</v>
      </c>
      <c r="Q22" s="140">
        <f>(Q6)</f>
        <v>7.3999999999999995</v>
      </c>
      <c r="R22" s="153"/>
      <c r="S22" s="153"/>
      <c r="T22" s="162"/>
      <c r="U22" s="162"/>
      <c r="V22" s="162"/>
    </row>
    <row r="23" spans="1:22" x14ac:dyDescent="0.3">
      <c r="A23" s="155"/>
      <c r="B23" s="155"/>
      <c r="C23" s="280"/>
      <c r="D23" s="155"/>
      <c r="E23" s="155"/>
      <c r="F23" s="133">
        <f>(F6)</f>
        <v>63.033333333333339</v>
      </c>
      <c r="G23" s="134">
        <f>Greitis!N11</f>
        <v>9.796592606281104</v>
      </c>
      <c r="H23" s="149">
        <f>(H6)</f>
        <v>1012</v>
      </c>
      <c r="I23" s="134">
        <f>(I6)</f>
        <v>0.35</v>
      </c>
      <c r="J23" s="136">
        <v>70.7</v>
      </c>
      <c r="K23" s="150">
        <f>(K17)</f>
        <v>5</v>
      </c>
      <c r="L23" s="137">
        <f t="shared" si="2"/>
        <v>3.3000000000000002E-2</v>
      </c>
      <c r="M23" s="149">
        <f>(M6)</f>
        <v>3</v>
      </c>
      <c r="N23" s="139">
        <v>11</v>
      </c>
      <c r="O23" s="136">
        <v>13.7</v>
      </c>
      <c r="P23" s="140">
        <f>(P6)</f>
        <v>7.94</v>
      </c>
      <c r="Q23" s="140">
        <f>(Q6)</f>
        <v>7.3999999999999995</v>
      </c>
      <c r="R23" s="155"/>
      <c r="S23" s="155"/>
      <c r="T23" s="162"/>
      <c r="U23" s="162"/>
      <c r="V23" s="162"/>
    </row>
    <row r="24" spans="1:22" x14ac:dyDescent="0.3">
      <c r="L24" s="156">
        <f>SUM(L17:L23)</f>
        <v>0.23100000000000001</v>
      </c>
      <c r="M24" s="157">
        <f>SUM(M17:M23)</f>
        <v>21</v>
      </c>
      <c r="N24" s="157">
        <f>AVERAGE(N17:N23)</f>
        <v>11</v>
      </c>
    </row>
    <row r="25" spans="1:22" ht="28" customHeight="1" x14ac:dyDescent="0.3">
      <c r="L25" s="35" t="s">
        <v>83</v>
      </c>
      <c r="M25" s="26" t="s">
        <v>84</v>
      </c>
      <c r="N25" s="26" t="s">
        <v>85</v>
      </c>
    </row>
    <row r="26" spans="1:22" x14ac:dyDescent="0.3">
      <c r="M26" s="45"/>
      <c r="N26" s="45"/>
      <c r="O26" s="45"/>
      <c r="P26" s="45"/>
      <c r="Q26" s="45"/>
    </row>
    <row r="27" spans="1:22" ht="25.5" customHeight="1" x14ac:dyDescent="0.3">
      <c r="L27" s="34"/>
      <c r="M27" s="165">
        <f>(M13+M24)</f>
        <v>42</v>
      </c>
      <c r="N27" s="165">
        <f>(N13+N24)/2</f>
        <v>11.214285714285715</v>
      </c>
      <c r="O27" s="45"/>
      <c r="P27" s="45"/>
      <c r="Q27" s="45"/>
    </row>
    <row r="28" spans="1:22" ht="48.75" customHeight="1" x14ac:dyDescent="0.3">
      <c r="L28" s="34"/>
      <c r="M28" s="26" t="s">
        <v>88</v>
      </c>
      <c r="N28" s="26" t="s">
        <v>89</v>
      </c>
    </row>
    <row r="37" ht="15" customHeight="1" x14ac:dyDescent="0.3"/>
    <row r="74" spans="1:2" x14ac:dyDescent="0.3">
      <c r="A74" s="19"/>
      <c r="B74" s="19"/>
    </row>
    <row r="75" spans="1:2" x14ac:dyDescent="0.3">
      <c r="A75" s="19"/>
      <c r="B75" s="19"/>
    </row>
    <row r="76" spans="1:2" x14ac:dyDescent="0.3">
      <c r="A76" s="19"/>
      <c r="B76" s="19"/>
    </row>
    <row r="77" spans="1:2" x14ac:dyDescent="0.3">
      <c r="A77" s="19"/>
      <c r="B77" s="19"/>
    </row>
  </sheetData>
  <sheetProtection algorithmName="SHA-512" hashValue="p0mQYwBAGi9OOIqNF8yPJKlSR1nlhASN6EOXuEyUxv/057BrbNBsC8ZiDTQk5DXNPrZ/JlgLZheSl+VSyXQNRQ==" saltValue="1idiwoSP03cYCfFzuxRuTA==" spinCount="100000" sheet="1" formatCells="0" formatColumns="0" formatRows="0"/>
  <mergeCells count="7">
    <mergeCell ref="T10:T12"/>
    <mergeCell ref="C1:D1"/>
    <mergeCell ref="C17:C23"/>
    <mergeCell ref="C6:C12"/>
    <mergeCell ref="V10:V12"/>
    <mergeCell ref="U10:U12"/>
    <mergeCell ref="A2:S2"/>
  </mergeCells>
  <pageMargins left="0.19685039370078741" right="0" top="0.74803149606299213" bottom="0.35433070866141742" header="0.31496062992125978" footer="0.31496062992125978"/>
  <pageSetup paperSize="9" scale="66" fitToHeight="0" orientation="landscape"/>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Lapas3">
    <pageSetUpPr fitToPage="1"/>
  </sheetPr>
  <dimension ref="A1:Q260"/>
  <sheetViews>
    <sheetView zoomScale="80" zoomScaleNormal="80" workbookViewId="0">
      <pane ySplit="5" topLeftCell="A6" activePane="bottomLeft" state="frozen"/>
      <selection pane="bottomLeft" activeCell="R10" sqref="R10"/>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5" width="9.1796875" style="14" customWidth="1"/>
    <col min="16" max="16384" width="9.1796875" style="14"/>
  </cols>
  <sheetData>
    <row r="1" spans="1:17" ht="30.75" customHeight="1" x14ac:dyDescent="0.3">
      <c r="A1" s="166"/>
      <c r="B1" s="166"/>
      <c r="C1" s="283" t="s">
        <v>90</v>
      </c>
      <c r="D1" s="284"/>
      <c r="E1" s="166"/>
      <c r="F1" s="166"/>
      <c r="G1" s="166"/>
      <c r="H1" s="166"/>
      <c r="I1" s="166"/>
      <c r="J1" s="166"/>
      <c r="K1" s="166"/>
      <c r="L1" s="166"/>
      <c r="M1" s="166"/>
      <c r="N1" s="166"/>
      <c r="Q1" s="16"/>
    </row>
    <row r="2" spans="1:17" ht="19.5" customHeight="1" x14ac:dyDescent="0.3">
      <c r="A2" s="166"/>
      <c r="B2" s="166"/>
      <c r="C2" s="287" t="s">
        <v>91</v>
      </c>
      <c r="D2" s="284"/>
      <c r="E2" s="284"/>
      <c r="F2" s="284"/>
      <c r="G2" s="284"/>
      <c r="H2" s="284"/>
      <c r="I2" s="284"/>
      <c r="J2" s="284"/>
      <c r="K2" s="284"/>
      <c r="L2" s="284"/>
      <c r="M2" s="284"/>
      <c r="N2" s="166"/>
      <c r="Q2" s="16"/>
    </row>
    <row r="3" spans="1:17" ht="12" customHeight="1" x14ac:dyDescent="0.3">
      <c r="A3" s="166"/>
      <c r="B3" s="166"/>
      <c r="C3" s="170"/>
      <c r="D3" s="166"/>
      <c r="E3" s="166"/>
      <c r="F3" s="166"/>
      <c r="G3" s="166"/>
      <c r="H3" s="171"/>
      <c r="I3" s="166"/>
      <c r="J3" s="166"/>
      <c r="K3" s="166"/>
      <c r="L3" s="166"/>
      <c r="M3" s="166"/>
      <c r="N3" s="166"/>
      <c r="Q3" s="16"/>
    </row>
    <row r="4" spans="1:17" ht="8.25" customHeight="1" x14ac:dyDescent="0.3">
      <c r="A4" s="166"/>
      <c r="B4" s="166"/>
      <c r="C4" s="166"/>
      <c r="D4" s="166"/>
      <c r="E4" s="166"/>
      <c r="F4" s="166"/>
      <c r="G4" s="166"/>
      <c r="H4" s="166"/>
      <c r="I4" s="166"/>
      <c r="J4" s="166"/>
      <c r="K4" s="166"/>
      <c r="L4" s="166"/>
      <c r="M4" s="166"/>
      <c r="N4" s="166"/>
    </row>
    <row r="5" spans="1:17" ht="126.75" customHeight="1" x14ac:dyDescent="0.3">
      <c r="A5" s="172" t="s">
        <v>1</v>
      </c>
      <c r="B5" s="172" t="s">
        <v>92</v>
      </c>
      <c r="C5" s="172" t="s">
        <v>3</v>
      </c>
      <c r="D5" s="118" t="s">
        <v>68</v>
      </c>
      <c r="E5" s="118" t="s">
        <v>93</v>
      </c>
      <c r="F5" s="118" t="s">
        <v>94</v>
      </c>
      <c r="G5" s="118" t="s">
        <v>51</v>
      </c>
      <c r="H5" s="118" t="s">
        <v>95</v>
      </c>
      <c r="I5" s="118" t="s">
        <v>96</v>
      </c>
      <c r="J5" s="118" t="s">
        <v>97</v>
      </c>
      <c r="K5" s="118" t="s">
        <v>98</v>
      </c>
      <c r="L5" s="118" t="s">
        <v>99</v>
      </c>
      <c r="M5" s="118" t="s">
        <v>100</v>
      </c>
      <c r="N5" s="173" t="s">
        <v>53</v>
      </c>
    </row>
    <row r="6" spans="1:17" ht="15" customHeight="1" x14ac:dyDescent="0.3">
      <c r="A6" s="174">
        <f>Paėmimas!A6</f>
        <v>46063</v>
      </c>
      <c r="B6" s="175" t="str">
        <f>Paėmimas!B6</f>
        <v>3</v>
      </c>
      <c r="C6" s="285" t="str">
        <f>Paėmimas!C6</f>
        <v>UAB ,,Ekopartneris", L. Ivinskio g. 65, Kaunas. Katilinė. Taršos šaltinis  Nr. 001.</v>
      </c>
      <c r="D6" s="127">
        <f>Paėmimas!L6</f>
        <v>3.3000000000000002E-2</v>
      </c>
      <c r="E6" s="124">
        <f>D6*(273/(273+Paėmimas!O6)*(Paėmimas!H6-Paėmimas!J6)/1013)</f>
        <v>2.960528699531785E-2</v>
      </c>
      <c r="F6" s="176">
        <f>SUM(E6:E12)</f>
        <v>0.2131370035157322</v>
      </c>
      <c r="G6" s="123">
        <f>((Paėmimas!Q6/100)*1.965)+((Paėmimas!P6/100)*1.429)+((1-(Paėmimas!Q6/100)-(Paėmimas!P6/100))*1.251)</f>
        <v>1.3179691999999998</v>
      </c>
      <c r="H6" s="127">
        <f>H2O!K7</f>
        <v>16.702249492868962</v>
      </c>
      <c r="I6" s="127">
        <f>(E6/(1-(H6/1000))*((273+Paėmimas!F6)/273)*(1013/(Paėmimas!H6+Paėmimas!I6)))</f>
        <v>3.7083669428626703E-2</v>
      </c>
      <c r="J6" s="127">
        <f>(I6/(Paėmimas!M6*60)/((3.142*((Paėmimas!K6/1000)*(Paėmimas!K6/1000))/4)))</f>
        <v>10.491171774135852</v>
      </c>
      <c r="K6" s="123">
        <f>J6/Paėmimas!G6</f>
        <v>1.0854708156050004</v>
      </c>
      <c r="L6" s="177">
        <f>AVERAGE(K6:K12)</f>
        <v>1.0501402876709622</v>
      </c>
      <c r="M6" s="178" t="str">
        <f>Paėmimas!R6</f>
        <v>S.Č., 2026-05-02</v>
      </c>
      <c r="N6" s="179" t="str">
        <f>Paėmimas!S6</f>
        <v>1 linija, 1 filtras</v>
      </c>
    </row>
    <row r="7" spans="1:17" ht="15" customHeight="1" x14ac:dyDescent="0.3">
      <c r="A7" s="180"/>
      <c r="B7" s="181"/>
      <c r="C7" s="286"/>
      <c r="D7" s="127">
        <f>Paėmimas!L7</f>
        <v>3.5999999999999997E-2</v>
      </c>
      <c r="E7" s="124">
        <f>D7*(273/(273+Paėmimas!O7)*(Paėmimas!H7-Paėmimas!J7)/1013)</f>
        <v>3.1884862993052543E-2</v>
      </c>
      <c r="F7" s="182"/>
      <c r="G7" s="123">
        <f>((Paėmimas!Q7/100)*1.965)+((Paėmimas!P7/100)*1.429)+((1-(Paėmimas!Q7/100)-(Paėmimas!P7/100))*1.251)</f>
        <v>1.3179691999999998</v>
      </c>
      <c r="H7" s="127">
        <f>H2O!K7</f>
        <v>16.702249492868962</v>
      </c>
      <c r="I7" s="127">
        <f>(E7/(1-(H7/1000))*((273+Paėmimas!F7)/273)*(1013/(Paėmimas!H7+Paėmimas!I7)))</f>
        <v>3.9939073017546296E-2</v>
      </c>
      <c r="J7" s="127">
        <f>(I7/(Paėmimas!M7*60)/((3.142*((Paėmimas!K7/1000)*(Paėmimas!K7/1000))/4)))</f>
        <v>11.29898097957318</v>
      </c>
      <c r="K7" s="123">
        <f>J7/Paėmimas!G7</f>
        <v>1.0708662584951598</v>
      </c>
      <c r="L7" s="183"/>
      <c r="M7" s="182"/>
      <c r="N7" s="184"/>
    </row>
    <row r="8" spans="1:17" ht="15" customHeight="1" x14ac:dyDescent="0.3">
      <c r="A8" s="180"/>
      <c r="B8" s="181"/>
      <c r="C8" s="286"/>
      <c r="D8" s="127">
        <f>Paėmimas!L8</f>
        <v>3.5999999999999997E-2</v>
      </c>
      <c r="E8" s="124">
        <f>D8*(273/(273+Paėmimas!O8)*(Paėmimas!H8-Paėmimas!J8)/1013)</f>
        <v>3.188583543397E-2</v>
      </c>
      <c r="F8" s="182"/>
      <c r="G8" s="123">
        <f>((Paėmimas!Q8/100)*1.965)+((Paėmimas!P8/100)*1.429)+((1-(Paėmimas!Q8/100)-(Paėmimas!P8/100))*1.251)</f>
        <v>1.3179691999999998</v>
      </c>
      <c r="H8" s="127">
        <f>H2O!K7</f>
        <v>16.702249492868962</v>
      </c>
      <c r="I8" s="127">
        <f>(E8/(1-(H8/1000))*((273+Paėmimas!F8)/273)*(1013/(Paėmimas!H8+Paėmimas!I8)))</f>
        <v>3.994029109989515E-2</v>
      </c>
      <c r="J8" s="127">
        <f>(I8/(Paėmimas!M8*60)/((3.142*((Paėmimas!K8/1000)*(Paėmimas!K8/1000))/4)))</f>
        <v>11.299325581694648</v>
      </c>
      <c r="K8" s="123">
        <f>J8/Paėmimas!G8</f>
        <v>1.0302536917190435</v>
      </c>
      <c r="L8" s="183"/>
      <c r="M8" s="182"/>
      <c r="N8" s="184"/>
    </row>
    <row r="9" spans="1:17" ht="15" customHeight="1" x14ac:dyDescent="0.3">
      <c r="A9" s="180"/>
      <c r="B9" s="181"/>
      <c r="C9" s="286"/>
      <c r="D9" s="127">
        <f>Paėmimas!L9</f>
        <v>3.5999999999999997E-2</v>
      </c>
      <c r="E9" s="124">
        <f>D9*(273/(273+Paėmimas!O9)*(Paėmimas!H9-Paėmimas!J9)/1013)</f>
        <v>3.1833961232207948E-2</v>
      </c>
      <c r="F9" s="182"/>
      <c r="G9" s="123">
        <f>((Paėmimas!Q9/100)*1.965)+((Paėmimas!P9/100)*1.429)+((1-(Paėmimas!Q9/100)-(Paėmimas!P9/100))*1.251)</f>
        <v>1.3179691999999998</v>
      </c>
      <c r="H9" s="127">
        <f>H2O!K7</f>
        <v>16.702249492868962</v>
      </c>
      <c r="I9" s="127">
        <f>(E9/(1-(H9/1000))*((273+Paėmimas!F9)/273)*(1013/(Paėmimas!H9+Paėmimas!I9)))</f>
        <v>3.9875313322435275E-2</v>
      </c>
      <c r="J9" s="127">
        <f>(I9/(Paėmimas!M9*60)/((3.142*((Paėmimas!K9/1000)*(Paėmimas!K9/1000))/4)))</f>
        <v>11.280943015046404</v>
      </c>
      <c r="K9" s="123">
        <f>J9/Paėmimas!G9</f>
        <v>1.0396976809117164</v>
      </c>
      <c r="L9" s="183"/>
      <c r="M9" s="182"/>
      <c r="N9" s="184"/>
    </row>
    <row r="10" spans="1:17" ht="15" customHeight="1" x14ac:dyDescent="0.3">
      <c r="A10" s="180"/>
      <c r="B10" s="181"/>
      <c r="C10" s="286"/>
      <c r="D10" s="127">
        <f>Paėmimas!L10</f>
        <v>3.5999999999999997E-2</v>
      </c>
      <c r="E10" s="124">
        <f>D10*(273/(273+Paėmimas!O10)*(Paėmimas!H10-Paėmimas!J10)/1013)</f>
        <v>3.177101455976189E-2</v>
      </c>
      <c r="F10" s="182"/>
      <c r="G10" s="123">
        <f>((Paėmimas!Q10/100)*1.965)+((Paėmimas!P10/100)*1.429)+((1-(Paėmimas!Q10/100)-(Paėmimas!P10/100))*1.251)</f>
        <v>1.3179691999999998</v>
      </c>
      <c r="H10" s="127">
        <f>H2O!K7</f>
        <v>16.702249492868962</v>
      </c>
      <c r="I10" s="127">
        <f>(E10/(1-(H10/1000))*((273+Paėmimas!F10)/273)*(1013/(Paėmimas!H10+Paėmimas!I10)))</f>
        <v>3.9796466135681399E-2</v>
      </c>
      <c r="J10" s="127">
        <f>(I10/(Paėmimas!M10*60)/((3.142*((Paėmimas!K10/1000)*(Paėmimas!K10/1000))/4)))</f>
        <v>11.258636717075154</v>
      </c>
      <c r="K10" s="123">
        <f>J10/Paėmimas!G10</f>
        <v>1.0732284180567002</v>
      </c>
      <c r="L10" s="183"/>
      <c r="M10" s="182"/>
      <c r="N10" s="184"/>
    </row>
    <row r="11" spans="1:17" ht="15" customHeight="1" x14ac:dyDescent="0.3">
      <c r="A11" s="180"/>
      <c r="B11" s="181"/>
      <c r="C11" s="286"/>
      <c r="D11" s="127">
        <f>Paėmimas!L11</f>
        <v>3.3000000000000002E-2</v>
      </c>
      <c r="E11" s="124">
        <f>D11*(273/(273+Paėmimas!O11)*(Paėmimas!H11-Paėmimas!J11)/1013)</f>
        <v>2.9349416702366099E-2</v>
      </c>
      <c r="F11" s="182"/>
      <c r="G11" s="123">
        <f>((Paėmimas!Q11/100)*1.965)+((Paėmimas!P11/100)*1.429)+((1-(Paėmimas!Q11/100)-(Paėmimas!P11/100))*1.251)</f>
        <v>1.3179691999999998</v>
      </c>
      <c r="H11" s="127">
        <f>H2O!K7</f>
        <v>16.702249492868962</v>
      </c>
      <c r="I11" s="127">
        <f>(E11/(1-(H11/1000))*((273+Paėmimas!F11)/273)*(1013/(Paėmimas!H11+Paėmimas!I11)))</f>
        <v>3.6763165548291774E-2</v>
      </c>
      <c r="J11" s="127">
        <f>(I11/(Paėmimas!M11*60)/((3.142*((Paėmimas!K11/1000)*(Paėmimas!K11/1000))/4)))</f>
        <v>10.400499483214308</v>
      </c>
      <c r="K11" s="123">
        <f>J11/Paėmimas!G11</f>
        <v>1.0477662803424586</v>
      </c>
      <c r="L11" s="183"/>
      <c r="M11" s="182"/>
      <c r="N11" s="184"/>
    </row>
    <row r="12" spans="1:17" ht="15" customHeight="1" x14ac:dyDescent="0.3">
      <c r="A12" s="185"/>
      <c r="B12" s="186"/>
      <c r="C12" s="286"/>
      <c r="D12" s="127">
        <f>Paėmimas!L12</f>
        <v>0.03</v>
      </c>
      <c r="E12" s="124">
        <f>D12*(273/(273+Paėmimas!O12)*(Paėmimas!H12-Paėmimas!J12)/1013)</f>
        <v>2.6806625599055851E-2</v>
      </c>
      <c r="F12" s="182"/>
      <c r="G12" s="123">
        <f>((Paėmimas!Q12/100)*1.965)+((Paėmimas!P12/100)*1.429)+((1-(Paėmimas!Q12/100)-(Paėmimas!P12/100))*1.251)</f>
        <v>1.3179691999999998</v>
      </c>
      <c r="H12" s="127">
        <f>H2O!K7</f>
        <v>16.702249492868962</v>
      </c>
      <c r="I12" s="127">
        <f>(E12/(1-(H12/1000))*((273+Paėmimas!F12)/273)*(1013/(Paėmimas!H12+Paėmimas!I12)))</f>
        <v>3.3578057945176036E-2</v>
      </c>
      <c r="J12" s="127">
        <f>(I12/(Paėmimas!M12*60)/((3.142*((Paėmimas!K12/1000)*(Paėmimas!K12/1000))/4)))</f>
        <v>9.4994152189478864</v>
      </c>
      <c r="K12" s="123">
        <f>J12/Paėmimas!G12</f>
        <v>1.0036988685666568</v>
      </c>
      <c r="L12" s="187"/>
      <c r="M12" s="188"/>
      <c r="N12" s="189"/>
    </row>
    <row r="13" spans="1:17" ht="17.25" customHeight="1" x14ac:dyDescent="0.3">
      <c r="A13" s="166"/>
      <c r="B13" s="166"/>
      <c r="C13" s="190"/>
      <c r="D13" s="190"/>
      <c r="E13" s="190"/>
      <c r="F13" s="190"/>
      <c r="G13" s="123">
        <f>AVERAGE(G6:G12)</f>
        <v>1.3179692000000001</v>
      </c>
      <c r="H13" s="190"/>
      <c r="I13" s="127">
        <f>SUM(I6:I12)</f>
        <v>0.26697603649765267</v>
      </c>
      <c r="J13" s="190"/>
      <c r="K13" s="166"/>
      <c r="L13" s="166"/>
      <c r="M13" s="166"/>
      <c r="N13" s="166"/>
    </row>
    <row r="14" spans="1:17" ht="34.5" customHeight="1" x14ac:dyDescent="0.3">
      <c r="A14" s="166"/>
      <c r="B14" s="166"/>
      <c r="C14" s="191"/>
      <c r="D14" s="191"/>
      <c r="E14" s="191"/>
      <c r="F14" s="191"/>
      <c r="G14" s="118" t="s">
        <v>101</v>
      </c>
      <c r="H14" s="191"/>
      <c r="I14" s="118" t="s">
        <v>102</v>
      </c>
      <c r="J14" s="191"/>
      <c r="K14" s="166"/>
      <c r="L14" s="166"/>
      <c r="M14" s="166"/>
      <c r="N14" s="166"/>
    </row>
    <row r="15" spans="1:17" ht="15" customHeight="1" x14ac:dyDescent="0.3">
      <c r="A15" s="166"/>
      <c r="B15" s="166"/>
      <c r="C15" s="191"/>
      <c r="D15" s="191"/>
      <c r="E15" s="191"/>
      <c r="F15" s="191"/>
      <c r="G15" s="167"/>
      <c r="H15" s="191"/>
      <c r="I15" s="191"/>
      <c r="J15" s="191"/>
      <c r="K15" s="166"/>
      <c r="L15" s="166"/>
      <c r="M15" s="166"/>
      <c r="N15" s="166"/>
    </row>
    <row r="16" spans="1:17" x14ac:dyDescent="0.3">
      <c r="A16" s="166"/>
      <c r="B16" s="166"/>
      <c r="C16" s="166"/>
      <c r="D16" s="166"/>
      <c r="E16" s="166"/>
      <c r="F16" s="166"/>
      <c r="G16" s="166"/>
      <c r="H16" s="166"/>
      <c r="I16" s="166"/>
      <c r="J16" s="166"/>
      <c r="K16" s="166"/>
      <c r="L16" s="166"/>
      <c r="M16" s="166"/>
      <c r="N16" s="166"/>
    </row>
    <row r="17" spans="1:14" x14ac:dyDescent="0.3">
      <c r="A17" s="174">
        <f>Paėmimas!A17</f>
        <v>46063</v>
      </c>
      <c r="B17" s="175" t="str">
        <f>Paėmimas!B17</f>
        <v>3</v>
      </c>
      <c r="C17" s="285" t="str">
        <f>Paėmimas!C17</f>
        <v>UAB ,,Ekopartneris", L. Ivinskio g. 65, Kaunas. Katilinė. Taršos šaltinis  Nr. 001.</v>
      </c>
      <c r="D17" s="127">
        <f>Paėmimas!L17</f>
        <v>0.03</v>
      </c>
      <c r="E17" s="124">
        <f>D17*(273/(273+Paėmimas!O17)*(Paėmimas!H17-Paėmimas!J17)/1013)</f>
        <v>2.6772935445762463E-2</v>
      </c>
      <c r="F17" s="176">
        <f>SUM(E17:E23)</f>
        <v>0.20464508459809672</v>
      </c>
      <c r="G17" s="123">
        <f>((Paėmimas!Q17/100)*1.965)+((Paėmimas!P17/100)*1.429)+((1-(Paėmimas!Q17/100)-(Paėmimas!P17/100))*1.251)</f>
        <v>1.3179691999999998</v>
      </c>
      <c r="H17" s="127">
        <f>H2O!K7</f>
        <v>16.702249492868962</v>
      </c>
      <c r="I17" s="127">
        <f>(E17/(1-(H17/1000))*((273+Paėmimas!F17)/273)*(1013/(Paėmimas!H17+Paėmimas!I17)))</f>
        <v>3.3535857560226916E-2</v>
      </c>
      <c r="J17" s="127">
        <f>(I17/(Paėmimas!M17*60)/((3.142*((Paėmimas!K17/1000)*(Paėmimas!K17/1000))/4)))</f>
        <v>9.4874765005239166</v>
      </c>
      <c r="K17" s="123">
        <f>J17/Paėmimas!G17</f>
        <v>1.0738444557302986</v>
      </c>
      <c r="L17" s="177">
        <f>AVERAGE(K17:K23)</f>
        <v>1.0446323824802357</v>
      </c>
      <c r="M17" s="178" t="str">
        <f>Paėmimas!R17</f>
        <v>S.Č., 2026-05-02</v>
      </c>
      <c r="N17" s="179" t="str">
        <f>Paėmimas!S17</f>
        <v>2 linija, 1 filtras</v>
      </c>
    </row>
    <row r="18" spans="1:14" x14ac:dyDescent="0.3">
      <c r="A18" s="180"/>
      <c r="B18" s="181"/>
      <c r="C18" s="286"/>
      <c r="D18" s="127">
        <f>Paėmimas!L18</f>
        <v>3.3000000000000002E-2</v>
      </c>
      <c r="E18" s="124">
        <f>D18*(273/(273+Paėmimas!O18)*(Paėmimas!H18-Paėmimas!J18)/1013)</f>
        <v>2.9284915347346424E-2</v>
      </c>
      <c r="F18" s="182"/>
      <c r="G18" s="123">
        <f>((Paėmimas!Q18/100)*1.965)+((Paėmimas!P18/100)*1.429)+((1-(Paėmimas!Q18/100)-(Paėmimas!P18/100))*1.251)</f>
        <v>1.3179691999999998</v>
      </c>
      <c r="H18" s="127">
        <f>H2O!K7</f>
        <v>16.702249492868962</v>
      </c>
      <c r="I18" s="127">
        <f>(E18/(1-(H18/1000))*((273+Paėmimas!F18)/273)*(1013/(Paėmimas!H18+Paėmimas!I18)))</f>
        <v>3.6682370961580744E-2</v>
      </c>
      <c r="J18" s="127">
        <f>(I18/(Paėmimas!M18*60)/((3.142*((Paėmimas!K18/1000)*(Paėmimas!K18/1000))/4)))</f>
        <v>10.377642255203549</v>
      </c>
      <c r="K18" s="123">
        <f>J18/Paėmimas!G18</f>
        <v>1.0523191717890961</v>
      </c>
      <c r="L18" s="183"/>
      <c r="M18" s="182"/>
      <c r="N18" s="184"/>
    </row>
    <row r="19" spans="1:14" x14ac:dyDescent="0.3">
      <c r="A19" s="180"/>
      <c r="B19" s="181"/>
      <c r="C19" s="286"/>
      <c r="D19" s="127">
        <f>Paėmimas!L19</f>
        <v>3.3000000000000002E-2</v>
      </c>
      <c r="E19" s="124">
        <f>D19*(273/(273+Paėmimas!O19)*(Paėmimas!H19-Paėmimas!J19)/1013)</f>
        <v>2.9275612642344087E-2</v>
      </c>
      <c r="F19" s="182"/>
      <c r="G19" s="123">
        <f>((Paėmimas!Q19/100)*1.965)+((Paėmimas!P19/100)*1.429)+((1-(Paėmimas!Q19/100)-(Paėmimas!P19/100))*1.251)</f>
        <v>1.3179691999999998</v>
      </c>
      <c r="H19" s="127">
        <f>H2O!K7</f>
        <v>16.702249492868962</v>
      </c>
      <c r="I19" s="127">
        <f>(E19/(1-(H19/1000))*((273+Paėmimas!F19)/273)*(1013/(Paėmimas!H19+Paėmimas!I19)))</f>
        <v>3.6670718365976677E-2</v>
      </c>
      <c r="J19" s="127">
        <f>(I19/(Paėmimas!M19*60)/((3.142*((Paėmimas!K19/1000)*(Paėmimas!K19/1000))/4)))</f>
        <v>10.374345672530357</v>
      </c>
      <c r="K19" s="123">
        <f>J19/Paėmimas!G19</f>
        <v>1.0384103226767465</v>
      </c>
      <c r="L19" s="183"/>
      <c r="M19" s="182"/>
      <c r="N19" s="184"/>
    </row>
    <row r="20" spans="1:14" x14ac:dyDescent="0.3">
      <c r="A20" s="180"/>
      <c r="B20" s="181"/>
      <c r="C20" s="286"/>
      <c r="D20" s="127">
        <f>Paėmimas!L20</f>
        <v>3.5999999999999997E-2</v>
      </c>
      <c r="E20" s="124">
        <f>D20*(273/(273+Paėmimas!O20)*(Paėmimas!H20-Paėmimas!J20)/1013)</f>
        <v>3.1667301019773976E-2</v>
      </c>
      <c r="F20" s="182"/>
      <c r="G20" s="123">
        <f>((Paėmimas!Q20/100)*1.965)+((Paėmimas!P20/100)*1.429)+((1-(Paėmimas!Q20/100)-(Paėmimas!P20/100))*1.251)</f>
        <v>1.3179691999999998</v>
      </c>
      <c r="H20" s="127">
        <f>H2O!K7</f>
        <v>16.702249492868962</v>
      </c>
      <c r="I20" s="127">
        <f>(E20/(1-(H20/1000))*((273+Paėmimas!F20)/273)*(1013/(Paėmimas!H20+Paėmimas!I20)))</f>
        <v>3.9666554250929444E-2</v>
      </c>
      <c r="J20" s="127">
        <f>(I20/(Paėmimas!M20*60)/((3.142*((Paėmimas!K20/1000)*(Paėmimas!K20/1000))/4)))</f>
        <v>11.221883938306654</v>
      </c>
      <c r="K20" s="123">
        <f>J20/Paėmimas!G20</f>
        <v>1.0635593499985982</v>
      </c>
      <c r="L20" s="183"/>
      <c r="M20" s="182"/>
      <c r="N20" s="184"/>
    </row>
    <row r="21" spans="1:14" x14ac:dyDescent="0.3">
      <c r="A21" s="180"/>
      <c r="B21" s="181"/>
      <c r="C21" s="286"/>
      <c r="D21" s="127">
        <f>Paėmimas!L21</f>
        <v>3.3000000000000002E-2</v>
      </c>
      <c r="E21" s="124">
        <f>D21*(273/(273+Paėmimas!O21)*(Paėmimas!H21-Paėmimas!J21)/1013)</f>
        <v>2.9226886196226182E-2</v>
      </c>
      <c r="F21" s="182"/>
      <c r="G21" s="123">
        <f>((Paėmimas!Q21/100)*1.965)+((Paėmimas!P21/100)*1.429)+((1-(Paėmimas!Q21/100)-(Paėmimas!P21/100))*1.251)</f>
        <v>1.3179691999999998</v>
      </c>
      <c r="H21" s="127">
        <f>H2O!K7</f>
        <v>16.702249492868962</v>
      </c>
      <c r="I21" s="127">
        <f>(E21/(1-(H21/1000))*((273+Paėmimas!F21)/273)*(1013/(Paėmimas!H21+Paėmimas!I21)))</f>
        <v>3.6609683476480283E-2</v>
      </c>
      <c r="J21" s="127">
        <f>(I21/(Paėmimas!M21*60)/((3.142*((Paėmimas!K21/1000)*(Paėmimas!K21/1000))/4)))</f>
        <v>10.357078570331787</v>
      </c>
      <c r="K21" s="123">
        <f>J21/Paėmimas!G21</f>
        <v>1.0110809508773098</v>
      </c>
      <c r="L21" s="183"/>
      <c r="M21" s="182"/>
      <c r="N21" s="184"/>
    </row>
    <row r="22" spans="1:14" x14ac:dyDescent="0.3">
      <c r="A22" s="180"/>
      <c r="B22" s="181"/>
      <c r="C22" s="286"/>
      <c r="D22" s="127">
        <f>Paėmimas!L22</f>
        <v>3.3000000000000002E-2</v>
      </c>
      <c r="E22" s="124">
        <f>D22*(273/(273+Paėmimas!O22)*(Paėmimas!H22-Paėmimas!J22)/1013)</f>
        <v>2.921846559968146E-2</v>
      </c>
      <c r="F22" s="182"/>
      <c r="G22" s="123">
        <f>((Paėmimas!Q22/100)*1.965)+((Paėmimas!P22/100)*1.429)+((1-(Paėmimas!Q22/100)-(Paėmimas!P22/100))*1.251)</f>
        <v>1.3179691999999998</v>
      </c>
      <c r="H22" s="127">
        <f>H2O!K7</f>
        <v>16.702249492868962</v>
      </c>
      <c r="I22" s="127">
        <f>(E22/(1-(H22/1000))*((273+Paėmimas!F22)/273)*(1013/(Paėmimas!H22+Paėmimas!I22)))</f>
        <v>3.6599135812520611E-2</v>
      </c>
      <c r="J22" s="127">
        <f>(I22/(Paėmimas!M22*60)/((3.142*((Paėmimas!K22/1000)*(Paėmimas!K22/1000))/4)))</f>
        <v>10.35409457883036</v>
      </c>
      <c r="K22" s="123">
        <f>J22/Paėmimas!G22</f>
        <v>1.0170099497094167</v>
      </c>
      <c r="L22" s="183"/>
      <c r="M22" s="182"/>
      <c r="N22" s="184"/>
    </row>
    <row r="23" spans="1:14" x14ac:dyDescent="0.3">
      <c r="A23" s="185"/>
      <c r="B23" s="186"/>
      <c r="C23" s="286"/>
      <c r="D23" s="127">
        <f>Paėmimas!L23</f>
        <v>3.3000000000000002E-2</v>
      </c>
      <c r="E23" s="124">
        <f>D23*(273/(273+Paėmimas!O23)*(Paėmimas!H23-Paėmimas!J23)/1013)</f>
        <v>2.9198968346962111E-2</v>
      </c>
      <c r="F23" s="188"/>
      <c r="G23" s="123">
        <f>((Paėmimas!Q23/100)*1.965)+((Paėmimas!P23/100)*1.429)+((1-(Paėmimas!Q23/100)-(Paėmimas!P23/100))*1.251)</f>
        <v>1.3179691999999998</v>
      </c>
      <c r="H23" s="127">
        <f>H2O!K7</f>
        <v>16.702249492868962</v>
      </c>
      <c r="I23" s="127">
        <f>(E23/(1-(H23/1000))*((273+Paėmimas!F23)/273)*(1013/(Paėmimas!H23+Paėmimas!I23)))</f>
        <v>3.6574713496509113E-2</v>
      </c>
      <c r="J23" s="127">
        <f>(I23/(Paėmimas!M23*60)/((3.142*((Paėmimas!K23/1000)*(Paėmimas!K23/1000))/4)))</f>
        <v>10.347185372801221</v>
      </c>
      <c r="K23" s="123">
        <f>J23/Paėmimas!G23</f>
        <v>1.0562024765801838</v>
      </c>
      <c r="L23" s="187"/>
      <c r="M23" s="188"/>
      <c r="N23" s="189"/>
    </row>
    <row r="24" spans="1:14" x14ac:dyDescent="0.3">
      <c r="A24" s="166"/>
      <c r="B24" s="166"/>
      <c r="C24" s="190"/>
      <c r="D24" s="190"/>
      <c r="E24" s="190"/>
      <c r="F24" s="192">
        <f>SUM(F6+F17)</f>
        <v>0.41778208811382889</v>
      </c>
      <c r="G24" s="123">
        <f>AVERAGE(G17:G23)</f>
        <v>1.3179692000000001</v>
      </c>
      <c r="H24" s="190"/>
      <c r="I24" s="127">
        <f>SUM(I17:I23)</f>
        <v>0.25633903392422375</v>
      </c>
      <c r="J24" s="190"/>
      <c r="K24" s="166"/>
      <c r="L24" s="193">
        <f>(L6+L17)/2</f>
        <v>1.047386335075599</v>
      </c>
      <c r="M24" s="166"/>
      <c r="N24" s="166"/>
    </row>
    <row r="25" spans="1:14" ht="56" customHeight="1" x14ac:dyDescent="0.3">
      <c r="A25" s="166"/>
      <c r="B25" s="166"/>
      <c r="C25" s="191"/>
      <c r="D25" s="191"/>
      <c r="E25" s="191"/>
      <c r="F25" s="118" t="s">
        <v>103</v>
      </c>
      <c r="G25" s="118" t="s">
        <v>101</v>
      </c>
      <c r="H25" s="191"/>
      <c r="I25" s="118" t="s">
        <v>102</v>
      </c>
      <c r="J25" s="191"/>
      <c r="K25" s="166"/>
      <c r="L25" s="118" t="s">
        <v>104</v>
      </c>
      <c r="M25" s="166"/>
      <c r="N25" s="166"/>
    </row>
    <row r="26" spans="1:14" x14ac:dyDescent="0.3">
      <c r="A26" s="166"/>
      <c r="B26" s="166"/>
      <c r="C26" s="194"/>
      <c r="D26" s="194"/>
      <c r="E26" s="194"/>
      <c r="F26" s="194"/>
      <c r="G26" s="194"/>
      <c r="H26" s="194"/>
      <c r="I26" s="194"/>
      <c r="J26" s="194"/>
      <c r="K26" s="166"/>
      <c r="L26" s="166"/>
      <c r="M26" s="166"/>
      <c r="N26" s="166"/>
    </row>
    <row r="27" spans="1:14" x14ac:dyDescent="0.3">
      <c r="A27" s="166"/>
      <c r="B27" s="166"/>
      <c r="C27" s="194"/>
      <c r="D27" s="194"/>
      <c r="E27" s="194"/>
      <c r="F27" s="194"/>
      <c r="G27" s="123">
        <f>(G13+G24)/2</f>
        <v>1.3179692000000001</v>
      </c>
      <c r="H27" s="194"/>
      <c r="I27" s="127">
        <f>SUM(I13+I24)</f>
        <v>0.52331507042187642</v>
      </c>
      <c r="J27" s="194"/>
      <c r="K27" s="166"/>
      <c r="L27" s="166"/>
      <c r="M27" s="166"/>
      <c r="N27" s="166"/>
    </row>
    <row r="28" spans="1:14" ht="55.5" customHeight="1" x14ac:dyDescent="0.3">
      <c r="A28" s="166"/>
      <c r="B28" s="166"/>
      <c r="C28" s="194"/>
      <c r="D28" s="194"/>
      <c r="E28" s="194"/>
      <c r="F28" s="194"/>
      <c r="G28" s="118" t="s">
        <v>105</v>
      </c>
      <c r="H28" s="194"/>
      <c r="I28" s="118" t="s">
        <v>106</v>
      </c>
      <c r="J28" s="194"/>
      <c r="K28" s="166"/>
      <c r="L28" s="166"/>
      <c r="M28" s="166"/>
      <c r="N28" s="166"/>
    </row>
    <row r="29" spans="1:14" x14ac:dyDescent="0.3">
      <c r="A29" s="166"/>
      <c r="B29" s="166"/>
      <c r="C29" s="194"/>
      <c r="D29" s="194"/>
      <c r="E29" s="194"/>
      <c r="F29" s="194"/>
      <c r="G29" s="194"/>
      <c r="H29" s="194"/>
      <c r="I29" s="194"/>
      <c r="J29" s="194"/>
      <c r="K29" s="166"/>
      <c r="L29" s="166"/>
      <c r="M29" s="166"/>
      <c r="N29" s="166"/>
    </row>
    <row r="30" spans="1:14" x14ac:dyDescent="0.3">
      <c r="A30" s="166"/>
      <c r="B30" s="166"/>
      <c r="C30" s="194"/>
      <c r="D30" s="194"/>
      <c r="E30" s="194"/>
      <c r="F30" s="194"/>
      <c r="G30" s="194"/>
      <c r="H30" s="194"/>
      <c r="I30" s="194"/>
      <c r="J30" s="194"/>
      <c r="K30" s="166"/>
      <c r="L30" s="166"/>
      <c r="M30" s="166"/>
      <c r="N30" s="166"/>
    </row>
    <row r="31" spans="1:14" x14ac:dyDescent="0.3">
      <c r="A31" s="166"/>
      <c r="B31" s="166"/>
      <c r="C31" s="166"/>
      <c r="D31" s="166"/>
      <c r="E31" s="166"/>
      <c r="F31" s="166"/>
      <c r="G31" s="166"/>
      <c r="H31" s="166"/>
      <c r="I31" s="166"/>
      <c r="J31" s="166"/>
      <c r="K31" s="166"/>
      <c r="L31" s="166"/>
      <c r="M31" s="166"/>
      <c r="N31" s="166"/>
    </row>
    <row r="32" spans="1:14" x14ac:dyDescent="0.3">
      <c r="A32" s="166"/>
      <c r="B32" s="166"/>
      <c r="C32" s="166"/>
      <c r="D32" s="166"/>
      <c r="E32" s="166"/>
      <c r="F32" s="166"/>
      <c r="G32" s="166"/>
      <c r="H32" s="166"/>
      <c r="I32" s="166"/>
      <c r="J32" s="166"/>
      <c r="K32" s="166"/>
      <c r="L32" s="166"/>
      <c r="M32" s="166"/>
      <c r="N32" s="166"/>
    </row>
    <row r="33" spans="1:14" x14ac:dyDescent="0.3">
      <c r="A33" s="166"/>
      <c r="B33" s="166"/>
      <c r="C33" s="166"/>
      <c r="D33" s="166"/>
      <c r="E33" s="166"/>
      <c r="F33" s="166"/>
      <c r="G33" s="166"/>
      <c r="H33" s="166"/>
      <c r="I33" s="166"/>
      <c r="J33" s="166"/>
      <c r="K33" s="166"/>
      <c r="L33" s="166"/>
      <c r="M33" s="166"/>
      <c r="N33" s="166"/>
    </row>
    <row r="34" spans="1:14" x14ac:dyDescent="0.3">
      <c r="A34" s="166"/>
      <c r="B34" s="166"/>
      <c r="C34" s="166"/>
      <c r="D34" s="166"/>
      <c r="E34" s="166"/>
      <c r="F34" s="166"/>
      <c r="G34" s="166"/>
      <c r="H34" s="166"/>
      <c r="I34" s="166"/>
      <c r="J34" s="166"/>
      <c r="K34" s="166"/>
      <c r="L34" s="166"/>
      <c r="M34" s="166"/>
      <c r="N34" s="166"/>
    </row>
    <row r="35" spans="1:14" x14ac:dyDescent="0.3">
      <c r="A35" s="166"/>
      <c r="B35" s="166"/>
      <c r="C35" s="166"/>
      <c r="D35" s="166"/>
      <c r="E35" s="166"/>
      <c r="F35" s="166"/>
      <c r="G35" s="166"/>
      <c r="H35" s="166"/>
      <c r="I35" s="166"/>
      <c r="J35" s="166"/>
      <c r="K35" s="166"/>
      <c r="L35" s="166"/>
      <c r="M35" s="166"/>
      <c r="N35" s="166"/>
    </row>
    <row r="36" spans="1:14" x14ac:dyDescent="0.3">
      <c r="A36" s="166"/>
      <c r="B36" s="166"/>
      <c r="C36" s="166"/>
      <c r="D36" s="166"/>
      <c r="E36" s="166"/>
      <c r="F36" s="166"/>
      <c r="G36" s="166"/>
      <c r="H36" s="166"/>
      <c r="I36" s="166"/>
      <c r="J36" s="166"/>
      <c r="K36" s="166"/>
      <c r="L36" s="166"/>
      <c r="M36" s="166"/>
      <c r="N36" s="166"/>
    </row>
    <row r="37" spans="1:14" x14ac:dyDescent="0.3">
      <c r="A37" s="166"/>
      <c r="B37" s="166"/>
      <c r="C37" s="166"/>
      <c r="D37" s="166"/>
      <c r="E37" s="166"/>
      <c r="F37" s="166"/>
      <c r="G37" s="166"/>
      <c r="H37" s="166"/>
      <c r="I37" s="166"/>
      <c r="J37" s="166"/>
      <c r="K37" s="166"/>
      <c r="L37" s="166"/>
      <c r="M37" s="166"/>
      <c r="N37" s="166"/>
    </row>
    <row r="38" spans="1:14" x14ac:dyDescent="0.3">
      <c r="A38" s="166"/>
      <c r="B38" s="166"/>
      <c r="C38" s="166"/>
      <c r="D38" s="166"/>
      <c r="E38" s="166"/>
      <c r="F38" s="166"/>
      <c r="G38" s="166"/>
      <c r="H38" s="166"/>
      <c r="I38" s="166"/>
      <c r="J38" s="166"/>
      <c r="K38" s="166"/>
      <c r="L38" s="166"/>
      <c r="M38" s="166"/>
      <c r="N38" s="166"/>
    </row>
    <row r="39" spans="1:14" x14ac:dyDescent="0.3">
      <c r="A39" s="166"/>
      <c r="B39" s="166"/>
      <c r="C39" s="166"/>
      <c r="D39" s="166"/>
      <c r="E39" s="166"/>
      <c r="F39" s="166"/>
      <c r="G39" s="166"/>
      <c r="H39" s="166"/>
      <c r="I39" s="166"/>
      <c r="J39" s="166"/>
      <c r="K39" s="166"/>
      <c r="L39" s="166"/>
      <c r="M39" s="166"/>
      <c r="N39" s="166"/>
    </row>
    <row r="40" spans="1:14" x14ac:dyDescent="0.3">
      <c r="A40" s="166"/>
      <c r="B40" s="166"/>
      <c r="C40" s="166"/>
      <c r="D40" s="166"/>
      <c r="E40" s="166"/>
      <c r="F40" s="166"/>
      <c r="G40" s="166"/>
      <c r="H40" s="166"/>
      <c r="I40" s="166"/>
      <c r="J40" s="166"/>
      <c r="K40" s="166"/>
      <c r="L40" s="166"/>
      <c r="M40" s="166"/>
      <c r="N40" s="166"/>
    </row>
    <row r="41" spans="1:14" x14ac:dyDescent="0.3">
      <c r="A41" s="166"/>
      <c r="B41" s="166"/>
      <c r="C41" s="166"/>
      <c r="D41" s="166"/>
      <c r="E41" s="166"/>
      <c r="F41" s="166"/>
      <c r="G41" s="166"/>
      <c r="H41" s="166"/>
      <c r="I41" s="166"/>
      <c r="J41" s="166"/>
      <c r="K41" s="166"/>
      <c r="L41" s="166"/>
      <c r="M41" s="166"/>
      <c r="N41" s="166"/>
    </row>
    <row r="42" spans="1:14" x14ac:dyDescent="0.3">
      <c r="A42" s="166"/>
      <c r="B42" s="166"/>
      <c r="C42" s="166"/>
      <c r="D42" s="166"/>
      <c r="E42" s="166"/>
      <c r="F42" s="166"/>
      <c r="G42" s="166"/>
      <c r="H42" s="166"/>
      <c r="I42" s="166"/>
      <c r="J42" s="166"/>
      <c r="K42" s="166"/>
      <c r="L42" s="166"/>
      <c r="M42" s="166"/>
      <c r="N42" s="166"/>
    </row>
    <row r="43" spans="1:14" x14ac:dyDescent="0.3">
      <c r="A43" s="166"/>
      <c r="B43" s="166"/>
      <c r="C43" s="166"/>
      <c r="D43" s="166"/>
      <c r="E43" s="166"/>
      <c r="F43" s="166"/>
      <c r="G43" s="166"/>
      <c r="H43" s="166"/>
      <c r="I43" s="166"/>
      <c r="J43" s="166"/>
      <c r="K43" s="166"/>
      <c r="L43" s="166"/>
      <c r="M43" s="166"/>
      <c r="N43" s="166"/>
    </row>
    <row r="44" spans="1:14" x14ac:dyDescent="0.3">
      <c r="A44" s="166"/>
      <c r="B44" s="166"/>
      <c r="C44" s="166"/>
      <c r="D44" s="166"/>
      <c r="E44" s="166"/>
      <c r="F44" s="166"/>
      <c r="G44" s="166"/>
      <c r="H44" s="166"/>
      <c r="I44" s="166"/>
      <c r="J44" s="166"/>
      <c r="K44" s="166"/>
      <c r="L44" s="166"/>
      <c r="M44" s="166"/>
      <c r="N44" s="166"/>
    </row>
    <row r="45" spans="1:14" x14ac:dyDescent="0.3">
      <c r="A45" s="166"/>
      <c r="B45" s="166"/>
      <c r="C45" s="166"/>
      <c r="D45" s="166"/>
      <c r="E45" s="166"/>
      <c r="F45" s="166"/>
      <c r="G45" s="166"/>
      <c r="H45" s="166"/>
      <c r="I45" s="166"/>
      <c r="J45" s="166"/>
      <c r="K45" s="166"/>
      <c r="L45" s="166"/>
      <c r="M45" s="166"/>
      <c r="N45" s="166"/>
    </row>
    <row r="46" spans="1:14" x14ac:dyDescent="0.3">
      <c r="A46" s="166"/>
      <c r="B46" s="166"/>
      <c r="C46" s="166"/>
      <c r="D46" s="166"/>
      <c r="E46" s="166"/>
      <c r="F46" s="166"/>
      <c r="G46" s="166"/>
      <c r="H46" s="166"/>
      <c r="I46" s="166"/>
      <c r="J46" s="166"/>
      <c r="K46" s="166"/>
      <c r="L46" s="166"/>
      <c r="M46" s="166"/>
      <c r="N46" s="166"/>
    </row>
    <row r="47" spans="1:14" x14ac:dyDescent="0.3">
      <c r="A47" s="166"/>
      <c r="B47" s="166"/>
      <c r="C47" s="166"/>
      <c r="D47" s="166"/>
      <c r="E47" s="166"/>
      <c r="F47" s="166"/>
      <c r="G47" s="166"/>
      <c r="H47" s="166"/>
      <c r="I47" s="166"/>
      <c r="J47" s="166"/>
      <c r="K47" s="166"/>
      <c r="L47" s="166"/>
      <c r="M47" s="166"/>
      <c r="N47" s="166"/>
    </row>
    <row r="48" spans="1:14" x14ac:dyDescent="0.3">
      <c r="A48" s="166"/>
      <c r="B48" s="166"/>
      <c r="C48" s="166"/>
      <c r="D48" s="166"/>
      <c r="E48" s="166"/>
      <c r="F48" s="166"/>
      <c r="G48" s="166"/>
      <c r="H48" s="166"/>
      <c r="I48" s="166"/>
      <c r="J48" s="166"/>
      <c r="K48" s="166"/>
      <c r="L48" s="166"/>
      <c r="M48" s="166"/>
      <c r="N48" s="166"/>
    </row>
    <row r="49" spans="1:14" x14ac:dyDescent="0.3">
      <c r="A49" s="166"/>
      <c r="B49" s="166"/>
      <c r="C49" s="166"/>
      <c r="D49" s="166"/>
      <c r="E49" s="166"/>
      <c r="F49" s="166"/>
      <c r="G49" s="166"/>
      <c r="H49" s="166"/>
      <c r="I49" s="166"/>
      <c r="J49" s="166"/>
      <c r="K49" s="166"/>
      <c r="L49" s="166"/>
      <c r="M49" s="166"/>
      <c r="N49" s="166"/>
    </row>
    <row r="50" spans="1:14" x14ac:dyDescent="0.3">
      <c r="A50" s="166"/>
      <c r="B50" s="166"/>
      <c r="C50" s="166"/>
      <c r="D50" s="166"/>
      <c r="E50" s="166"/>
      <c r="F50" s="166"/>
      <c r="G50" s="166"/>
      <c r="H50" s="166"/>
      <c r="I50" s="166"/>
      <c r="J50" s="166"/>
      <c r="K50" s="166"/>
      <c r="L50" s="166"/>
      <c r="M50" s="166"/>
      <c r="N50" s="166"/>
    </row>
    <row r="51" spans="1:14" x14ac:dyDescent="0.3">
      <c r="A51" s="166"/>
      <c r="B51" s="166"/>
      <c r="C51" s="166"/>
      <c r="D51" s="166"/>
      <c r="E51" s="166"/>
      <c r="F51" s="166"/>
      <c r="G51" s="166"/>
      <c r="H51" s="166"/>
      <c r="I51" s="166"/>
      <c r="J51" s="166"/>
      <c r="K51" s="166"/>
      <c r="L51" s="166"/>
      <c r="M51" s="166"/>
      <c r="N51" s="166"/>
    </row>
    <row r="52" spans="1:14" x14ac:dyDescent="0.3">
      <c r="A52" s="166"/>
      <c r="B52" s="166"/>
      <c r="C52" s="166"/>
      <c r="D52" s="166"/>
      <c r="E52" s="166"/>
      <c r="F52" s="166"/>
      <c r="G52" s="166"/>
      <c r="H52" s="166"/>
      <c r="I52" s="166"/>
      <c r="J52" s="166"/>
      <c r="K52" s="166"/>
      <c r="L52" s="166"/>
      <c r="M52" s="166"/>
      <c r="N52" s="166"/>
    </row>
    <row r="53" spans="1:14" x14ac:dyDescent="0.3">
      <c r="A53" s="166"/>
      <c r="B53" s="166"/>
      <c r="C53" s="166"/>
      <c r="D53" s="166"/>
      <c r="E53" s="166"/>
      <c r="F53" s="166"/>
      <c r="G53" s="166"/>
      <c r="H53" s="166"/>
      <c r="I53" s="166"/>
      <c r="J53" s="166"/>
      <c r="K53" s="166"/>
      <c r="L53" s="166"/>
      <c r="M53" s="166"/>
      <c r="N53" s="166"/>
    </row>
    <row r="54" spans="1:14" x14ac:dyDescent="0.3">
      <c r="A54" s="166"/>
      <c r="B54" s="166"/>
      <c r="C54" s="166"/>
      <c r="D54" s="166"/>
      <c r="E54" s="166"/>
      <c r="F54" s="166"/>
      <c r="G54" s="166"/>
      <c r="H54" s="166"/>
      <c r="I54" s="166"/>
      <c r="J54" s="166"/>
      <c r="K54" s="166"/>
      <c r="L54" s="166"/>
      <c r="M54" s="166"/>
      <c r="N54" s="166"/>
    </row>
    <row r="55" spans="1:14" x14ac:dyDescent="0.3">
      <c r="A55" s="166"/>
      <c r="B55" s="166"/>
      <c r="C55" s="166"/>
      <c r="D55" s="166"/>
      <c r="E55" s="166"/>
      <c r="F55" s="166"/>
      <c r="G55" s="166"/>
      <c r="H55" s="166"/>
      <c r="I55" s="166"/>
      <c r="J55" s="166"/>
      <c r="K55" s="166"/>
      <c r="L55" s="166"/>
      <c r="M55" s="166"/>
      <c r="N55" s="166"/>
    </row>
    <row r="56" spans="1:14" x14ac:dyDescent="0.3">
      <c r="A56" s="166"/>
      <c r="B56" s="166"/>
      <c r="C56" s="166"/>
      <c r="D56" s="166"/>
      <c r="E56" s="166"/>
      <c r="F56" s="166"/>
      <c r="G56" s="166"/>
      <c r="H56" s="166"/>
      <c r="I56" s="166"/>
      <c r="J56" s="166"/>
      <c r="K56" s="166"/>
      <c r="L56" s="166"/>
      <c r="M56" s="166"/>
      <c r="N56" s="166"/>
    </row>
    <row r="57" spans="1:14" x14ac:dyDescent="0.3">
      <c r="A57" s="166"/>
      <c r="B57" s="166"/>
      <c r="C57" s="166"/>
      <c r="D57" s="166"/>
      <c r="E57" s="166"/>
      <c r="F57" s="166"/>
      <c r="G57" s="166"/>
      <c r="H57" s="166"/>
      <c r="I57" s="166"/>
      <c r="J57" s="166"/>
      <c r="K57" s="166"/>
      <c r="L57" s="166"/>
      <c r="M57" s="166"/>
      <c r="N57" s="166"/>
    </row>
    <row r="58" spans="1:14" x14ac:dyDescent="0.3">
      <c r="A58" s="166"/>
      <c r="B58" s="166"/>
      <c r="C58" s="166"/>
      <c r="D58" s="166"/>
      <c r="E58" s="166"/>
      <c r="F58" s="166"/>
      <c r="G58" s="166"/>
      <c r="H58" s="166"/>
      <c r="I58" s="166"/>
      <c r="J58" s="166"/>
      <c r="K58" s="166"/>
      <c r="L58" s="166"/>
      <c r="M58" s="166"/>
      <c r="N58" s="166"/>
    </row>
    <row r="59" spans="1:14" x14ac:dyDescent="0.3">
      <c r="A59" s="166"/>
      <c r="B59" s="166"/>
      <c r="C59" s="166"/>
      <c r="D59" s="166"/>
      <c r="E59" s="166"/>
      <c r="F59" s="166"/>
      <c r="G59" s="166"/>
      <c r="H59" s="166"/>
      <c r="I59" s="166"/>
      <c r="J59" s="166"/>
      <c r="K59" s="166"/>
      <c r="L59" s="166"/>
      <c r="M59" s="166"/>
      <c r="N59" s="166"/>
    </row>
    <row r="60" spans="1:14" x14ac:dyDescent="0.3">
      <c r="A60" s="166"/>
      <c r="B60" s="166"/>
      <c r="C60" s="166"/>
      <c r="D60" s="166"/>
      <c r="E60" s="166"/>
      <c r="F60" s="166"/>
      <c r="G60" s="166"/>
      <c r="H60" s="166"/>
      <c r="I60" s="166"/>
      <c r="J60" s="166"/>
      <c r="K60" s="166"/>
      <c r="L60" s="166"/>
      <c r="M60" s="166"/>
      <c r="N60" s="166"/>
    </row>
    <row r="61" spans="1:14" x14ac:dyDescent="0.3">
      <c r="A61" s="166"/>
      <c r="B61" s="166"/>
      <c r="C61" s="166"/>
      <c r="D61" s="166"/>
      <c r="E61" s="166"/>
      <c r="F61" s="166"/>
      <c r="G61" s="166"/>
      <c r="H61" s="166"/>
      <c r="I61" s="166"/>
      <c r="J61" s="166"/>
      <c r="K61" s="166"/>
      <c r="L61" s="166"/>
      <c r="M61" s="166"/>
      <c r="N61" s="166"/>
    </row>
    <row r="62" spans="1:14" x14ac:dyDescent="0.3">
      <c r="A62" s="166"/>
      <c r="B62" s="166"/>
      <c r="C62" s="166"/>
      <c r="D62" s="166"/>
      <c r="E62" s="166"/>
      <c r="F62" s="166"/>
      <c r="G62" s="166"/>
      <c r="H62" s="166"/>
      <c r="I62" s="166"/>
      <c r="J62" s="166"/>
      <c r="K62" s="166"/>
      <c r="L62" s="166"/>
      <c r="M62" s="166"/>
      <c r="N62" s="166"/>
    </row>
    <row r="63" spans="1:14" x14ac:dyDescent="0.3">
      <c r="A63" s="166"/>
      <c r="B63" s="166"/>
      <c r="C63" s="166"/>
      <c r="D63" s="166"/>
      <c r="E63" s="166"/>
      <c r="F63" s="166"/>
      <c r="G63" s="166"/>
      <c r="H63" s="166"/>
      <c r="I63" s="166"/>
      <c r="J63" s="166"/>
      <c r="K63" s="166"/>
      <c r="L63" s="166"/>
      <c r="M63" s="166"/>
      <c r="N63" s="166"/>
    </row>
    <row r="64" spans="1:14" x14ac:dyDescent="0.3">
      <c r="A64" s="166"/>
      <c r="B64" s="166"/>
      <c r="C64" s="166"/>
      <c r="D64" s="166"/>
      <c r="E64" s="166"/>
      <c r="F64" s="166"/>
      <c r="G64" s="166"/>
      <c r="H64" s="166"/>
      <c r="I64" s="166"/>
      <c r="J64" s="166"/>
      <c r="K64" s="166"/>
      <c r="L64" s="166"/>
      <c r="M64" s="166"/>
      <c r="N64" s="166"/>
    </row>
    <row r="65" spans="1:14" x14ac:dyDescent="0.3">
      <c r="A65" s="166"/>
      <c r="B65" s="166"/>
      <c r="C65" s="166"/>
      <c r="D65" s="166"/>
      <c r="E65" s="166"/>
      <c r="F65" s="166"/>
      <c r="G65" s="166"/>
      <c r="H65" s="166"/>
      <c r="I65" s="166"/>
      <c r="J65" s="166"/>
      <c r="K65" s="166"/>
      <c r="L65" s="166"/>
      <c r="M65" s="166"/>
      <c r="N65" s="166"/>
    </row>
    <row r="66" spans="1:14" x14ac:dyDescent="0.3">
      <c r="A66" s="166"/>
      <c r="B66" s="166"/>
      <c r="C66" s="166"/>
      <c r="D66" s="166"/>
      <c r="E66" s="166"/>
      <c r="F66" s="166"/>
      <c r="G66" s="166"/>
      <c r="H66" s="166"/>
      <c r="I66" s="166"/>
      <c r="J66" s="166"/>
      <c r="K66" s="166"/>
      <c r="L66" s="166"/>
      <c r="M66" s="166"/>
      <c r="N66" s="166"/>
    </row>
    <row r="67" spans="1:14" x14ac:dyDescent="0.3">
      <c r="A67" s="166"/>
      <c r="B67" s="166"/>
      <c r="C67" s="166"/>
      <c r="D67" s="166"/>
      <c r="E67" s="166"/>
      <c r="F67" s="166"/>
      <c r="G67" s="166"/>
      <c r="H67" s="166"/>
      <c r="I67" s="166"/>
      <c r="J67" s="166"/>
      <c r="K67" s="166"/>
      <c r="L67" s="166"/>
      <c r="M67" s="166"/>
      <c r="N67" s="166"/>
    </row>
    <row r="68" spans="1:14" x14ac:dyDescent="0.3">
      <c r="A68" s="166"/>
      <c r="B68" s="166"/>
      <c r="C68" s="166"/>
      <c r="D68" s="166"/>
      <c r="E68" s="166"/>
      <c r="F68" s="166"/>
      <c r="G68" s="166"/>
      <c r="H68" s="166"/>
      <c r="I68" s="166"/>
      <c r="J68" s="166"/>
      <c r="K68" s="166"/>
      <c r="L68" s="166"/>
      <c r="M68" s="166"/>
      <c r="N68" s="166"/>
    </row>
    <row r="69" spans="1:14" x14ac:dyDescent="0.3">
      <c r="A69" s="166"/>
      <c r="B69" s="166"/>
      <c r="C69" s="166"/>
      <c r="D69" s="166"/>
      <c r="E69" s="166"/>
      <c r="F69" s="166"/>
      <c r="G69" s="166"/>
      <c r="H69" s="166"/>
      <c r="I69" s="166"/>
      <c r="J69" s="166"/>
      <c r="K69" s="166"/>
      <c r="L69" s="166"/>
      <c r="M69" s="166"/>
      <c r="N69" s="166"/>
    </row>
    <row r="70" spans="1:14" x14ac:dyDescent="0.3">
      <c r="A70" s="166"/>
      <c r="B70" s="166"/>
      <c r="C70" s="166"/>
      <c r="D70" s="166"/>
      <c r="E70" s="166"/>
      <c r="F70" s="166"/>
      <c r="G70" s="166"/>
      <c r="H70" s="166"/>
      <c r="I70" s="166"/>
      <c r="J70" s="166"/>
      <c r="K70" s="166"/>
      <c r="L70" s="166"/>
      <c r="M70" s="166"/>
      <c r="N70" s="166"/>
    </row>
    <row r="71" spans="1:14" x14ac:dyDescent="0.3">
      <c r="A71" s="166"/>
      <c r="B71" s="166"/>
      <c r="C71" s="166"/>
      <c r="D71" s="166"/>
      <c r="E71" s="166"/>
      <c r="F71" s="166"/>
      <c r="G71" s="166"/>
      <c r="H71" s="166"/>
      <c r="I71" s="166"/>
      <c r="J71" s="166"/>
      <c r="K71" s="166"/>
      <c r="L71" s="166"/>
      <c r="M71" s="166"/>
      <c r="N71" s="166"/>
    </row>
    <row r="72" spans="1:14" x14ac:dyDescent="0.3">
      <c r="A72" s="166"/>
      <c r="B72" s="166"/>
      <c r="C72" s="166"/>
      <c r="D72" s="166"/>
      <c r="E72" s="166"/>
      <c r="F72" s="166"/>
      <c r="G72" s="166"/>
      <c r="H72" s="166"/>
      <c r="I72" s="166"/>
      <c r="J72" s="166"/>
      <c r="K72" s="166"/>
      <c r="L72" s="166"/>
      <c r="M72" s="166"/>
      <c r="N72" s="166"/>
    </row>
    <row r="73" spans="1:14" x14ac:dyDescent="0.3">
      <c r="A73" s="166"/>
      <c r="B73" s="166"/>
      <c r="C73" s="166"/>
      <c r="D73" s="166"/>
      <c r="E73" s="166"/>
      <c r="F73" s="166"/>
      <c r="G73" s="166"/>
      <c r="H73" s="166"/>
      <c r="I73" s="166"/>
      <c r="J73" s="166"/>
      <c r="K73" s="166"/>
      <c r="L73" s="166"/>
      <c r="M73" s="166"/>
      <c r="N73" s="166"/>
    </row>
    <row r="74" spans="1:14" x14ac:dyDescent="0.3">
      <c r="A74" s="166"/>
      <c r="B74" s="166"/>
      <c r="C74" s="166"/>
      <c r="D74" s="166"/>
      <c r="E74" s="166"/>
      <c r="F74" s="166"/>
      <c r="G74" s="166"/>
      <c r="H74" s="166"/>
      <c r="I74" s="166"/>
      <c r="J74" s="166"/>
      <c r="K74" s="166"/>
      <c r="L74" s="166"/>
      <c r="M74" s="166"/>
      <c r="N74" s="166"/>
    </row>
    <row r="75" spans="1:14" x14ac:dyDescent="0.3">
      <c r="A75" s="166"/>
      <c r="B75" s="166"/>
      <c r="C75" s="166"/>
      <c r="D75" s="166"/>
      <c r="E75" s="166"/>
      <c r="F75" s="166"/>
      <c r="G75" s="166"/>
      <c r="H75" s="166"/>
      <c r="I75" s="166"/>
      <c r="J75" s="166"/>
      <c r="K75" s="166"/>
      <c r="L75" s="166"/>
      <c r="M75" s="166"/>
      <c r="N75" s="166"/>
    </row>
    <row r="76" spans="1:14" x14ac:dyDescent="0.3">
      <c r="A76" s="166"/>
      <c r="B76" s="166"/>
      <c r="C76" s="166"/>
      <c r="D76" s="166"/>
      <c r="E76" s="166"/>
      <c r="F76" s="166"/>
      <c r="G76" s="166"/>
      <c r="H76" s="166"/>
      <c r="I76" s="166"/>
      <c r="J76" s="166"/>
      <c r="K76" s="166"/>
      <c r="L76" s="166"/>
      <c r="M76" s="166"/>
      <c r="N76" s="166"/>
    </row>
    <row r="77" spans="1:14" x14ac:dyDescent="0.3">
      <c r="A77" s="166"/>
      <c r="B77" s="166"/>
      <c r="C77" s="166"/>
      <c r="D77" s="166"/>
      <c r="E77" s="166"/>
      <c r="F77" s="166"/>
      <c r="G77" s="166"/>
      <c r="H77" s="166"/>
      <c r="I77" s="166"/>
      <c r="J77" s="166"/>
      <c r="K77" s="166"/>
      <c r="L77" s="166"/>
      <c r="M77" s="166"/>
      <c r="N77" s="166"/>
    </row>
    <row r="78" spans="1:14" x14ac:dyDescent="0.3">
      <c r="A78" s="166"/>
      <c r="B78" s="166"/>
      <c r="C78" s="166"/>
      <c r="D78" s="166"/>
      <c r="E78" s="166"/>
      <c r="F78" s="166"/>
      <c r="G78" s="166"/>
      <c r="H78" s="166"/>
      <c r="I78" s="166"/>
      <c r="J78" s="166"/>
      <c r="K78" s="166"/>
      <c r="L78" s="166"/>
      <c r="M78" s="166"/>
      <c r="N78" s="166"/>
    </row>
    <row r="79" spans="1:14" x14ac:dyDescent="0.3">
      <c r="A79" s="166"/>
      <c r="B79" s="166"/>
      <c r="C79" s="166"/>
      <c r="D79" s="166"/>
      <c r="E79" s="166"/>
      <c r="F79" s="166"/>
      <c r="G79" s="166"/>
      <c r="H79" s="166"/>
      <c r="I79" s="166"/>
      <c r="J79" s="166"/>
      <c r="K79" s="166"/>
      <c r="L79" s="166"/>
      <c r="M79" s="166"/>
      <c r="N79" s="166"/>
    </row>
    <row r="80" spans="1:14" x14ac:dyDescent="0.3">
      <c r="A80" s="166"/>
      <c r="B80" s="166"/>
      <c r="C80" s="166"/>
      <c r="D80" s="166"/>
      <c r="E80" s="166"/>
      <c r="F80" s="166"/>
      <c r="G80" s="166"/>
      <c r="H80" s="166"/>
      <c r="I80" s="166"/>
      <c r="J80" s="166"/>
      <c r="K80" s="166"/>
      <c r="L80" s="166"/>
      <c r="M80" s="166"/>
      <c r="N80" s="166"/>
    </row>
    <row r="81" spans="1:14" x14ac:dyDescent="0.3">
      <c r="A81" s="166"/>
      <c r="B81" s="166"/>
      <c r="C81" s="166"/>
      <c r="D81" s="166"/>
      <c r="E81" s="166"/>
      <c r="F81" s="166"/>
      <c r="G81" s="166"/>
      <c r="H81" s="166"/>
      <c r="I81" s="166"/>
      <c r="J81" s="166"/>
      <c r="K81" s="166"/>
      <c r="L81" s="166"/>
      <c r="M81" s="166"/>
      <c r="N81" s="166"/>
    </row>
    <row r="82" spans="1:14" x14ac:dyDescent="0.3">
      <c r="A82" s="166"/>
      <c r="B82" s="166"/>
      <c r="C82" s="166"/>
      <c r="D82" s="166"/>
      <c r="E82" s="166"/>
      <c r="F82" s="166"/>
      <c r="G82" s="166"/>
      <c r="H82" s="166"/>
      <c r="I82" s="166"/>
      <c r="J82" s="166"/>
      <c r="K82" s="166"/>
      <c r="L82" s="166"/>
      <c r="M82" s="166"/>
      <c r="N82" s="166"/>
    </row>
    <row r="83" spans="1:14" x14ac:dyDescent="0.3">
      <c r="A83" s="166"/>
      <c r="B83" s="166"/>
      <c r="C83" s="166"/>
      <c r="D83" s="166"/>
      <c r="E83" s="166"/>
      <c r="F83" s="166"/>
      <c r="G83" s="166"/>
      <c r="H83" s="166"/>
      <c r="I83" s="166"/>
      <c r="J83" s="166"/>
      <c r="K83" s="166"/>
      <c r="L83" s="166"/>
      <c r="M83" s="166"/>
      <c r="N83" s="166"/>
    </row>
    <row r="84" spans="1:14" x14ac:dyDescent="0.3">
      <c r="A84" s="166"/>
      <c r="B84" s="166"/>
      <c r="C84" s="166"/>
      <c r="D84" s="166"/>
      <c r="E84" s="166"/>
      <c r="F84" s="166"/>
      <c r="G84" s="166"/>
      <c r="H84" s="166"/>
      <c r="I84" s="166"/>
      <c r="J84" s="166"/>
      <c r="K84" s="166"/>
      <c r="L84" s="166"/>
      <c r="M84" s="166"/>
      <c r="N84" s="166"/>
    </row>
    <row r="85" spans="1:14" x14ac:dyDescent="0.3">
      <c r="A85" s="166"/>
      <c r="B85" s="166"/>
      <c r="C85" s="166"/>
      <c r="D85" s="166"/>
      <c r="E85" s="166"/>
      <c r="F85" s="166"/>
      <c r="G85" s="166"/>
      <c r="H85" s="166"/>
      <c r="I85" s="166"/>
      <c r="J85" s="166"/>
      <c r="K85" s="166"/>
      <c r="L85" s="166"/>
      <c r="M85" s="166"/>
      <c r="N85" s="166"/>
    </row>
    <row r="86" spans="1:14" x14ac:dyDescent="0.3">
      <c r="A86" s="166"/>
      <c r="B86" s="166"/>
      <c r="C86" s="166"/>
      <c r="D86" s="166"/>
      <c r="E86" s="166"/>
      <c r="F86" s="166"/>
      <c r="G86" s="166"/>
      <c r="H86" s="166"/>
      <c r="I86" s="166"/>
      <c r="J86" s="166"/>
      <c r="K86" s="166"/>
      <c r="L86" s="166"/>
      <c r="M86" s="166"/>
      <c r="N86" s="166"/>
    </row>
    <row r="87" spans="1:14" x14ac:dyDescent="0.3">
      <c r="A87" s="166"/>
      <c r="B87" s="166"/>
      <c r="C87" s="166"/>
      <c r="D87" s="166"/>
      <c r="E87" s="166"/>
      <c r="F87" s="166"/>
      <c r="G87" s="166"/>
      <c r="H87" s="166"/>
      <c r="I87" s="166"/>
      <c r="J87" s="166"/>
      <c r="K87" s="166"/>
      <c r="L87" s="166"/>
      <c r="M87" s="166"/>
      <c r="N87" s="166"/>
    </row>
    <row r="88" spans="1:14" x14ac:dyDescent="0.3">
      <c r="A88" s="166"/>
      <c r="B88" s="166"/>
      <c r="C88" s="166"/>
      <c r="D88" s="166"/>
      <c r="E88" s="166"/>
      <c r="F88" s="166"/>
      <c r="G88" s="166"/>
      <c r="H88" s="166"/>
      <c r="I88" s="166"/>
      <c r="J88" s="166"/>
      <c r="K88" s="166"/>
      <c r="L88" s="166"/>
      <c r="M88" s="166"/>
      <c r="N88" s="166"/>
    </row>
    <row r="89" spans="1:14" x14ac:dyDescent="0.3">
      <c r="A89" s="166"/>
      <c r="B89" s="166"/>
      <c r="C89" s="166"/>
      <c r="D89" s="166"/>
      <c r="E89" s="166"/>
      <c r="F89" s="166"/>
      <c r="G89" s="166"/>
      <c r="H89" s="166"/>
      <c r="I89" s="166"/>
      <c r="J89" s="166"/>
      <c r="K89" s="166"/>
      <c r="L89" s="166"/>
      <c r="M89" s="166"/>
      <c r="N89" s="166"/>
    </row>
    <row r="90" spans="1:14" x14ac:dyDescent="0.3">
      <c r="A90" s="166"/>
      <c r="B90" s="166"/>
      <c r="C90" s="166"/>
      <c r="D90" s="166"/>
      <c r="E90" s="166"/>
      <c r="F90" s="166"/>
      <c r="G90" s="166"/>
      <c r="H90" s="166"/>
      <c r="I90" s="166"/>
      <c r="J90" s="166"/>
      <c r="K90" s="166"/>
      <c r="L90" s="166"/>
      <c r="M90" s="166"/>
      <c r="N90" s="166"/>
    </row>
    <row r="91" spans="1:14" x14ac:dyDescent="0.3">
      <c r="A91" s="166"/>
      <c r="B91" s="166"/>
      <c r="C91" s="166"/>
      <c r="D91" s="166"/>
      <c r="E91" s="166"/>
      <c r="F91" s="166"/>
      <c r="G91" s="166"/>
      <c r="H91" s="166"/>
      <c r="I91" s="166"/>
      <c r="J91" s="166"/>
      <c r="K91" s="166"/>
      <c r="L91" s="166"/>
      <c r="M91" s="166"/>
      <c r="N91" s="166"/>
    </row>
    <row r="92" spans="1:14" x14ac:dyDescent="0.3">
      <c r="A92" s="166"/>
      <c r="B92" s="166"/>
      <c r="C92" s="166"/>
      <c r="D92" s="166"/>
      <c r="E92" s="166"/>
      <c r="F92" s="166"/>
      <c r="G92" s="166"/>
      <c r="H92" s="166"/>
      <c r="I92" s="166"/>
      <c r="J92" s="166"/>
      <c r="K92" s="166"/>
      <c r="L92" s="166"/>
      <c r="M92" s="166"/>
      <c r="N92" s="166"/>
    </row>
    <row r="93" spans="1:14" x14ac:dyDescent="0.3">
      <c r="A93" s="166"/>
      <c r="B93" s="166"/>
      <c r="C93" s="166"/>
      <c r="D93" s="166"/>
      <c r="E93" s="166"/>
      <c r="F93" s="166"/>
      <c r="G93" s="166"/>
      <c r="H93" s="166"/>
      <c r="I93" s="166"/>
      <c r="J93" s="166"/>
      <c r="K93" s="166"/>
      <c r="L93" s="166"/>
      <c r="M93" s="166"/>
      <c r="N93" s="166"/>
    </row>
    <row r="94" spans="1:14" x14ac:dyDescent="0.3">
      <c r="A94" s="166"/>
      <c r="B94" s="166"/>
      <c r="C94" s="166"/>
      <c r="D94" s="166"/>
      <c r="E94" s="166"/>
      <c r="F94" s="166"/>
      <c r="G94" s="166"/>
      <c r="H94" s="166"/>
      <c r="I94" s="166"/>
      <c r="J94" s="166"/>
      <c r="K94" s="166"/>
      <c r="L94" s="166"/>
      <c r="M94" s="166"/>
      <c r="N94" s="166"/>
    </row>
    <row r="95" spans="1:14" x14ac:dyDescent="0.3">
      <c r="A95" s="166"/>
      <c r="B95" s="166"/>
      <c r="C95" s="166"/>
      <c r="D95" s="166"/>
      <c r="E95" s="166"/>
      <c r="F95" s="166"/>
      <c r="G95" s="166"/>
      <c r="H95" s="166"/>
      <c r="I95" s="166"/>
      <c r="J95" s="166"/>
      <c r="K95" s="166"/>
      <c r="L95" s="166"/>
      <c r="M95" s="166"/>
      <c r="N95" s="166"/>
    </row>
    <row r="96" spans="1:14" x14ac:dyDescent="0.3">
      <c r="A96" s="166"/>
      <c r="B96" s="166"/>
      <c r="C96" s="166"/>
      <c r="D96" s="166"/>
      <c r="E96" s="166"/>
      <c r="F96" s="166"/>
      <c r="G96" s="166"/>
      <c r="H96" s="166"/>
      <c r="I96" s="166"/>
      <c r="J96" s="166"/>
      <c r="K96" s="166"/>
      <c r="L96" s="166"/>
      <c r="M96" s="166"/>
      <c r="N96" s="166"/>
    </row>
    <row r="97" spans="1:14" x14ac:dyDescent="0.3">
      <c r="A97" s="166"/>
      <c r="B97" s="166"/>
      <c r="C97" s="166"/>
      <c r="D97" s="166"/>
      <c r="E97" s="166"/>
      <c r="F97" s="166"/>
      <c r="G97" s="166"/>
      <c r="H97" s="166"/>
      <c r="I97" s="166"/>
      <c r="J97" s="166"/>
      <c r="K97" s="166"/>
      <c r="L97" s="166"/>
      <c r="M97" s="166"/>
      <c r="N97" s="166"/>
    </row>
    <row r="98" spans="1:14" x14ac:dyDescent="0.3">
      <c r="A98" s="166"/>
      <c r="B98" s="166"/>
      <c r="C98" s="166"/>
      <c r="D98" s="166"/>
      <c r="E98" s="166"/>
      <c r="F98" s="166"/>
      <c r="G98" s="166"/>
      <c r="H98" s="166"/>
      <c r="I98" s="166"/>
      <c r="J98" s="166"/>
      <c r="K98" s="166"/>
      <c r="L98" s="166"/>
      <c r="M98" s="166"/>
      <c r="N98" s="166"/>
    </row>
    <row r="99" spans="1:14" x14ac:dyDescent="0.3">
      <c r="A99" s="166"/>
      <c r="B99" s="166"/>
      <c r="C99" s="166"/>
      <c r="D99" s="166"/>
      <c r="E99" s="166"/>
      <c r="F99" s="166"/>
      <c r="G99" s="166"/>
      <c r="H99" s="166"/>
      <c r="I99" s="166"/>
      <c r="J99" s="166"/>
      <c r="K99" s="166"/>
      <c r="L99" s="166"/>
      <c r="M99" s="166"/>
      <c r="N99" s="166"/>
    </row>
    <row r="100" spans="1:14" x14ac:dyDescent="0.3">
      <c r="A100" s="166"/>
      <c r="B100" s="166"/>
      <c r="C100" s="166"/>
      <c r="D100" s="166"/>
      <c r="E100" s="166"/>
      <c r="F100" s="166"/>
      <c r="G100" s="166"/>
      <c r="H100" s="166"/>
      <c r="I100" s="166"/>
      <c r="J100" s="166"/>
      <c r="K100" s="166"/>
      <c r="L100" s="166"/>
      <c r="M100" s="166"/>
      <c r="N100" s="166"/>
    </row>
    <row r="101" spans="1:14" x14ac:dyDescent="0.3">
      <c r="A101" s="166"/>
      <c r="B101" s="166"/>
      <c r="C101" s="166"/>
      <c r="D101" s="166"/>
      <c r="E101" s="166"/>
      <c r="F101" s="166"/>
      <c r="G101" s="166"/>
      <c r="H101" s="166"/>
      <c r="I101" s="166"/>
      <c r="J101" s="166"/>
      <c r="K101" s="166"/>
      <c r="L101" s="166"/>
      <c r="M101" s="166"/>
      <c r="N101" s="166"/>
    </row>
    <row r="102" spans="1:14" x14ac:dyDescent="0.3">
      <c r="A102" s="166"/>
      <c r="B102" s="166"/>
      <c r="C102" s="166"/>
      <c r="D102" s="166"/>
      <c r="E102" s="166"/>
      <c r="F102" s="166"/>
      <c r="G102" s="166"/>
      <c r="H102" s="166"/>
      <c r="I102" s="166"/>
      <c r="J102" s="166"/>
      <c r="K102" s="166"/>
      <c r="L102" s="166"/>
      <c r="M102" s="166"/>
      <c r="N102" s="166"/>
    </row>
    <row r="103" spans="1:14" x14ac:dyDescent="0.3">
      <c r="A103" s="166"/>
      <c r="B103" s="166"/>
      <c r="C103" s="166"/>
      <c r="D103" s="166"/>
      <c r="E103" s="166"/>
      <c r="F103" s="166"/>
      <c r="G103" s="166"/>
      <c r="H103" s="166"/>
      <c r="I103" s="166"/>
      <c r="J103" s="166"/>
      <c r="K103" s="166"/>
      <c r="L103" s="166"/>
      <c r="M103" s="166"/>
      <c r="N103" s="166"/>
    </row>
    <row r="104" spans="1:14" x14ac:dyDescent="0.3">
      <c r="A104" s="166"/>
      <c r="B104" s="166"/>
      <c r="C104" s="166"/>
      <c r="D104" s="166"/>
      <c r="E104" s="166"/>
      <c r="F104" s="166"/>
      <c r="G104" s="166"/>
      <c r="H104" s="166"/>
      <c r="I104" s="166"/>
      <c r="J104" s="166"/>
      <c r="K104" s="166"/>
      <c r="L104" s="166"/>
      <c r="M104" s="166"/>
      <c r="N104" s="166"/>
    </row>
    <row r="105" spans="1:14" x14ac:dyDescent="0.3">
      <c r="A105" s="166"/>
      <c r="B105" s="166"/>
      <c r="C105" s="166"/>
      <c r="D105" s="166"/>
      <c r="E105" s="166"/>
      <c r="F105" s="166"/>
      <c r="G105" s="166"/>
      <c r="H105" s="166"/>
      <c r="I105" s="166"/>
      <c r="J105" s="166"/>
      <c r="K105" s="166"/>
      <c r="L105" s="166"/>
      <c r="M105" s="166"/>
      <c r="N105" s="166"/>
    </row>
    <row r="106" spans="1:14" x14ac:dyDescent="0.3">
      <c r="A106" s="166"/>
      <c r="B106" s="166"/>
      <c r="C106" s="166"/>
      <c r="D106" s="166"/>
      <c r="E106" s="166"/>
      <c r="F106" s="166"/>
      <c r="G106" s="166"/>
      <c r="H106" s="166"/>
      <c r="I106" s="166"/>
      <c r="J106" s="166"/>
      <c r="K106" s="166"/>
      <c r="L106" s="166"/>
      <c r="M106" s="166"/>
      <c r="N106" s="166"/>
    </row>
    <row r="107" spans="1:14" x14ac:dyDescent="0.3">
      <c r="A107" s="166"/>
      <c r="B107" s="166"/>
      <c r="C107" s="166"/>
      <c r="D107" s="166"/>
      <c r="E107" s="166"/>
      <c r="F107" s="166"/>
      <c r="G107" s="166"/>
      <c r="H107" s="166"/>
      <c r="I107" s="166"/>
      <c r="J107" s="166"/>
      <c r="K107" s="166"/>
      <c r="L107" s="166"/>
      <c r="M107" s="166"/>
      <c r="N107" s="166"/>
    </row>
    <row r="108" spans="1:14" x14ac:dyDescent="0.3">
      <c r="A108" s="166"/>
      <c r="B108" s="166"/>
      <c r="C108" s="166"/>
      <c r="D108" s="166"/>
      <c r="E108" s="166"/>
      <c r="F108" s="166"/>
      <c r="G108" s="166"/>
      <c r="H108" s="166"/>
      <c r="I108" s="166"/>
      <c r="J108" s="166"/>
      <c r="K108" s="166"/>
      <c r="L108" s="166"/>
      <c r="M108" s="166"/>
      <c r="N108" s="166"/>
    </row>
    <row r="109" spans="1:14" x14ac:dyDescent="0.3">
      <c r="A109" s="166"/>
      <c r="B109" s="166"/>
      <c r="C109" s="166"/>
      <c r="D109" s="166"/>
      <c r="E109" s="166"/>
      <c r="F109" s="166"/>
      <c r="G109" s="166"/>
      <c r="H109" s="166"/>
      <c r="I109" s="166"/>
      <c r="J109" s="166"/>
      <c r="K109" s="166"/>
      <c r="L109" s="166"/>
      <c r="M109" s="166"/>
      <c r="N109" s="166"/>
    </row>
    <row r="110" spans="1:14" x14ac:dyDescent="0.3">
      <c r="A110" s="166"/>
      <c r="B110" s="166"/>
      <c r="C110" s="166"/>
      <c r="D110" s="166"/>
      <c r="E110" s="166"/>
      <c r="F110" s="166"/>
      <c r="G110" s="166"/>
      <c r="H110" s="166"/>
      <c r="I110" s="166"/>
      <c r="J110" s="166"/>
      <c r="K110" s="166"/>
      <c r="L110" s="166"/>
      <c r="M110" s="166"/>
      <c r="N110" s="166"/>
    </row>
    <row r="111" spans="1:14" x14ac:dyDescent="0.3">
      <c r="A111" s="166"/>
      <c r="B111" s="166"/>
      <c r="C111" s="166"/>
      <c r="D111" s="166"/>
      <c r="E111" s="166"/>
      <c r="F111" s="166"/>
      <c r="G111" s="166"/>
      <c r="H111" s="166"/>
      <c r="I111" s="166"/>
      <c r="J111" s="166"/>
      <c r="K111" s="166"/>
      <c r="L111" s="166"/>
      <c r="M111" s="166"/>
      <c r="N111" s="166"/>
    </row>
    <row r="112" spans="1:14" x14ac:dyDescent="0.3">
      <c r="A112" s="166"/>
      <c r="B112" s="166"/>
      <c r="C112" s="166"/>
      <c r="D112" s="166"/>
      <c r="E112" s="166"/>
      <c r="F112" s="166"/>
      <c r="G112" s="166"/>
      <c r="H112" s="166"/>
      <c r="I112" s="166"/>
      <c r="J112" s="166"/>
      <c r="K112" s="166"/>
      <c r="L112" s="166"/>
      <c r="M112" s="166"/>
      <c r="N112" s="166"/>
    </row>
    <row r="113" spans="1:14" x14ac:dyDescent="0.3">
      <c r="A113" s="166"/>
      <c r="B113" s="166"/>
      <c r="C113" s="166"/>
      <c r="D113" s="166"/>
      <c r="E113" s="166"/>
      <c r="F113" s="166"/>
      <c r="G113" s="166"/>
      <c r="H113" s="166"/>
      <c r="I113" s="166"/>
      <c r="J113" s="166"/>
      <c r="K113" s="166"/>
      <c r="L113" s="166"/>
      <c r="M113" s="166"/>
      <c r="N113" s="166"/>
    </row>
    <row r="114" spans="1:14" x14ac:dyDescent="0.3">
      <c r="A114" s="166"/>
      <c r="B114" s="166"/>
      <c r="C114" s="166"/>
      <c r="D114" s="166"/>
      <c r="E114" s="166"/>
      <c r="F114" s="166"/>
      <c r="G114" s="166"/>
      <c r="H114" s="166"/>
      <c r="I114" s="166"/>
      <c r="J114" s="166"/>
      <c r="K114" s="166"/>
      <c r="L114" s="166"/>
      <c r="M114" s="166"/>
      <c r="N114" s="166"/>
    </row>
    <row r="115" spans="1:14" x14ac:dyDescent="0.3">
      <c r="A115" s="166"/>
      <c r="B115" s="166"/>
      <c r="C115" s="166"/>
      <c r="D115" s="166"/>
      <c r="E115" s="166"/>
      <c r="F115" s="166"/>
      <c r="G115" s="166"/>
      <c r="H115" s="166"/>
      <c r="I115" s="166"/>
      <c r="J115" s="166"/>
      <c r="K115" s="166"/>
      <c r="L115" s="166"/>
      <c r="M115" s="166"/>
      <c r="N115" s="166"/>
    </row>
    <row r="116" spans="1:14" x14ac:dyDescent="0.3">
      <c r="A116" s="166"/>
      <c r="B116" s="166"/>
      <c r="C116" s="166"/>
      <c r="D116" s="166"/>
      <c r="E116" s="166"/>
      <c r="F116" s="166"/>
      <c r="G116" s="166"/>
      <c r="H116" s="166"/>
      <c r="I116" s="166"/>
      <c r="J116" s="166"/>
      <c r="K116" s="166"/>
      <c r="L116" s="166"/>
      <c r="M116" s="166"/>
      <c r="N116" s="166"/>
    </row>
    <row r="117" spans="1:14" x14ac:dyDescent="0.3">
      <c r="A117" s="166"/>
      <c r="B117" s="166"/>
      <c r="C117" s="166"/>
      <c r="D117" s="166"/>
      <c r="E117" s="166"/>
      <c r="F117" s="166"/>
      <c r="G117" s="166"/>
      <c r="H117" s="166"/>
      <c r="I117" s="166"/>
      <c r="J117" s="166"/>
      <c r="K117" s="166"/>
      <c r="L117" s="166"/>
      <c r="M117" s="166"/>
      <c r="N117" s="166"/>
    </row>
    <row r="118" spans="1:14" x14ac:dyDescent="0.3">
      <c r="A118" s="166"/>
      <c r="B118" s="166"/>
      <c r="C118" s="166"/>
      <c r="D118" s="166"/>
      <c r="E118" s="166"/>
      <c r="F118" s="166"/>
      <c r="G118" s="166"/>
      <c r="H118" s="166"/>
      <c r="I118" s="166"/>
      <c r="J118" s="166"/>
      <c r="K118" s="166"/>
      <c r="L118" s="166"/>
      <c r="M118" s="166"/>
      <c r="N118" s="166"/>
    </row>
    <row r="119" spans="1:14" x14ac:dyDescent="0.3">
      <c r="A119" s="166"/>
      <c r="B119" s="166"/>
      <c r="C119" s="166"/>
      <c r="D119" s="166"/>
      <c r="E119" s="166"/>
      <c r="F119" s="166"/>
      <c r="G119" s="166"/>
      <c r="H119" s="166"/>
      <c r="I119" s="166"/>
      <c r="J119" s="166"/>
      <c r="K119" s="166"/>
      <c r="L119" s="166"/>
      <c r="M119" s="166"/>
      <c r="N119" s="166"/>
    </row>
    <row r="120" spans="1:14" x14ac:dyDescent="0.3">
      <c r="A120" s="166"/>
      <c r="B120" s="166"/>
      <c r="C120" s="166"/>
      <c r="D120" s="166"/>
      <c r="E120" s="166"/>
      <c r="F120" s="166"/>
      <c r="G120" s="166"/>
      <c r="H120" s="166"/>
      <c r="I120" s="166"/>
      <c r="J120" s="166"/>
      <c r="K120" s="166"/>
      <c r="L120" s="166"/>
      <c r="M120" s="166"/>
      <c r="N120" s="166"/>
    </row>
    <row r="121" spans="1:14" x14ac:dyDescent="0.3">
      <c r="A121" s="166"/>
      <c r="B121" s="166"/>
      <c r="C121" s="166"/>
      <c r="D121" s="166"/>
      <c r="E121" s="166"/>
      <c r="F121" s="166"/>
      <c r="G121" s="166"/>
      <c r="H121" s="166"/>
      <c r="I121" s="166"/>
      <c r="J121" s="166"/>
      <c r="K121" s="166"/>
      <c r="L121" s="166"/>
      <c r="M121" s="166"/>
      <c r="N121" s="166"/>
    </row>
    <row r="122" spans="1:14" x14ac:dyDescent="0.3">
      <c r="A122" s="166"/>
      <c r="B122" s="166"/>
      <c r="C122" s="166"/>
      <c r="D122" s="166"/>
      <c r="E122" s="166"/>
      <c r="F122" s="166"/>
      <c r="G122" s="166"/>
      <c r="H122" s="166"/>
      <c r="I122" s="166"/>
      <c r="J122" s="166"/>
      <c r="K122" s="166"/>
      <c r="L122" s="166"/>
      <c r="M122" s="166"/>
      <c r="N122" s="166"/>
    </row>
    <row r="123" spans="1:14" x14ac:dyDescent="0.3">
      <c r="A123" s="166"/>
      <c r="B123" s="166"/>
      <c r="C123" s="166"/>
      <c r="D123" s="166"/>
      <c r="E123" s="166"/>
      <c r="F123" s="166"/>
      <c r="G123" s="166"/>
      <c r="H123" s="166"/>
      <c r="I123" s="166"/>
      <c r="J123" s="166"/>
      <c r="K123" s="166"/>
      <c r="L123" s="166"/>
      <c r="M123" s="166"/>
      <c r="N123" s="166"/>
    </row>
    <row r="124" spans="1:14" x14ac:dyDescent="0.3">
      <c r="A124" s="166"/>
      <c r="B124" s="166"/>
      <c r="C124" s="166"/>
      <c r="D124" s="166"/>
      <c r="E124" s="166"/>
      <c r="F124" s="166"/>
      <c r="G124" s="166"/>
      <c r="H124" s="166"/>
      <c r="I124" s="166"/>
      <c r="J124" s="166"/>
      <c r="K124" s="166"/>
      <c r="L124" s="166"/>
      <c r="M124" s="166"/>
      <c r="N124" s="166"/>
    </row>
    <row r="125" spans="1:14" x14ac:dyDescent="0.3">
      <c r="A125" s="166"/>
      <c r="B125" s="166"/>
      <c r="C125" s="166"/>
      <c r="D125" s="166"/>
      <c r="E125" s="166"/>
      <c r="F125" s="166"/>
      <c r="G125" s="166"/>
      <c r="H125" s="166"/>
      <c r="I125" s="166"/>
      <c r="J125" s="166"/>
      <c r="K125" s="166"/>
      <c r="L125" s="166"/>
      <c r="M125" s="166"/>
      <c r="N125" s="166"/>
    </row>
    <row r="126" spans="1:14" x14ac:dyDescent="0.3">
      <c r="A126" s="166"/>
      <c r="B126" s="166"/>
      <c r="C126" s="166"/>
      <c r="D126" s="166"/>
      <c r="E126" s="166"/>
      <c r="F126" s="166"/>
      <c r="G126" s="166"/>
      <c r="H126" s="166"/>
      <c r="I126" s="166"/>
      <c r="J126" s="166"/>
      <c r="K126" s="166"/>
      <c r="L126" s="166"/>
      <c r="M126" s="166"/>
      <c r="N126" s="166"/>
    </row>
    <row r="127" spans="1:14" x14ac:dyDescent="0.3">
      <c r="A127" s="166"/>
      <c r="B127" s="166"/>
      <c r="C127" s="166"/>
      <c r="D127" s="166"/>
      <c r="E127" s="166"/>
      <c r="F127" s="166"/>
      <c r="G127" s="166"/>
      <c r="H127" s="166"/>
      <c r="I127" s="166"/>
      <c r="J127" s="166"/>
      <c r="K127" s="166"/>
      <c r="L127" s="166"/>
      <c r="M127" s="166"/>
      <c r="N127" s="166"/>
    </row>
    <row r="128" spans="1:14" x14ac:dyDescent="0.3">
      <c r="A128" s="166"/>
      <c r="B128" s="166"/>
      <c r="C128" s="166"/>
      <c r="D128" s="166"/>
      <c r="E128" s="166"/>
      <c r="F128" s="166"/>
      <c r="G128" s="166"/>
      <c r="H128" s="166"/>
      <c r="I128" s="166"/>
      <c r="J128" s="166"/>
      <c r="K128" s="166"/>
      <c r="L128" s="166"/>
      <c r="M128" s="166"/>
      <c r="N128" s="166"/>
    </row>
    <row r="129" spans="1:14" x14ac:dyDescent="0.3">
      <c r="A129" s="166"/>
      <c r="B129" s="166"/>
      <c r="C129" s="166"/>
      <c r="D129" s="166"/>
      <c r="E129" s="166"/>
      <c r="F129" s="166"/>
      <c r="G129" s="166"/>
      <c r="H129" s="166"/>
      <c r="I129" s="166"/>
      <c r="J129" s="166"/>
      <c r="K129" s="166"/>
      <c r="L129" s="166"/>
      <c r="M129" s="166"/>
      <c r="N129" s="166"/>
    </row>
    <row r="130" spans="1:14" x14ac:dyDescent="0.3">
      <c r="A130" s="166"/>
      <c r="B130" s="166"/>
      <c r="C130" s="166"/>
      <c r="D130" s="166"/>
      <c r="E130" s="166"/>
      <c r="F130" s="166"/>
      <c r="G130" s="166"/>
      <c r="H130" s="166"/>
      <c r="I130" s="166"/>
      <c r="J130" s="166"/>
      <c r="K130" s="166"/>
      <c r="L130" s="166"/>
      <c r="M130" s="166"/>
      <c r="N130" s="166"/>
    </row>
    <row r="131" spans="1:14" x14ac:dyDescent="0.3">
      <c r="A131" s="166"/>
      <c r="B131" s="166"/>
      <c r="C131" s="166"/>
      <c r="D131" s="166"/>
      <c r="E131" s="166"/>
      <c r="F131" s="166"/>
      <c r="G131" s="166"/>
      <c r="H131" s="166"/>
      <c r="I131" s="166"/>
      <c r="J131" s="166"/>
      <c r="K131" s="166"/>
      <c r="L131" s="166"/>
      <c r="M131" s="166"/>
      <c r="N131" s="166"/>
    </row>
    <row r="132" spans="1:14" x14ac:dyDescent="0.3">
      <c r="A132" s="166"/>
      <c r="B132" s="166"/>
      <c r="C132" s="166"/>
      <c r="D132" s="166"/>
      <c r="E132" s="166"/>
      <c r="F132" s="166"/>
      <c r="G132" s="166"/>
      <c r="H132" s="166"/>
      <c r="I132" s="166"/>
      <c r="J132" s="166"/>
      <c r="K132" s="166"/>
      <c r="L132" s="166"/>
      <c r="M132" s="166"/>
      <c r="N132" s="166"/>
    </row>
    <row r="133" spans="1:14" x14ac:dyDescent="0.3">
      <c r="A133" s="166"/>
      <c r="B133" s="166"/>
      <c r="C133" s="166"/>
      <c r="D133" s="166"/>
      <c r="E133" s="166"/>
      <c r="F133" s="166"/>
      <c r="G133" s="166"/>
      <c r="H133" s="166"/>
      <c r="I133" s="166"/>
      <c r="J133" s="166"/>
      <c r="K133" s="166"/>
      <c r="L133" s="166"/>
      <c r="M133" s="166"/>
      <c r="N133" s="166"/>
    </row>
    <row r="134" spans="1:14" x14ac:dyDescent="0.3">
      <c r="A134" s="166"/>
      <c r="B134" s="166"/>
      <c r="C134" s="166"/>
      <c r="D134" s="166"/>
      <c r="E134" s="166"/>
      <c r="F134" s="166"/>
      <c r="G134" s="166"/>
      <c r="H134" s="166"/>
      <c r="I134" s="166"/>
      <c r="J134" s="166"/>
      <c r="K134" s="166"/>
      <c r="L134" s="166"/>
      <c r="M134" s="166"/>
      <c r="N134" s="166"/>
    </row>
    <row r="135" spans="1:14" x14ac:dyDescent="0.3">
      <c r="A135" s="166"/>
      <c r="B135" s="166"/>
      <c r="C135" s="166"/>
      <c r="D135" s="166"/>
      <c r="E135" s="166"/>
      <c r="F135" s="166"/>
      <c r="G135" s="166"/>
      <c r="H135" s="166"/>
      <c r="I135" s="166"/>
      <c r="J135" s="166"/>
      <c r="K135" s="166"/>
      <c r="L135" s="166"/>
      <c r="M135" s="166"/>
      <c r="N135" s="166"/>
    </row>
    <row r="136" spans="1:14" x14ac:dyDescent="0.3">
      <c r="A136" s="166"/>
      <c r="B136" s="166"/>
      <c r="C136" s="166"/>
      <c r="D136" s="166"/>
      <c r="E136" s="166"/>
      <c r="F136" s="166"/>
      <c r="G136" s="166"/>
      <c r="H136" s="166"/>
      <c r="I136" s="166"/>
      <c r="J136" s="166"/>
      <c r="K136" s="166"/>
      <c r="L136" s="166"/>
      <c r="M136" s="166"/>
      <c r="N136" s="166"/>
    </row>
    <row r="137" spans="1:14" x14ac:dyDescent="0.3">
      <c r="A137" s="166"/>
      <c r="B137" s="166"/>
      <c r="C137" s="166"/>
      <c r="D137" s="166"/>
      <c r="E137" s="166"/>
      <c r="F137" s="166"/>
      <c r="G137" s="166"/>
      <c r="H137" s="166"/>
      <c r="I137" s="166"/>
      <c r="J137" s="166"/>
      <c r="K137" s="166"/>
      <c r="L137" s="166"/>
      <c r="M137" s="166"/>
      <c r="N137" s="166"/>
    </row>
    <row r="138" spans="1:14" x14ac:dyDescent="0.3">
      <c r="A138" s="166"/>
      <c r="B138" s="166"/>
      <c r="C138" s="166"/>
      <c r="D138" s="166"/>
      <c r="E138" s="166"/>
      <c r="F138" s="166"/>
      <c r="G138" s="166"/>
      <c r="H138" s="166"/>
      <c r="I138" s="166"/>
      <c r="J138" s="166"/>
      <c r="K138" s="166"/>
      <c r="L138" s="166"/>
      <c r="M138" s="166"/>
      <c r="N138" s="166"/>
    </row>
    <row r="139" spans="1:14" x14ac:dyDescent="0.3">
      <c r="A139" s="166"/>
      <c r="B139" s="166"/>
      <c r="C139" s="166"/>
      <c r="D139" s="166"/>
      <c r="E139" s="166"/>
      <c r="F139" s="166"/>
      <c r="G139" s="166"/>
      <c r="H139" s="166"/>
      <c r="I139" s="166"/>
      <c r="J139" s="166"/>
      <c r="K139" s="166"/>
      <c r="L139" s="166"/>
      <c r="M139" s="166"/>
      <c r="N139" s="166"/>
    </row>
    <row r="140" spans="1:14" x14ac:dyDescent="0.3">
      <c r="A140" s="166"/>
      <c r="B140" s="166"/>
      <c r="C140" s="166"/>
      <c r="D140" s="166"/>
      <c r="E140" s="166"/>
      <c r="F140" s="166"/>
      <c r="G140" s="166"/>
      <c r="H140" s="166"/>
      <c r="I140" s="166"/>
      <c r="J140" s="166"/>
      <c r="K140" s="166"/>
      <c r="L140" s="166"/>
      <c r="M140" s="166"/>
      <c r="N140" s="166"/>
    </row>
    <row r="141" spans="1:14" x14ac:dyDescent="0.3">
      <c r="A141" s="166"/>
      <c r="B141" s="166"/>
      <c r="C141" s="166"/>
      <c r="D141" s="166"/>
      <c r="E141" s="166"/>
      <c r="F141" s="166"/>
      <c r="G141" s="166"/>
      <c r="H141" s="166"/>
      <c r="I141" s="166"/>
      <c r="J141" s="166"/>
      <c r="K141" s="166"/>
      <c r="L141" s="166"/>
      <c r="M141" s="166"/>
      <c r="N141" s="166"/>
    </row>
    <row r="142" spans="1:14" x14ac:dyDescent="0.3">
      <c r="A142" s="166"/>
      <c r="B142" s="166"/>
      <c r="C142" s="166"/>
      <c r="D142" s="166"/>
      <c r="E142" s="166"/>
      <c r="F142" s="166"/>
      <c r="G142" s="166"/>
      <c r="H142" s="166"/>
      <c r="I142" s="166"/>
      <c r="J142" s="166"/>
      <c r="K142" s="166"/>
      <c r="L142" s="166"/>
      <c r="M142" s="166"/>
      <c r="N142" s="166"/>
    </row>
    <row r="143" spans="1:14" x14ac:dyDescent="0.3">
      <c r="A143" s="166"/>
      <c r="B143" s="166"/>
      <c r="C143" s="166"/>
      <c r="D143" s="166"/>
      <c r="E143" s="166"/>
      <c r="F143" s="166"/>
      <c r="G143" s="166"/>
      <c r="H143" s="166"/>
      <c r="I143" s="166"/>
      <c r="J143" s="166"/>
      <c r="K143" s="166"/>
      <c r="L143" s="166"/>
      <c r="M143" s="166"/>
      <c r="N143" s="166"/>
    </row>
    <row r="144" spans="1:14" x14ac:dyDescent="0.3">
      <c r="A144" s="166"/>
      <c r="B144" s="166"/>
      <c r="C144" s="166"/>
      <c r="D144" s="166"/>
      <c r="E144" s="166"/>
      <c r="F144" s="166"/>
      <c r="G144" s="166"/>
      <c r="H144" s="166"/>
      <c r="I144" s="166"/>
      <c r="J144" s="166"/>
      <c r="K144" s="166"/>
      <c r="L144" s="166"/>
      <c r="M144" s="166"/>
      <c r="N144" s="166"/>
    </row>
    <row r="145" spans="1:14" x14ac:dyDescent="0.3">
      <c r="A145" s="166"/>
      <c r="B145" s="166"/>
      <c r="C145" s="166"/>
      <c r="D145" s="166"/>
      <c r="E145" s="166"/>
      <c r="F145" s="166"/>
      <c r="G145" s="166"/>
      <c r="H145" s="166"/>
      <c r="I145" s="166"/>
      <c r="J145" s="166"/>
      <c r="K145" s="166"/>
      <c r="L145" s="166"/>
      <c r="M145" s="166"/>
      <c r="N145" s="166"/>
    </row>
    <row r="146" spans="1:14" x14ac:dyDescent="0.3">
      <c r="A146" s="166"/>
      <c r="B146" s="166"/>
      <c r="C146" s="166"/>
      <c r="D146" s="166"/>
      <c r="E146" s="166"/>
      <c r="F146" s="166"/>
      <c r="G146" s="166"/>
      <c r="H146" s="166"/>
      <c r="I146" s="166"/>
      <c r="J146" s="166"/>
      <c r="K146" s="166"/>
      <c r="L146" s="166"/>
      <c r="M146" s="166"/>
      <c r="N146" s="166"/>
    </row>
    <row r="147" spans="1:14" x14ac:dyDescent="0.3">
      <c r="A147" s="166"/>
      <c r="B147" s="166"/>
      <c r="C147" s="166"/>
      <c r="D147" s="166"/>
      <c r="E147" s="166"/>
      <c r="F147" s="166"/>
      <c r="G147" s="166"/>
      <c r="H147" s="166"/>
      <c r="I147" s="166"/>
      <c r="J147" s="166"/>
      <c r="K147" s="166"/>
      <c r="L147" s="166"/>
      <c r="M147" s="166"/>
      <c r="N147" s="166"/>
    </row>
    <row r="148" spans="1:14" x14ac:dyDescent="0.3">
      <c r="A148" s="166"/>
      <c r="B148" s="166"/>
      <c r="C148" s="166"/>
      <c r="D148" s="166"/>
      <c r="E148" s="166"/>
      <c r="F148" s="166"/>
      <c r="G148" s="166"/>
      <c r="H148" s="166"/>
      <c r="I148" s="166"/>
      <c r="J148" s="166"/>
      <c r="K148" s="166"/>
      <c r="L148" s="166"/>
      <c r="M148" s="166"/>
      <c r="N148" s="166"/>
    </row>
    <row r="149" spans="1:14" x14ac:dyDescent="0.3">
      <c r="A149" s="166"/>
      <c r="B149" s="166"/>
      <c r="C149" s="166"/>
      <c r="D149" s="166"/>
      <c r="E149" s="166"/>
      <c r="F149" s="166"/>
      <c r="G149" s="166"/>
      <c r="H149" s="166"/>
      <c r="I149" s="166"/>
      <c r="J149" s="166"/>
      <c r="K149" s="166"/>
      <c r="L149" s="166"/>
      <c r="M149" s="166"/>
      <c r="N149" s="166"/>
    </row>
    <row r="150" spans="1:14" x14ac:dyDescent="0.3">
      <c r="A150" s="166"/>
      <c r="B150" s="166"/>
      <c r="C150" s="166"/>
      <c r="D150" s="166"/>
      <c r="E150" s="166"/>
      <c r="F150" s="166"/>
      <c r="G150" s="166"/>
      <c r="H150" s="166"/>
      <c r="I150" s="166"/>
      <c r="J150" s="166"/>
      <c r="K150" s="166"/>
      <c r="L150" s="166"/>
      <c r="M150" s="166"/>
      <c r="N150" s="166"/>
    </row>
    <row r="151" spans="1:14" x14ac:dyDescent="0.3">
      <c r="A151" s="166"/>
      <c r="B151" s="166"/>
      <c r="C151" s="166"/>
      <c r="D151" s="166"/>
      <c r="E151" s="166"/>
      <c r="F151" s="166"/>
      <c r="G151" s="166"/>
      <c r="H151" s="166"/>
      <c r="I151" s="166"/>
      <c r="J151" s="166"/>
      <c r="K151" s="166"/>
      <c r="L151" s="166"/>
      <c r="M151" s="166"/>
      <c r="N151" s="166"/>
    </row>
    <row r="152" spans="1:14" x14ac:dyDescent="0.3">
      <c r="A152" s="166"/>
      <c r="B152" s="166"/>
      <c r="C152" s="166"/>
      <c r="D152" s="166"/>
      <c r="E152" s="166"/>
      <c r="F152" s="166"/>
      <c r="G152" s="166"/>
      <c r="H152" s="166"/>
      <c r="I152" s="166"/>
      <c r="J152" s="166"/>
      <c r="K152" s="166"/>
      <c r="L152" s="166"/>
      <c r="M152" s="166"/>
      <c r="N152" s="166"/>
    </row>
    <row r="153" spans="1:14" x14ac:dyDescent="0.3">
      <c r="A153" s="166"/>
      <c r="B153" s="166"/>
      <c r="C153" s="166"/>
      <c r="D153" s="166"/>
      <c r="E153" s="166"/>
      <c r="F153" s="166"/>
      <c r="G153" s="166"/>
      <c r="H153" s="166"/>
      <c r="I153" s="166"/>
      <c r="J153" s="166"/>
      <c r="K153" s="166"/>
      <c r="L153" s="166"/>
      <c r="M153" s="166"/>
      <c r="N153" s="166"/>
    </row>
    <row r="154" spans="1:14" x14ac:dyDescent="0.3">
      <c r="A154" s="166"/>
      <c r="B154" s="166"/>
      <c r="C154" s="166"/>
      <c r="D154" s="166"/>
      <c r="E154" s="166"/>
      <c r="F154" s="166"/>
      <c r="G154" s="166"/>
      <c r="H154" s="166"/>
      <c r="I154" s="166"/>
      <c r="J154" s="166"/>
      <c r="K154" s="166"/>
      <c r="L154" s="166"/>
      <c r="M154" s="166"/>
      <c r="N154" s="166"/>
    </row>
    <row r="155" spans="1:14" x14ac:dyDescent="0.3">
      <c r="A155" s="166"/>
      <c r="B155" s="166"/>
      <c r="C155" s="166"/>
      <c r="D155" s="166"/>
      <c r="E155" s="166"/>
      <c r="F155" s="166"/>
      <c r="G155" s="166"/>
      <c r="H155" s="166"/>
      <c r="I155" s="166"/>
      <c r="J155" s="166"/>
      <c r="K155" s="166"/>
      <c r="L155" s="166"/>
      <c r="M155" s="166"/>
      <c r="N155" s="166"/>
    </row>
    <row r="156" spans="1:14" x14ac:dyDescent="0.3">
      <c r="A156" s="166"/>
      <c r="B156" s="166"/>
      <c r="C156" s="166"/>
      <c r="D156" s="166"/>
      <c r="E156" s="166"/>
      <c r="F156" s="166"/>
      <c r="G156" s="166"/>
      <c r="H156" s="166"/>
      <c r="I156" s="166"/>
      <c r="J156" s="166"/>
      <c r="K156" s="166"/>
      <c r="L156" s="166"/>
      <c r="M156" s="166"/>
      <c r="N156" s="166"/>
    </row>
    <row r="157" spans="1:14" x14ac:dyDescent="0.3">
      <c r="A157" s="166"/>
      <c r="B157" s="166"/>
      <c r="C157" s="166"/>
      <c r="D157" s="166"/>
      <c r="E157" s="166"/>
      <c r="F157" s="166"/>
      <c r="G157" s="166"/>
      <c r="H157" s="166"/>
      <c r="I157" s="166"/>
      <c r="J157" s="166"/>
      <c r="K157" s="166"/>
      <c r="L157" s="166"/>
      <c r="M157" s="166"/>
      <c r="N157" s="166"/>
    </row>
    <row r="158" spans="1:14" x14ac:dyDescent="0.3">
      <c r="A158" s="166"/>
      <c r="B158" s="166"/>
      <c r="C158" s="166"/>
      <c r="D158" s="166"/>
      <c r="E158" s="166"/>
      <c r="F158" s="166"/>
      <c r="G158" s="166"/>
      <c r="H158" s="166"/>
      <c r="I158" s="166"/>
      <c r="J158" s="166"/>
      <c r="K158" s="166"/>
      <c r="L158" s="166"/>
      <c r="M158" s="166"/>
      <c r="N158" s="166"/>
    </row>
    <row r="159" spans="1:14" x14ac:dyDescent="0.3">
      <c r="A159" s="166"/>
      <c r="B159" s="166"/>
      <c r="C159" s="166"/>
      <c r="D159" s="166"/>
      <c r="E159" s="166"/>
      <c r="F159" s="166"/>
      <c r="G159" s="166"/>
      <c r="H159" s="166"/>
      <c r="I159" s="166"/>
      <c r="J159" s="166"/>
      <c r="K159" s="166"/>
      <c r="L159" s="166"/>
      <c r="M159" s="166"/>
      <c r="N159" s="166"/>
    </row>
    <row r="160" spans="1:14" x14ac:dyDescent="0.3">
      <c r="A160" s="166"/>
      <c r="B160" s="166"/>
      <c r="C160" s="166"/>
      <c r="D160" s="166"/>
      <c r="E160" s="166"/>
      <c r="F160" s="166"/>
      <c r="G160" s="166"/>
      <c r="H160" s="166"/>
      <c r="I160" s="166"/>
      <c r="J160" s="166"/>
      <c r="K160" s="166"/>
      <c r="L160" s="166"/>
      <c r="M160" s="166"/>
      <c r="N160" s="166"/>
    </row>
    <row r="161" spans="1:14" x14ac:dyDescent="0.3">
      <c r="A161" s="166"/>
      <c r="B161" s="166"/>
      <c r="C161" s="166"/>
      <c r="D161" s="166"/>
      <c r="E161" s="166"/>
      <c r="F161" s="166"/>
      <c r="G161" s="166"/>
      <c r="H161" s="166"/>
      <c r="I161" s="166"/>
      <c r="J161" s="166"/>
      <c r="K161" s="166"/>
      <c r="L161" s="166"/>
      <c r="M161" s="166"/>
      <c r="N161" s="166"/>
    </row>
    <row r="162" spans="1:14" x14ac:dyDescent="0.3">
      <c r="A162" s="166"/>
      <c r="B162" s="166"/>
      <c r="C162" s="166"/>
      <c r="D162" s="166"/>
      <c r="E162" s="166"/>
      <c r="F162" s="166"/>
      <c r="G162" s="166"/>
      <c r="H162" s="166"/>
      <c r="I162" s="166"/>
      <c r="J162" s="166"/>
      <c r="K162" s="166"/>
      <c r="L162" s="166"/>
      <c r="M162" s="166"/>
      <c r="N162" s="166"/>
    </row>
    <row r="163" spans="1:14" x14ac:dyDescent="0.3">
      <c r="A163" s="166"/>
      <c r="B163" s="166"/>
      <c r="C163" s="166"/>
      <c r="D163" s="166"/>
      <c r="E163" s="166"/>
      <c r="F163" s="166"/>
      <c r="G163" s="166"/>
      <c r="H163" s="166"/>
      <c r="I163" s="166"/>
      <c r="J163" s="166"/>
      <c r="K163" s="166"/>
      <c r="L163" s="166"/>
      <c r="M163" s="166"/>
      <c r="N163" s="166"/>
    </row>
    <row r="164" spans="1:14" x14ac:dyDescent="0.3">
      <c r="A164" s="166"/>
      <c r="B164" s="166"/>
      <c r="C164" s="166"/>
      <c r="D164" s="166"/>
      <c r="E164" s="166"/>
      <c r="F164" s="166"/>
      <c r="G164" s="166"/>
      <c r="H164" s="166"/>
      <c r="I164" s="166"/>
      <c r="J164" s="166"/>
      <c r="K164" s="166"/>
      <c r="L164" s="166"/>
      <c r="M164" s="166"/>
      <c r="N164" s="166"/>
    </row>
    <row r="165" spans="1:14" x14ac:dyDescent="0.3">
      <c r="A165" s="166"/>
      <c r="B165" s="166"/>
      <c r="C165" s="166"/>
      <c r="D165" s="166"/>
      <c r="E165" s="166"/>
      <c r="F165" s="166"/>
      <c r="G165" s="166"/>
      <c r="H165" s="166"/>
      <c r="I165" s="166"/>
      <c r="J165" s="166"/>
      <c r="K165" s="166"/>
      <c r="L165" s="166"/>
      <c r="M165" s="166"/>
      <c r="N165" s="166"/>
    </row>
    <row r="166" spans="1:14" x14ac:dyDescent="0.3">
      <c r="A166" s="166"/>
      <c r="B166" s="166"/>
      <c r="C166" s="166"/>
      <c r="D166" s="166"/>
      <c r="E166" s="166"/>
      <c r="F166" s="166"/>
      <c r="G166" s="166"/>
      <c r="H166" s="166"/>
      <c r="I166" s="166"/>
      <c r="J166" s="166"/>
      <c r="K166" s="166"/>
      <c r="L166" s="166"/>
      <c r="M166" s="166"/>
      <c r="N166" s="166"/>
    </row>
    <row r="167" spans="1:14" x14ac:dyDescent="0.3">
      <c r="A167" s="166"/>
      <c r="B167" s="166"/>
      <c r="C167" s="166"/>
      <c r="D167" s="166"/>
      <c r="E167" s="166"/>
      <c r="F167" s="166"/>
      <c r="G167" s="166"/>
      <c r="H167" s="166"/>
      <c r="I167" s="166"/>
      <c r="J167" s="166"/>
      <c r="K167" s="166"/>
      <c r="L167" s="166"/>
      <c r="M167" s="166"/>
      <c r="N167" s="166"/>
    </row>
    <row r="168" spans="1:14" x14ac:dyDescent="0.3">
      <c r="A168" s="166"/>
      <c r="B168" s="166"/>
      <c r="C168" s="166"/>
      <c r="D168" s="166"/>
      <c r="E168" s="166"/>
      <c r="F168" s="166"/>
      <c r="G168" s="166"/>
      <c r="H168" s="166"/>
      <c r="I168" s="166"/>
      <c r="J168" s="166"/>
      <c r="K168" s="166"/>
      <c r="L168" s="166"/>
      <c r="M168" s="166"/>
      <c r="N168" s="166"/>
    </row>
    <row r="169" spans="1:14" x14ac:dyDescent="0.3">
      <c r="A169" s="166"/>
      <c r="B169" s="166"/>
      <c r="C169" s="166"/>
      <c r="D169" s="166"/>
      <c r="E169" s="166"/>
      <c r="F169" s="166"/>
      <c r="G169" s="166"/>
      <c r="H169" s="166"/>
      <c r="I169" s="166"/>
      <c r="J169" s="166"/>
      <c r="K169" s="166"/>
      <c r="L169" s="166"/>
      <c r="M169" s="166"/>
      <c r="N169" s="166"/>
    </row>
    <row r="170" spans="1:14" x14ac:dyDescent="0.3">
      <c r="A170" s="166"/>
      <c r="B170" s="166"/>
      <c r="C170" s="166"/>
      <c r="D170" s="166"/>
      <c r="E170" s="166"/>
      <c r="F170" s="166"/>
      <c r="G170" s="166"/>
      <c r="H170" s="166"/>
      <c r="I170" s="166"/>
      <c r="J170" s="166"/>
      <c r="K170" s="166"/>
      <c r="L170" s="166"/>
      <c r="M170" s="166"/>
      <c r="N170" s="166"/>
    </row>
    <row r="171" spans="1:14" x14ac:dyDescent="0.3">
      <c r="A171" s="166"/>
      <c r="B171" s="166"/>
      <c r="C171" s="166"/>
      <c r="D171" s="166"/>
      <c r="E171" s="166"/>
      <c r="F171" s="166"/>
      <c r="G171" s="166"/>
      <c r="H171" s="166"/>
      <c r="I171" s="166"/>
      <c r="J171" s="166"/>
      <c r="K171" s="166"/>
      <c r="L171" s="166"/>
      <c r="M171" s="166"/>
      <c r="N171" s="166"/>
    </row>
    <row r="172" spans="1:14" x14ac:dyDescent="0.3">
      <c r="A172" s="166"/>
      <c r="B172" s="166"/>
      <c r="C172" s="166"/>
      <c r="D172" s="166"/>
      <c r="E172" s="166"/>
      <c r="F172" s="166"/>
      <c r="G172" s="166"/>
      <c r="H172" s="166"/>
      <c r="I172" s="166"/>
      <c r="J172" s="166"/>
      <c r="K172" s="166"/>
      <c r="L172" s="166"/>
      <c r="M172" s="166"/>
      <c r="N172" s="166"/>
    </row>
    <row r="173" spans="1:14" x14ac:dyDescent="0.3">
      <c r="A173" s="166"/>
      <c r="B173" s="166"/>
      <c r="C173" s="166"/>
      <c r="D173" s="166"/>
      <c r="E173" s="166"/>
      <c r="F173" s="166"/>
      <c r="G173" s="166"/>
      <c r="H173" s="166"/>
      <c r="I173" s="166"/>
      <c r="J173" s="166"/>
      <c r="K173" s="166"/>
      <c r="L173" s="166"/>
      <c r="M173" s="166"/>
      <c r="N173" s="166"/>
    </row>
    <row r="174" spans="1:14" x14ac:dyDescent="0.3">
      <c r="A174" s="166"/>
      <c r="B174" s="166"/>
      <c r="C174" s="166"/>
      <c r="D174" s="166"/>
      <c r="E174" s="166"/>
      <c r="F174" s="166"/>
      <c r="G174" s="166"/>
      <c r="H174" s="166"/>
      <c r="I174" s="166"/>
      <c r="J174" s="166"/>
      <c r="K174" s="166"/>
      <c r="L174" s="166"/>
      <c r="M174" s="166"/>
      <c r="N174" s="166"/>
    </row>
    <row r="175" spans="1:14" x14ac:dyDescent="0.3">
      <c r="A175" s="166"/>
      <c r="B175" s="166"/>
      <c r="C175" s="166"/>
      <c r="D175" s="166"/>
      <c r="E175" s="166"/>
      <c r="F175" s="166"/>
      <c r="G175" s="166"/>
      <c r="H175" s="166"/>
      <c r="I175" s="166"/>
      <c r="J175" s="166"/>
      <c r="K175" s="166"/>
      <c r="L175" s="166"/>
      <c r="M175" s="166"/>
      <c r="N175" s="166"/>
    </row>
    <row r="176" spans="1:14" x14ac:dyDescent="0.3">
      <c r="A176" s="166"/>
      <c r="B176" s="166"/>
      <c r="C176" s="166"/>
      <c r="D176" s="166"/>
      <c r="E176" s="166"/>
      <c r="F176" s="166"/>
      <c r="G176" s="166"/>
      <c r="H176" s="166"/>
      <c r="I176" s="166"/>
      <c r="J176" s="166"/>
      <c r="K176" s="166"/>
      <c r="L176" s="166"/>
      <c r="M176" s="166"/>
      <c r="N176" s="166"/>
    </row>
    <row r="177" spans="1:14" x14ac:dyDescent="0.3">
      <c r="A177" s="166"/>
      <c r="B177" s="166"/>
      <c r="C177" s="166"/>
      <c r="D177" s="166"/>
      <c r="E177" s="166"/>
      <c r="F177" s="166"/>
      <c r="G177" s="166"/>
      <c r="H177" s="166"/>
      <c r="I177" s="166"/>
      <c r="J177" s="166"/>
      <c r="K177" s="166"/>
      <c r="L177" s="166"/>
      <c r="M177" s="166"/>
      <c r="N177" s="166"/>
    </row>
    <row r="178" spans="1:14" x14ac:dyDescent="0.3">
      <c r="A178" s="166"/>
      <c r="B178" s="166"/>
      <c r="C178" s="166"/>
      <c r="D178" s="166"/>
      <c r="E178" s="166"/>
      <c r="F178" s="166"/>
      <c r="G178" s="166"/>
      <c r="H178" s="166"/>
      <c r="I178" s="166"/>
      <c r="J178" s="166"/>
      <c r="K178" s="166"/>
      <c r="L178" s="166"/>
      <c r="M178" s="166"/>
      <c r="N178" s="166"/>
    </row>
    <row r="179" spans="1:14" x14ac:dyDescent="0.3">
      <c r="A179" s="166"/>
      <c r="B179" s="166"/>
      <c r="C179" s="166"/>
      <c r="D179" s="166"/>
      <c r="E179" s="166"/>
      <c r="F179" s="166"/>
      <c r="G179" s="166"/>
      <c r="H179" s="166"/>
      <c r="I179" s="166"/>
      <c r="J179" s="166"/>
      <c r="K179" s="166"/>
      <c r="L179" s="166"/>
      <c r="M179" s="166"/>
      <c r="N179" s="166"/>
    </row>
    <row r="180" spans="1:14" x14ac:dyDescent="0.3">
      <c r="A180" s="166"/>
      <c r="B180" s="166"/>
      <c r="C180" s="166"/>
      <c r="D180" s="166"/>
      <c r="E180" s="166"/>
      <c r="F180" s="166"/>
      <c r="G180" s="166"/>
      <c r="H180" s="166"/>
      <c r="I180" s="166"/>
      <c r="J180" s="166"/>
      <c r="K180" s="166"/>
      <c r="L180" s="166"/>
      <c r="M180" s="166"/>
      <c r="N180" s="166"/>
    </row>
    <row r="181" spans="1:14" x14ac:dyDescent="0.3">
      <c r="A181" s="166"/>
      <c r="B181" s="166"/>
      <c r="C181" s="166"/>
      <c r="D181" s="166"/>
      <c r="E181" s="166"/>
      <c r="F181" s="166"/>
      <c r="G181" s="166"/>
      <c r="H181" s="166"/>
      <c r="I181" s="166"/>
      <c r="J181" s="166"/>
      <c r="K181" s="166"/>
      <c r="L181" s="166"/>
      <c r="M181" s="166"/>
      <c r="N181" s="166"/>
    </row>
    <row r="182" spans="1:14" x14ac:dyDescent="0.3">
      <c r="A182" s="166"/>
      <c r="B182" s="166"/>
      <c r="C182" s="166"/>
      <c r="D182" s="166"/>
      <c r="E182" s="166"/>
      <c r="F182" s="166"/>
      <c r="G182" s="166"/>
      <c r="H182" s="166"/>
      <c r="I182" s="166"/>
      <c r="J182" s="166"/>
      <c r="K182" s="166"/>
      <c r="L182" s="166"/>
      <c r="M182" s="166"/>
      <c r="N182" s="166"/>
    </row>
    <row r="183" spans="1:14" x14ac:dyDescent="0.3">
      <c r="A183" s="166"/>
      <c r="B183" s="166"/>
      <c r="C183" s="166"/>
      <c r="D183" s="166"/>
      <c r="E183" s="166"/>
      <c r="F183" s="166"/>
      <c r="G183" s="166"/>
      <c r="H183" s="166"/>
      <c r="I183" s="166"/>
      <c r="J183" s="166"/>
      <c r="K183" s="166"/>
      <c r="L183" s="166"/>
      <c r="M183" s="166"/>
      <c r="N183" s="166"/>
    </row>
    <row r="184" spans="1:14" x14ac:dyDescent="0.3">
      <c r="A184" s="166"/>
      <c r="B184" s="166"/>
      <c r="C184" s="166"/>
      <c r="D184" s="166"/>
      <c r="E184" s="166"/>
      <c r="F184" s="166"/>
      <c r="G184" s="166"/>
      <c r="H184" s="166"/>
      <c r="I184" s="166"/>
      <c r="J184" s="166"/>
      <c r="K184" s="166"/>
      <c r="L184" s="166"/>
      <c r="M184" s="166"/>
      <c r="N184" s="166"/>
    </row>
    <row r="185" spans="1:14" x14ac:dyDescent="0.3">
      <c r="A185" s="166"/>
      <c r="B185" s="166"/>
      <c r="C185" s="166"/>
      <c r="D185" s="166"/>
      <c r="E185" s="166"/>
      <c r="F185" s="166"/>
      <c r="G185" s="166"/>
      <c r="H185" s="166"/>
      <c r="I185" s="166"/>
      <c r="J185" s="166"/>
      <c r="K185" s="166"/>
      <c r="L185" s="166"/>
      <c r="M185" s="166"/>
      <c r="N185" s="166"/>
    </row>
    <row r="186" spans="1:14" x14ac:dyDescent="0.3">
      <c r="A186" s="166"/>
      <c r="B186" s="166"/>
      <c r="C186" s="166"/>
      <c r="D186" s="166"/>
      <c r="E186" s="166"/>
      <c r="F186" s="166"/>
      <c r="G186" s="166"/>
      <c r="H186" s="166"/>
      <c r="I186" s="166"/>
      <c r="J186" s="166"/>
      <c r="K186" s="166"/>
      <c r="L186" s="166"/>
      <c r="M186" s="166"/>
      <c r="N186" s="166"/>
    </row>
    <row r="187" spans="1:14" x14ac:dyDescent="0.3">
      <c r="A187" s="166"/>
      <c r="B187" s="166"/>
      <c r="C187" s="166"/>
      <c r="D187" s="166"/>
      <c r="E187" s="166"/>
      <c r="F187" s="166"/>
      <c r="G187" s="166"/>
      <c r="H187" s="166"/>
      <c r="I187" s="166"/>
      <c r="J187" s="166"/>
      <c r="K187" s="166"/>
      <c r="L187" s="166"/>
      <c r="M187" s="166"/>
      <c r="N187" s="166"/>
    </row>
    <row r="188" spans="1:14" x14ac:dyDescent="0.3">
      <c r="A188" s="166"/>
      <c r="B188" s="166"/>
      <c r="C188" s="166"/>
      <c r="D188" s="166"/>
      <c r="E188" s="166"/>
      <c r="F188" s="166"/>
      <c r="G188" s="166"/>
      <c r="H188" s="166"/>
      <c r="I188" s="166"/>
      <c r="J188" s="166"/>
      <c r="K188" s="166"/>
      <c r="L188" s="166"/>
      <c r="M188" s="166"/>
      <c r="N188" s="166"/>
    </row>
    <row r="189" spans="1:14" x14ac:dyDescent="0.3">
      <c r="A189" s="166"/>
      <c r="B189" s="166"/>
      <c r="C189" s="166"/>
      <c r="D189" s="166"/>
      <c r="E189" s="166"/>
      <c r="F189" s="166"/>
      <c r="G189" s="166"/>
      <c r="H189" s="166"/>
      <c r="I189" s="166"/>
      <c r="J189" s="166"/>
      <c r="K189" s="166"/>
      <c r="L189" s="166"/>
      <c r="M189" s="166"/>
      <c r="N189" s="166"/>
    </row>
    <row r="190" spans="1:14" x14ac:dyDescent="0.3">
      <c r="A190" s="166"/>
      <c r="B190" s="166"/>
      <c r="C190" s="166"/>
      <c r="D190" s="166"/>
      <c r="E190" s="166"/>
      <c r="F190" s="166"/>
      <c r="G190" s="166"/>
      <c r="H190" s="166"/>
      <c r="I190" s="166"/>
      <c r="J190" s="166"/>
      <c r="K190" s="166"/>
      <c r="L190" s="166"/>
      <c r="M190" s="166"/>
      <c r="N190" s="166"/>
    </row>
    <row r="191" spans="1:14" x14ac:dyDescent="0.3">
      <c r="A191" s="166"/>
      <c r="B191" s="166"/>
      <c r="C191" s="166"/>
      <c r="D191" s="166"/>
      <c r="E191" s="166"/>
      <c r="F191" s="166"/>
      <c r="G191" s="166"/>
      <c r="H191" s="166"/>
      <c r="I191" s="166"/>
      <c r="J191" s="166"/>
      <c r="K191" s="166"/>
      <c r="L191" s="166"/>
      <c r="M191" s="166"/>
      <c r="N191" s="166"/>
    </row>
    <row r="192" spans="1:14" x14ac:dyDescent="0.3">
      <c r="A192" s="166"/>
      <c r="B192" s="166"/>
      <c r="C192" s="166"/>
      <c r="D192" s="166"/>
      <c r="E192" s="166"/>
      <c r="F192" s="166"/>
      <c r="G192" s="166"/>
      <c r="H192" s="166"/>
      <c r="I192" s="166"/>
      <c r="J192" s="166"/>
      <c r="K192" s="166"/>
      <c r="L192" s="166"/>
      <c r="M192" s="166"/>
      <c r="N192" s="166"/>
    </row>
    <row r="193" spans="1:14" x14ac:dyDescent="0.3">
      <c r="A193" s="166"/>
      <c r="B193" s="166"/>
      <c r="C193" s="166"/>
      <c r="D193" s="166"/>
      <c r="E193" s="166"/>
      <c r="F193" s="166"/>
      <c r="G193" s="166"/>
      <c r="H193" s="166"/>
      <c r="I193" s="166"/>
      <c r="J193" s="166"/>
      <c r="K193" s="166"/>
      <c r="L193" s="166"/>
      <c r="M193" s="166"/>
      <c r="N193" s="166"/>
    </row>
    <row r="194" spans="1:14" x14ac:dyDescent="0.3">
      <c r="A194" s="166"/>
      <c r="B194" s="166"/>
      <c r="C194" s="166"/>
      <c r="D194" s="166"/>
      <c r="E194" s="166"/>
      <c r="F194" s="166"/>
      <c r="G194" s="166"/>
      <c r="H194" s="166"/>
      <c r="I194" s="166"/>
      <c r="J194" s="166"/>
      <c r="K194" s="166"/>
      <c r="L194" s="166"/>
      <c r="M194" s="166"/>
      <c r="N194" s="166"/>
    </row>
    <row r="195" spans="1:14" x14ac:dyDescent="0.3">
      <c r="A195" s="166"/>
      <c r="B195" s="166"/>
      <c r="C195" s="166"/>
      <c r="D195" s="166"/>
      <c r="E195" s="166"/>
      <c r="F195" s="166"/>
      <c r="G195" s="166"/>
      <c r="H195" s="166"/>
      <c r="I195" s="166"/>
      <c r="J195" s="166"/>
      <c r="K195" s="166"/>
      <c r="L195" s="166"/>
      <c r="M195" s="166"/>
      <c r="N195" s="166"/>
    </row>
    <row r="196" spans="1:14" x14ac:dyDescent="0.3">
      <c r="A196" s="166"/>
      <c r="B196" s="166"/>
      <c r="C196" s="166"/>
      <c r="D196" s="166"/>
      <c r="E196" s="166"/>
      <c r="F196" s="166"/>
      <c r="G196" s="166"/>
      <c r="H196" s="166"/>
      <c r="I196" s="166"/>
      <c r="J196" s="166"/>
      <c r="K196" s="166"/>
      <c r="L196" s="166"/>
      <c r="M196" s="166"/>
      <c r="N196" s="166"/>
    </row>
    <row r="197" spans="1:14" x14ac:dyDescent="0.3">
      <c r="A197" s="166"/>
      <c r="B197" s="166"/>
      <c r="C197" s="166"/>
      <c r="D197" s="166"/>
      <c r="E197" s="166"/>
      <c r="F197" s="166"/>
      <c r="G197" s="166"/>
      <c r="H197" s="166"/>
      <c r="I197" s="166"/>
      <c r="J197" s="166"/>
      <c r="K197" s="166"/>
      <c r="L197" s="166"/>
      <c r="M197" s="166"/>
      <c r="N197" s="166"/>
    </row>
    <row r="198" spans="1:14" x14ac:dyDescent="0.3">
      <c r="A198" s="166"/>
      <c r="B198" s="166"/>
      <c r="C198" s="166"/>
      <c r="D198" s="166"/>
      <c r="E198" s="166"/>
      <c r="F198" s="166"/>
      <c r="G198" s="166"/>
      <c r="H198" s="166"/>
      <c r="I198" s="166"/>
      <c r="J198" s="166"/>
      <c r="K198" s="166"/>
      <c r="L198" s="166"/>
      <c r="M198" s="166"/>
      <c r="N198" s="166"/>
    </row>
    <row r="199" spans="1:14" x14ac:dyDescent="0.3">
      <c r="A199" s="166"/>
      <c r="B199" s="166"/>
      <c r="C199" s="166"/>
      <c r="D199" s="166"/>
      <c r="E199" s="166"/>
      <c r="F199" s="166"/>
      <c r="G199" s="166"/>
      <c r="H199" s="166"/>
      <c r="I199" s="166"/>
      <c r="J199" s="166"/>
      <c r="K199" s="166"/>
      <c r="L199" s="166"/>
      <c r="M199" s="166"/>
      <c r="N199" s="166"/>
    </row>
    <row r="200" spans="1:14" x14ac:dyDescent="0.3">
      <c r="A200" s="166"/>
      <c r="B200" s="166"/>
      <c r="C200" s="166"/>
      <c r="D200" s="166"/>
      <c r="E200" s="166"/>
      <c r="F200" s="166"/>
      <c r="G200" s="166"/>
      <c r="H200" s="166"/>
      <c r="I200" s="166"/>
      <c r="J200" s="166"/>
      <c r="K200" s="166"/>
      <c r="L200" s="166"/>
      <c r="M200" s="166"/>
      <c r="N200" s="166"/>
    </row>
    <row r="201" spans="1:14" x14ac:dyDescent="0.3">
      <c r="A201" s="166"/>
      <c r="B201" s="166"/>
      <c r="C201" s="166"/>
      <c r="D201" s="166"/>
      <c r="E201" s="166"/>
      <c r="F201" s="166"/>
      <c r="G201" s="166"/>
      <c r="H201" s="166"/>
      <c r="I201" s="166"/>
      <c r="J201" s="166"/>
      <c r="K201" s="166"/>
      <c r="L201" s="166"/>
      <c r="M201" s="166"/>
      <c r="N201" s="166"/>
    </row>
    <row r="202" spans="1:14" x14ac:dyDescent="0.3">
      <c r="A202" s="166"/>
      <c r="B202" s="166"/>
      <c r="C202" s="166"/>
      <c r="D202" s="166"/>
      <c r="E202" s="166"/>
      <c r="F202" s="166"/>
      <c r="G202" s="166"/>
      <c r="H202" s="166"/>
      <c r="I202" s="166"/>
      <c r="J202" s="166"/>
      <c r="K202" s="166"/>
      <c r="L202" s="166"/>
      <c r="M202" s="166"/>
      <c r="N202" s="166"/>
    </row>
    <row r="203" spans="1:14" x14ac:dyDescent="0.3">
      <c r="A203" s="166"/>
      <c r="B203" s="166"/>
      <c r="C203" s="166"/>
      <c r="D203" s="166"/>
      <c r="E203" s="166"/>
      <c r="F203" s="166"/>
      <c r="G203" s="166"/>
      <c r="H203" s="166"/>
      <c r="I203" s="166"/>
      <c r="J203" s="166"/>
      <c r="K203" s="166"/>
      <c r="L203" s="166"/>
      <c r="M203" s="166"/>
      <c r="N203" s="166"/>
    </row>
    <row r="204" spans="1:14" x14ac:dyDescent="0.3">
      <c r="A204" s="166"/>
      <c r="B204" s="166"/>
      <c r="C204" s="166"/>
      <c r="D204" s="166"/>
      <c r="E204" s="166"/>
      <c r="F204" s="166"/>
      <c r="G204" s="166"/>
      <c r="H204" s="166"/>
      <c r="I204" s="166"/>
      <c r="J204" s="166"/>
      <c r="K204" s="166"/>
      <c r="L204" s="166"/>
      <c r="M204" s="166"/>
      <c r="N204" s="166"/>
    </row>
    <row r="205" spans="1:14" x14ac:dyDescent="0.3">
      <c r="A205" s="166"/>
      <c r="B205" s="166"/>
      <c r="C205" s="166"/>
      <c r="D205" s="166"/>
      <c r="E205" s="166"/>
      <c r="F205" s="166"/>
      <c r="G205" s="166"/>
      <c r="H205" s="166"/>
      <c r="I205" s="166"/>
      <c r="J205" s="166"/>
      <c r="K205" s="166"/>
      <c r="L205" s="166"/>
      <c r="M205" s="166"/>
      <c r="N205" s="166"/>
    </row>
    <row r="206" spans="1:14" x14ac:dyDescent="0.3">
      <c r="A206" s="166"/>
      <c r="B206" s="166"/>
      <c r="C206" s="166"/>
      <c r="D206" s="166"/>
      <c r="E206" s="166"/>
      <c r="F206" s="166"/>
      <c r="G206" s="166"/>
      <c r="H206" s="166"/>
      <c r="I206" s="166"/>
      <c r="J206" s="166"/>
      <c r="K206" s="166"/>
      <c r="L206" s="166"/>
      <c r="M206" s="166"/>
      <c r="N206" s="166"/>
    </row>
    <row r="207" spans="1:14" x14ac:dyDescent="0.3">
      <c r="A207" s="166"/>
      <c r="B207" s="166"/>
      <c r="C207" s="166"/>
      <c r="D207" s="166"/>
      <c r="E207" s="166"/>
      <c r="F207" s="166"/>
      <c r="G207" s="166"/>
      <c r="H207" s="166"/>
      <c r="I207" s="166"/>
      <c r="J207" s="166"/>
      <c r="K207" s="166"/>
      <c r="L207" s="166"/>
      <c r="M207" s="166"/>
      <c r="N207" s="166"/>
    </row>
    <row r="208" spans="1:14" x14ac:dyDescent="0.3">
      <c r="A208" s="166"/>
      <c r="B208" s="166"/>
      <c r="C208" s="166"/>
      <c r="D208" s="166"/>
      <c r="E208" s="166"/>
      <c r="F208" s="166"/>
      <c r="G208" s="166"/>
      <c r="H208" s="166"/>
      <c r="I208" s="166"/>
      <c r="J208" s="166"/>
      <c r="K208" s="166"/>
      <c r="L208" s="166"/>
      <c r="M208" s="166"/>
      <c r="N208" s="166"/>
    </row>
    <row r="209" spans="1:14" x14ac:dyDescent="0.3">
      <c r="A209" s="166"/>
      <c r="B209" s="166"/>
      <c r="C209" s="166"/>
      <c r="D209" s="166"/>
      <c r="E209" s="166"/>
      <c r="F209" s="166"/>
      <c r="G209" s="166"/>
      <c r="H209" s="166"/>
      <c r="I209" s="166"/>
      <c r="J209" s="166"/>
      <c r="K209" s="166"/>
      <c r="L209" s="166"/>
      <c r="M209" s="166"/>
      <c r="N209" s="166"/>
    </row>
    <row r="210" spans="1:14" x14ac:dyDescent="0.3">
      <c r="A210" s="166"/>
      <c r="B210" s="166"/>
      <c r="C210" s="166"/>
      <c r="D210" s="166"/>
      <c r="E210" s="166"/>
      <c r="F210" s="166"/>
      <c r="G210" s="166"/>
      <c r="H210" s="166"/>
      <c r="I210" s="166"/>
      <c r="J210" s="166"/>
      <c r="K210" s="166"/>
      <c r="L210" s="166"/>
      <c r="M210" s="166"/>
      <c r="N210" s="166"/>
    </row>
    <row r="211" spans="1:14" x14ac:dyDescent="0.3">
      <c r="A211" s="166"/>
      <c r="B211" s="166"/>
      <c r="C211" s="166"/>
      <c r="D211" s="166"/>
      <c r="E211" s="166"/>
      <c r="F211" s="166"/>
      <c r="G211" s="166"/>
      <c r="H211" s="166"/>
      <c r="I211" s="166"/>
      <c r="J211" s="166"/>
      <c r="K211" s="166"/>
      <c r="L211" s="166"/>
      <c r="M211" s="166"/>
      <c r="N211" s="166"/>
    </row>
    <row r="212" spans="1:14" x14ac:dyDescent="0.3">
      <c r="A212" s="166"/>
      <c r="B212" s="166"/>
      <c r="C212" s="166"/>
      <c r="D212" s="166"/>
      <c r="E212" s="166"/>
      <c r="F212" s="166"/>
      <c r="G212" s="166"/>
      <c r="H212" s="166"/>
      <c r="I212" s="166"/>
      <c r="J212" s="166"/>
      <c r="K212" s="166"/>
      <c r="L212" s="166"/>
      <c r="M212" s="166"/>
      <c r="N212" s="166"/>
    </row>
    <row r="213" spans="1:14" x14ac:dyDescent="0.3">
      <c r="A213" s="166"/>
      <c r="B213" s="166"/>
      <c r="C213" s="166"/>
      <c r="D213" s="166"/>
      <c r="E213" s="166"/>
      <c r="F213" s="166"/>
      <c r="G213" s="166"/>
      <c r="H213" s="166"/>
      <c r="I213" s="166"/>
      <c r="J213" s="166"/>
      <c r="K213" s="166"/>
      <c r="L213" s="166"/>
      <c r="M213" s="166"/>
      <c r="N213" s="166"/>
    </row>
    <row r="214" spans="1:14" x14ac:dyDescent="0.3">
      <c r="A214" s="166"/>
      <c r="B214" s="166"/>
      <c r="C214" s="166"/>
      <c r="D214" s="166"/>
      <c r="E214" s="166"/>
      <c r="F214" s="166"/>
      <c r="G214" s="166"/>
      <c r="H214" s="166"/>
      <c r="I214" s="166"/>
      <c r="J214" s="166"/>
      <c r="K214" s="166"/>
      <c r="L214" s="166"/>
      <c r="M214" s="166"/>
      <c r="N214" s="166"/>
    </row>
    <row r="215" spans="1:14" x14ac:dyDescent="0.3">
      <c r="A215" s="166"/>
      <c r="B215" s="166"/>
      <c r="C215" s="166"/>
      <c r="D215" s="166"/>
      <c r="E215" s="166"/>
      <c r="F215" s="166"/>
      <c r="G215" s="166"/>
      <c r="H215" s="166"/>
      <c r="I215" s="166"/>
      <c r="J215" s="166"/>
      <c r="K215" s="166"/>
      <c r="L215" s="166"/>
      <c r="M215" s="166"/>
      <c r="N215" s="166"/>
    </row>
    <row r="216" spans="1:14" x14ac:dyDescent="0.3">
      <c r="A216" s="166"/>
      <c r="B216" s="166"/>
      <c r="C216" s="166"/>
      <c r="D216" s="166"/>
      <c r="E216" s="166"/>
      <c r="F216" s="166"/>
      <c r="G216" s="166"/>
      <c r="H216" s="166"/>
      <c r="I216" s="166"/>
      <c r="J216" s="166"/>
      <c r="K216" s="166"/>
      <c r="L216" s="166"/>
      <c r="M216" s="166"/>
      <c r="N216" s="166"/>
    </row>
    <row r="217" spans="1:14" x14ac:dyDescent="0.3">
      <c r="A217" s="166"/>
      <c r="B217" s="166"/>
      <c r="C217" s="166"/>
      <c r="D217" s="166"/>
      <c r="E217" s="166"/>
      <c r="F217" s="166"/>
      <c r="G217" s="166"/>
      <c r="H217" s="166"/>
      <c r="I217" s="166"/>
      <c r="J217" s="166"/>
      <c r="K217" s="166"/>
      <c r="L217" s="166"/>
      <c r="M217" s="166"/>
      <c r="N217" s="166"/>
    </row>
    <row r="218" spans="1:14" x14ac:dyDescent="0.3">
      <c r="A218" s="166"/>
      <c r="B218" s="166"/>
      <c r="C218" s="166"/>
      <c r="D218" s="166"/>
      <c r="E218" s="166"/>
      <c r="F218" s="166"/>
      <c r="G218" s="166"/>
      <c r="H218" s="166"/>
      <c r="I218" s="166"/>
      <c r="J218" s="166"/>
      <c r="K218" s="166"/>
      <c r="L218" s="166"/>
      <c r="M218" s="166"/>
      <c r="N218" s="166"/>
    </row>
    <row r="219" spans="1:14" x14ac:dyDescent="0.3">
      <c r="A219" s="166"/>
      <c r="B219" s="166"/>
      <c r="C219" s="166"/>
      <c r="D219" s="166"/>
      <c r="E219" s="166"/>
      <c r="F219" s="166"/>
      <c r="G219" s="166"/>
      <c r="H219" s="166"/>
      <c r="I219" s="166"/>
      <c r="J219" s="166"/>
      <c r="K219" s="166"/>
      <c r="L219" s="166"/>
      <c r="M219" s="166"/>
      <c r="N219" s="166"/>
    </row>
    <row r="220" spans="1:14" x14ac:dyDescent="0.3">
      <c r="A220" s="166"/>
      <c r="B220" s="166"/>
      <c r="C220" s="166"/>
      <c r="D220" s="166"/>
      <c r="E220" s="166"/>
      <c r="F220" s="166"/>
      <c r="G220" s="166"/>
      <c r="H220" s="166"/>
      <c r="I220" s="166"/>
      <c r="J220" s="166"/>
      <c r="K220" s="166"/>
      <c r="L220" s="166"/>
      <c r="M220" s="166"/>
      <c r="N220" s="166"/>
    </row>
    <row r="221" spans="1:14" x14ac:dyDescent="0.3">
      <c r="A221" s="166"/>
      <c r="B221" s="166"/>
      <c r="C221" s="166"/>
      <c r="D221" s="166"/>
      <c r="E221" s="166"/>
      <c r="F221" s="166"/>
      <c r="G221" s="166"/>
      <c r="H221" s="166"/>
      <c r="I221" s="166"/>
      <c r="J221" s="166"/>
      <c r="K221" s="166"/>
      <c r="L221" s="166"/>
      <c r="M221" s="166"/>
      <c r="N221" s="166"/>
    </row>
    <row r="222" spans="1:14" x14ac:dyDescent="0.3">
      <c r="A222" s="166"/>
      <c r="B222" s="166"/>
      <c r="C222" s="166"/>
      <c r="D222" s="166"/>
      <c r="E222" s="166"/>
      <c r="F222" s="166"/>
      <c r="G222" s="166"/>
      <c r="H222" s="166"/>
      <c r="I222" s="166"/>
      <c r="J222" s="166"/>
      <c r="K222" s="166"/>
      <c r="L222" s="166"/>
      <c r="M222" s="166"/>
      <c r="N222" s="166"/>
    </row>
    <row r="223" spans="1:14" x14ac:dyDescent="0.3">
      <c r="A223" s="166"/>
      <c r="B223" s="166"/>
      <c r="C223" s="166"/>
      <c r="D223" s="166"/>
      <c r="E223" s="166"/>
      <c r="F223" s="166"/>
      <c r="G223" s="166"/>
      <c r="H223" s="166"/>
      <c r="I223" s="166"/>
      <c r="J223" s="166"/>
      <c r="K223" s="166"/>
      <c r="L223" s="166"/>
      <c r="M223" s="166"/>
      <c r="N223" s="166"/>
    </row>
    <row r="224" spans="1:14" x14ac:dyDescent="0.3">
      <c r="A224" s="166"/>
      <c r="B224" s="166"/>
      <c r="C224" s="166"/>
      <c r="D224" s="166"/>
      <c r="E224" s="166"/>
      <c r="F224" s="166"/>
      <c r="G224" s="166"/>
      <c r="H224" s="166"/>
      <c r="I224" s="166"/>
      <c r="J224" s="166"/>
      <c r="K224" s="166"/>
      <c r="L224" s="166"/>
      <c r="M224" s="166"/>
      <c r="N224" s="166"/>
    </row>
    <row r="225" spans="1:14" x14ac:dyDescent="0.3">
      <c r="A225" s="166"/>
      <c r="B225" s="166"/>
      <c r="C225" s="166"/>
      <c r="D225" s="166"/>
      <c r="E225" s="166"/>
      <c r="F225" s="166"/>
      <c r="G225" s="166"/>
      <c r="H225" s="166"/>
      <c r="I225" s="166"/>
      <c r="J225" s="166"/>
      <c r="K225" s="166"/>
      <c r="L225" s="166"/>
      <c r="M225" s="166"/>
      <c r="N225" s="166"/>
    </row>
    <row r="226" spans="1:14" x14ac:dyDescent="0.3">
      <c r="A226" s="166"/>
      <c r="B226" s="166"/>
      <c r="C226" s="166"/>
      <c r="D226" s="166"/>
      <c r="E226" s="166"/>
      <c r="F226" s="166"/>
      <c r="G226" s="166"/>
      <c r="H226" s="166"/>
      <c r="I226" s="166"/>
      <c r="J226" s="166"/>
      <c r="K226" s="166"/>
      <c r="L226" s="166"/>
      <c r="M226" s="166"/>
      <c r="N226" s="166"/>
    </row>
    <row r="227" spans="1:14" x14ac:dyDescent="0.3">
      <c r="A227" s="166"/>
      <c r="B227" s="166"/>
      <c r="C227" s="166"/>
      <c r="D227" s="166"/>
      <c r="E227" s="166"/>
      <c r="F227" s="166"/>
      <c r="G227" s="166"/>
      <c r="H227" s="166"/>
      <c r="I227" s="166"/>
      <c r="J227" s="166"/>
      <c r="K227" s="166"/>
      <c r="L227" s="166"/>
      <c r="M227" s="166"/>
      <c r="N227" s="166"/>
    </row>
    <row r="228" spans="1:14" x14ac:dyDescent="0.3">
      <c r="A228" s="166"/>
      <c r="B228" s="166"/>
      <c r="C228" s="166"/>
      <c r="D228" s="166"/>
      <c r="E228" s="166"/>
      <c r="F228" s="166"/>
      <c r="G228" s="166"/>
      <c r="H228" s="166"/>
      <c r="I228" s="166"/>
      <c r="J228" s="166"/>
      <c r="K228" s="166"/>
      <c r="L228" s="166"/>
      <c r="M228" s="166"/>
      <c r="N228" s="166"/>
    </row>
    <row r="229" spans="1:14" x14ac:dyDescent="0.3">
      <c r="A229" s="166"/>
      <c r="B229" s="166"/>
      <c r="C229" s="166"/>
      <c r="D229" s="166"/>
      <c r="E229" s="166"/>
      <c r="F229" s="166"/>
      <c r="G229" s="166"/>
      <c r="H229" s="166"/>
      <c r="I229" s="166"/>
      <c r="J229" s="166"/>
      <c r="K229" s="166"/>
      <c r="L229" s="166"/>
      <c r="M229" s="166"/>
      <c r="N229" s="166"/>
    </row>
    <row r="230" spans="1:14" x14ac:dyDescent="0.3">
      <c r="A230" s="166"/>
      <c r="B230" s="166"/>
      <c r="C230" s="166"/>
      <c r="D230" s="166"/>
      <c r="E230" s="166"/>
      <c r="F230" s="166"/>
      <c r="G230" s="166"/>
      <c r="H230" s="166"/>
      <c r="I230" s="166"/>
      <c r="J230" s="166"/>
      <c r="K230" s="166"/>
      <c r="L230" s="166"/>
      <c r="M230" s="166"/>
      <c r="N230" s="166"/>
    </row>
    <row r="231" spans="1:14" x14ac:dyDescent="0.3">
      <c r="A231" s="166"/>
      <c r="B231" s="166"/>
      <c r="C231" s="166"/>
      <c r="D231" s="166"/>
      <c r="E231" s="166"/>
      <c r="F231" s="166"/>
      <c r="G231" s="166"/>
      <c r="H231" s="166"/>
      <c r="I231" s="166"/>
      <c r="J231" s="166"/>
      <c r="K231" s="166"/>
      <c r="L231" s="166"/>
      <c r="M231" s="166"/>
      <c r="N231" s="166"/>
    </row>
    <row r="232" spans="1:14" x14ac:dyDescent="0.3">
      <c r="A232" s="166"/>
      <c r="B232" s="166"/>
      <c r="C232" s="166"/>
      <c r="D232" s="166"/>
      <c r="E232" s="166"/>
      <c r="F232" s="166"/>
      <c r="G232" s="166"/>
      <c r="H232" s="166"/>
      <c r="I232" s="166"/>
      <c r="J232" s="166"/>
      <c r="K232" s="166"/>
      <c r="L232" s="166"/>
      <c r="M232" s="166"/>
      <c r="N232" s="166"/>
    </row>
    <row r="233" spans="1:14" x14ac:dyDescent="0.3">
      <c r="A233" s="166"/>
      <c r="B233" s="166"/>
      <c r="C233" s="166"/>
      <c r="D233" s="166"/>
      <c r="E233" s="166"/>
      <c r="F233" s="166"/>
      <c r="G233" s="166"/>
      <c r="H233" s="166"/>
      <c r="I233" s="166"/>
      <c r="J233" s="166"/>
      <c r="K233" s="166"/>
      <c r="L233" s="166"/>
      <c r="M233" s="166"/>
      <c r="N233" s="166"/>
    </row>
    <row r="234" spans="1:14" x14ac:dyDescent="0.3">
      <c r="A234" s="166"/>
      <c r="B234" s="166"/>
      <c r="C234" s="166"/>
      <c r="D234" s="166"/>
      <c r="E234" s="166"/>
      <c r="F234" s="166"/>
      <c r="G234" s="166"/>
      <c r="H234" s="166"/>
      <c r="I234" s="166"/>
      <c r="J234" s="166"/>
      <c r="K234" s="166"/>
      <c r="L234" s="166"/>
      <c r="M234" s="166"/>
      <c r="N234" s="166"/>
    </row>
    <row r="235" spans="1:14" x14ac:dyDescent="0.3">
      <c r="A235" s="166"/>
      <c r="B235" s="166"/>
      <c r="C235" s="166"/>
      <c r="D235" s="166"/>
      <c r="E235" s="166"/>
      <c r="F235" s="166"/>
      <c r="G235" s="166"/>
      <c r="H235" s="166"/>
      <c r="I235" s="166"/>
      <c r="J235" s="166"/>
      <c r="K235" s="166"/>
      <c r="L235" s="166"/>
      <c r="M235" s="166"/>
      <c r="N235" s="166"/>
    </row>
    <row r="236" spans="1:14" x14ac:dyDescent="0.3">
      <c r="A236" s="166"/>
      <c r="B236" s="166"/>
      <c r="C236" s="166"/>
      <c r="D236" s="166"/>
      <c r="E236" s="166"/>
      <c r="F236" s="166"/>
      <c r="G236" s="166"/>
      <c r="H236" s="166"/>
      <c r="I236" s="166"/>
      <c r="J236" s="166"/>
      <c r="K236" s="166"/>
      <c r="L236" s="166"/>
      <c r="M236" s="166"/>
      <c r="N236" s="166"/>
    </row>
    <row r="237" spans="1:14" x14ac:dyDescent="0.3">
      <c r="A237" s="166"/>
      <c r="B237" s="166"/>
      <c r="C237" s="166"/>
      <c r="D237" s="166"/>
      <c r="E237" s="166"/>
      <c r="F237" s="166"/>
      <c r="G237" s="166"/>
      <c r="H237" s="166"/>
      <c r="I237" s="166"/>
      <c r="J237" s="166"/>
      <c r="K237" s="166"/>
      <c r="L237" s="166"/>
      <c r="M237" s="166"/>
      <c r="N237" s="166"/>
    </row>
    <row r="238" spans="1:14" x14ac:dyDescent="0.3">
      <c r="A238" s="166"/>
      <c r="B238" s="166"/>
      <c r="C238" s="166"/>
      <c r="D238" s="166"/>
      <c r="E238" s="166"/>
      <c r="F238" s="166"/>
      <c r="G238" s="166"/>
      <c r="H238" s="166"/>
      <c r="I238" s="166"/>
      <c r="J238" s="166"/>
      <c r="K238" s="166"/>
      <c r="L238" s="166"/>
      <c r="M238" s="166"/>
      <c r="N238" s="166"/>
    </row>
    <row r="239" spans="1:14" x14ac:dyDescent="0.3">
      <c r="A239" s="166"/>
      <c r="B239" s="166"/>
      <c r="C239" s="166"/>
      <c r="D239" s="166"/>
      <c r="E239" s="166"/>
      <c r="F239" s="166"/>
      <c r="G239" s="166"/>
      <c r="H239" s="166"/>
      <c r="I239" s="166"/>
      <c r="J239" s="166"/>
      <c r="K239" s="166"/>
      <c r="L239" s="166"/>
      <c r="M239" s="166"/>
      <c r="N239" s="166"/>
    </row>
    <row r="240" spans="1:14" x14ac:dyDescent="0.3">
      <c r="A240" s="166"/>
      <c r="B240" s="166"/>
      <c r="C240" s="166"/>
      <c r="D240" s="166"/>
      <c r="E240" s="166"/>
      <c r="F240" s="166"/>
      <c r="G240" s="166"/>
      <c r="H240" s="166"/>
      <c r="I240" s="166"/>
      <c r="J240" s="166"/>
      <c r="K240" s="166"/>
      <c r="L240" s="166"/>
      <c r="M240" s="166"/>
      <c r="N240" s="166"/>
    </row>
    <row r="241" spans="1:14" x14ac:dyDescent="0.3">
      <c r="A241" s="166"/>
      <c r="B241" s="166"/>
      <c r="C241" s="166"/>
      <c r="D241" s="166"/>
      <c r="E241" s="166"/>
      <c r="F241" s="166"/>
      <c r="G241" s="166"/>
      <c r="H241" s="166"/>
      <c r="I241" s="166"/>
      <c r="J241" s="166"/>
      <c r="K241" s="166"/>
      <c r="L241" s="166"/>
      <c r="M241" s="166"/>
      <c r="N241" s="166"/>
    </row>
    <row r="242" spans="1:14" x14ac:dyDescent="0.3">
      <c r="A242" s="166"/>
      <c r="B242" s="166"/>
      <c r="C242" s="166"/>
      <c r="D242" s="166"/>
      <c r="E242" s="166"/>
      <c r="F242" s="166"/>
      <c r="G242" s="166"/>
      <c r="H242" s="166"/>
      <c r="I242" s="166"/>
      <c r="J242" s="166"/>
      <c r="K242" s="166"/>
      <c r="L242" s="166"/>
      <c r="M242" s="166"/>
      <c r="N242" s="166"/>
    </row>
    <row r="243" spans="1:14" x14ac:dyDescent="0.3">
      <c r="A243" s="166"/>
      <c r="B243" s="166"/>
      <c r="C243" s="166"/>
      <c r="D243" s="166"/>
      <c r="E243" s="166"/>
      <c r="F243" s="166"/>
      <c r="G243" s="166"/>
      <c r="H243" s="166"/>
      <c r="I243" s="166"/>
      <c r="J243" s="166"/>
      <c r="K243" s="166"/>
      <c r="L243" s="166"/>
      <c r="M243" s="166"/>
      <c r="N243" s="166"/>
    </row>
    <row r="244" spans="1:14" x14ac:dyDescent="0.3">
      <c r="A244" s="166"/>
      <c r="B244" s="166"/>
      <c r="C244" s="166"/>
      <c r="D244" s="166"/>
      <c r="E244" s="166"/>
      <c r="F244" s="166"/>
      <c r="G244" s="166"/>
      <c r="H244" s="166"/>
      <c r="I244" s="166"/>
      <c r="J244" s="166"/>
      <c r="K244" s="166"/>
      <c r="L244" s="166"/>
      <c r="M244" s="166"/>
      <c r="N244" s="166"/>
    </row>
    <row r="245" spans="1:14" x14ac:dyDescent="0.3">
      <c r="A245" s="166"/>
      <c r="B245" s="166"/>
      <c r="C245" s="166"/>
      <c r="D245" s="166"/>
      <c r="E245" s="166"/>
      <c r="F245" s="166"/>
      <c r="G245" s="166"/>
      <c r="H245" s="166"/>
      <c r="I245" s="166"/>
      <c r="J245" s="166"/>
      <c r="K245" s="166"/>
      <c r="L245" s="166"/>
      <c r="M245" s="166"/>
      <c r="N245" s="166"/>
    </row>
    <row r="246" spans="1:14" x14ac:dyDescent="0.3">
      <c r="A246" s="166"/>
      <c r="B246" s="166"/>
      <c r="C246" s="166"/>
      <c r="D246" s="166"/>
      <c r="E246" s="166"/>
      <c r="F246" s="166"/>
      <c r="G246" s="166"/>
      <c r="H246" s="166"/>
      <c r="I246" s="166"/>
      <c r="J246" s="166"/>
      <c r="K246" s="166"/>
      <c r="L246" s="166"/>
      <c r="M246" s="166"/>
      <c r="N246" s="166"/>
    </row>
    <row r="247" spans="1:14" x14ac:dyDescent="0.3">
      <c r="A247" s="166"/>
      <c r="B247" s="166"/>
      <c r="C247" s="166"/>
      <c r="D247" s="166"/>
      <c r="E247" s="166"/>
      <c r="F247" s="166"/>
      <c r="G247" s="166"/>
      <c r="H247" s="166"/>
      <c r="I247" s="166"/>
      <c r="J247" s="166"/>
      <c r="K247" s="166"/>
      <c r="L247" s="166"/>
      <c r="M247" s="166"/>
      <c r="N247" s="166"/>
    </row>
    <row r="248" spans="1:14" x14ac:dyDescent="0.3">
      <c r="A248" s="166"/>
      <c r="B248" s="166"/>
      <c r="C248" s="166"/>
      <c r="D248" s="166"/>
      <c r="E248" s="166"/>
      <c r="F248" s="166"/>
      <c r="G248" s="166"/>
      <c r="H248" s="166"/>
      <c r="I248" s="166"/>
      <c r="J248" s="166"/>
      <c r="K248" s="166"/>
      <c r="L248" s="166"/>
      <c r="M248" s="166"/>
      <c r="N248" s="166"/>
    </row>
    <row r="249" spans="1:14" x14ac:dyDescent="0.3">
      <c r="A249" s="166"/>
      <c r="B249" s="166"/>
      <c r="C249" s="166"/>
      <c r="D249" s="166"/>
      <c r="E249" s="166"/>
      <c r="F249" s="166"/>
      <c r="G249" s="166"/>
      <c r="H249" s="166"/>
      <c r="I249" s="166"/>
      <c r="J249" s="166"/>
      <c r="K249" s="166"/>
      <c r="L249" s="166"/>
      <c r="M249" s="166"/>
      <c r="N249" s="166"/>
    </row>
    <row r="250" spans="1:14" x14ac:dyDescent="0.3">
      <c r="A250" s="166"/>
      <c r="B250" s="166"/>
      <c r="C250" s="166"/>
      <c r="D250" s="166"/>
      <c r="E250" s="166"/>
      <c r="F250" s="166"/>
      <c r="G250" s="166"/>
      <c r="H250" s="166"/>
      <c r="I250" s="166"/>
      <c r="J250" s="166"/>
      <c r="K250" s="166"/>
      <c r="L250" s="166"/>
      <c r="M250" s="166"/>
      <c r="N250" s="166"/>
    </row>
    <row r="251" spans="1:14" x14ac:dyDescent="0.3">
      <c r="A251" s="166"/>
      <c r="B251" s="166"/>
      <c r="C251" s="166"/>
      <c r="D251" s="166"/>
      <c r="E251" s="166"/>
      <c r="F251" s="166"/>
      <c r="G251" s="166"/>
      <c r="H251" s="166"/>
      <c r="I251" s="166"/>
      <c r="J251" s="166"/>
      <c r="K251" s="166"/>
      <c r="L251" s="166"/>
      <c r="M251" s="166"/>
      <c r="N251" s="166"/>
    </row>
    <row r="252" spans="1:14" x14ac:dyDescent="0.3">
      <c r="A252" s="166"/>
      <c r="B252" s="166"/>
      <c r="C252" s="166"/>
      <c r="D252" s="166"/>
      <c r="E252" s="166"/>
      <c r="F252" s="166"/>
      <c r="G252" s="166"/>
      <c r="H252" s="166"/>
      <c r="I252" s="166"/>
      <c r="J252" s="166"/>
      <c r="K252" s="166"/>
      <c r="L252" s="166"/>
      <c r="M252" s="166"/>
      <c r="N252" s="166"/>
    </row>
    <row r="253" spans="1:14" x14ac:dyDescent="0.3">
      <c r="A253" s="166"/>
      <c r="B253" s="166"/>
      <c r="C253" s="166"/>
      <c r="D253" s="166"/>
      <c r="E253" s="166"/>
      <c r="F253" s="166"/>
      <c r="G253" s="166"/>
      <c r="H253" s="166"/>
      <c r="I253" s="166"/>
      <c r="J253" s="166"/>
      <c r="K253" s="166"/>
      <c r="L253" s="166"/>
      <c r="M253" s="166"/>
      <c r="N253" s="166"/>
    </row>
    <row r="254" spans="1:14" x14ac:dyDescent="0.3">
      <c r="A254" s="166"/>
      <c r="B254" s="166"/>
      <c r="C254" s="166"/>
      <c r="D254" s="166"/>
      <c r="E254" s="166"/>
      <c r="F254" s="166"/>
      <c r="G254" s="166"/>
      <c r="H254" s="166"/>
      <c r="I254" s="166"/>
      <c r="J254" s="166"/>
      <c r="K254" s="166"/>
      <c r="L254" s="166"/>
      <c r="M254" s="166"/>
      <c r="N254" s="166"/>
    </row>
    <row r="255" spans="1:14" x14ac:dyDescent="0.3">
      <c r="A255" s="166"/>
      <c r="B255" s="166"/>
      <c r="C255" s="166"/>
      <c r="D255" s="166"/>
      <c r="E255" s="166"/>
      <c r="F255" s="166"/>
      <c r="G255" s="166"/>
      <c r="H255" s="166"/>
      <c r="I255" s="166"/>
      <c r="J255" s="166"/>
      <c r="K255" s="166"/>
      <c r="L255" s="166"/>
      <c r="M255" s="166"/>
      <c r="N255" s="166"/>
    </row>
    <row r="256" spans="1:14" x14ac:dyDescent="0.3">
      <c r="A256" s="166"/>
      <c r="B256" s="166"/>
      <c r="C256" s="166"/>
      <c r="D256" s="166"/>
      <c r="E256" s="166"/>
      <c r="F256" s="166"/>
      <c r="G256" s="166"/>
      <c r="H256" s="166"/>
      <c r="I256" s="166"/>
      <c r="J256" s="166"/>
      <c r="K256" s="166"/>
      <c r="L256" s="166"/>
      <c r="M256" s="166"/>
      <c r="N256" s="166"/>
    </row>
    <row r="257" spans="1:14" x14ac:dyDescent="0.3">
      <c r="A257" s="166"/>
      <c r="B257" s="166"/>
      <c r="C257" s="166"/>
      <c r="D257" s="166"/>
      <c r="E257" s="166"/>
      <c r="F257" s="166"/>
      <c r="G257" s="166"/>
      <c r="H257" s="166"/>
      <c r="I257" s="166"/>
      <c r="J257" s="166"/>
      <c r="K257" s="166"/>
      <c r="L257" s="166"/>
      <c r="M257" s="166"/>
      <c r="N257" s="166"/>
    </row>
    <row r="258" spans="1:14" x14ac:dyDescent="0.3">
      <c r="A258" s="166"/>
      <c r="B258" s="166"/>
      <c r="C258" s="168"/>
      <c r="D258" s="195" t="s">
        <v>107</v>
      </c>
      <c r="E258" s="196"/>
      <c r="F258" s="196"/>
      <c r="G258" s="196"/>
      <c r="H258" s="196"/>
      <c r="I258" s="196"/>
      <c r="J258" s="196"/>
      <c r="K258" s="196"/>
      <c r="L258" s="196"/>
      <c r="M258" s="166"/>
      <c r="N258" s="166"/>
    </row>
    <row r="259" spans="1:14" x14ac:dyDescent="0.3">
      <c r="A259" s="166"/>
      <c r="B259" s="166"/>
      <c r="C259" s="168"/>
      <c r="D259" s="195" t="s">
        <v>108</v>
      </c>
      <c r="E259" s="196"/>
      <c r="F259" s="166"/>
      <c r="G259" s="196"/>
      <c r="H259" s="196"/>
      <c r="I259" s="196"/>
      <c r="J259" s="196"/>
      <c r="K259" s="196"/>
      <c r="L259" s="166"/>
      <c r="M259" s="166"/>
      <c r="N259" s="166"/>
    </row>
    <row r="260" spans="1:14" x14ac:dyDescent="0.3">
      <c r="G260" s="197"/>
      <c r="I260" s="197"/>
    </row>
  </sheetData>
  <sheetProtection algorithmName="SHA-512" hashValue="9Xtc0Ov5AwmlOOBAuoUwHoJIEOtxt/d5fSZfXGFo1JgOkVk9l7TYzc8qJBSFTMi7FwiItcNSF5UYaSyFTBrwuA==" saltValue="G3xRuJbb1EaHMf2zf7PapA==" spinCount="100000" sheet="1" formatCells="0" formatColumns="0" formatRows="0"/>
  <mergeCells count="4">
    <mergeCell ref="C1:D1"/>
    <mergeCell ref="C17:C23"/>
    <mergeCell ref="C2:M2"/>
    <mergeCell ref="C6:C12"/>
  </mergeCells>
  <pageMargins left="0.39370078740157483" right="0" top="0.74803149606299213" bottom="0.19685039370078741" header="0.31496062992125978" footer="0.31496062992125978"/>
  <pageSetup paperSize="9" scale="68" fitToHeight="0" orientation="landscape"/>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Lapas4">
    <pageSetUpPr fitToPage="1"/>
  </sheetPr>
  <dimension ref="A1:AB8"/>
  <sheetViews>
    <sheetView zoomScale="110" zoomScaleNormal="110" workbookViewId="0">
      <selection activeCell="E14" sqref="E14"/>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ustomWidth="1"/>
    <col min="18" max="18" width="9.54296875" style="14" bestFit="1" customWidth="1"/>
    <col min="19" max="19" width="9.1796875" style="14" customWidth="1"/>
    <col min="20" max="16384" width="9.1796875" style="14"/>
  </cols>
  <sheetData>
    <row r="1" spans="1:28" ht="27.75" customHeight="1" x14ac:dyDescent="0.3">
      <c r="A1" s="166"/>
      <c r="B1" s="166"/>
      <c r="C1" s="283" t="s">
        <v>109</v>
      </c>
      <c r="D1" s="284"/>
      <c r="E1" s="166"/>
      <c r="F1" s="166"/>
      <c r="G1" s="166"/>
      <c r="H1" s="166"/>
      <c r="I1" s="166"/>
      <c r="J1" s="166"/>
      <c r="K1" s="166"/>
      <c r="L1" s="166"/>
      <c r="M1" s="166"/>
      <c r="N1" s="166"/>
      <c r="O1" s="166"/>
      <c r="P1" s="166"/>
      <c r="Q1" s="166"/>
      <c r="R1" s="198"/>
      <c r="S1" s="166"/>
      <c r="T1" s="166"/>
      <c r="U1" s="166"/>
      <c r="V1" s="166"/>
      <c r="W1" s="166"/>
      <c r="X1" s="166"/>
      <c r="Y1" s="166"/>
      <c r="Z1" s="166"/>
      <c r="AA1" s="166"/>
      <c r="AB1" s="166"/>
    </row>
    <row r="2" spans="1:28" x14ac:dyDescent="0.3">
      <c r="A2" s="287" t="s">
        <v>110</v>
      </c>
      <c r="B2" s="284"/>
      <c r="C2" s="284"/>
      <c r="D2" s="284"/>
      <c r="E2" s="284"/>
      <c r="F2" s="284"/>
      <c r="G2" s="284"/>
      <c r="H2" s="284"/>
      <c r="I2" s="284"/>
      <c r="J2" s="284"/>
      <c r="K2" s="284"/>
      <c r="L2" s="284"/>
      <c r="M2" s="284"/>
      <c r="N2" s="284"/>
      <c r="O2" s="169"/>
      <c r="P2" s="166"/>
      <c r="Q2" s="166"/>
      <c r="R2" s="166"/>
      <c r="S2" s="166"/>
      <c r="T2" s="166"/>
      <c r="U2" s="166"/>
      <c r="V2" s="166"/>
      <c r="W2" s="166"/>
      <c r="X2" s="166"/>
      <c r="Y2" s="166"/>
      <c r="Z2" s="166"/>
      <c r="AA2" s="166"/>
      <c r="AB2" s="166"/>
    </row>
    <row r="3" spans="1:28" x14ac:dyDescent="0.3">
      <c r="A3" s="166"/>
      <c r="B3" s="166"/>
      <c r="C3" s="166"/>
      <c r="D3" s="166"/>
      <c r="E3" s="166"/>
      <c r="F3" s="168"/>
      <c r="G3" s="166"/>
      <c r="H3" s="166"/>
      <c r="I3" s="166"/>
      <c r="J3" s="166"/>
      <c r="K3" s="166"/>
      <c r="L3" s="198"/>
      <c r="M3" s="198"/>
      <c r="N3" s="166"/>
      <c r="O3" s="166"/>
      <c r="P3" s="166"/>
      <c r="Q3" s="166"/>
      <c r="R3" s="166"/>
      <c r="S3" s="166"/>
      <c r="T3" s="166"/>
      <c r="U3" s="166"/>
      <c r="V3" s="166"/>
      <c r="W3" s="166"/>
      <c r="X3" s="166"/>
      <c r="Y3" s="166"/>
      <c r="Z3" s="166"/>
      <c r="AA3" s="166"/>
      <c r="AB3" s="166"/>
    </row>
    <row r="4" spans="1:28" ht="12.75" customHeight="1" x14ac:dyDescent="0.3">
      <c r="A4" s="166"/>
      <c r="B4" s="166"/>
      <c r="C4" s="166"/>
      <c r="D4" s="166"/>
      <c r="E4" s="166"/>
      <c r="F4" s="166"/>
      <c r="G4" s="166"/>
      <c r="H4" s="166"/>
      <c r="I4" s="166"/>
      <c r="J4" s="166"/>
      <c r="K4" s="166"/>
      <c r="L4" s="198"/>
      <c r="M4" s="198"/>
      <c r="N4" s="166"/>
      <c r="O4" s="166"/>
      <c r="P4" s="166"/>
      <c r="Q4" s="166"/>
      <c r="R4" s="166"/>
      <c r="S4" s="166"/>
      <c r="T4" s="166"/>
      <c r="U4" s="166"/>
      <c r="V4" s="166"/>
      <c r="W4" s="166"/>
      <c r="X4" s="166"/>
      <c r="Y4" s="166"/>
      <c r="Z4" s="166"/>
      <c r="AA4" s="166"/>
      <c r="AB4" s="166"/>
    </row>
    <row r="5" spans="1:28" ht="88.5" customHeight="1" x14ac:dyDescent="0.3">
      <c r="A5" s="172" t="s">
        <v>1</v>
      </c>
      <c r="B5" s="172" t="s">
        <v>59</v>
      </c>
      <c r="C5" s="118" t="s">
        <v>3</v>
      </c>
      <c r="D5" s="118" t="s">
        <v>111</v>
      </c>
      <c r="E5" s="118" t="s">
        <v>112</v>
      </c>
      <c r="F5" s="118" t="s">
        <v>113</v>
      </c>
      <c r="G5" s="118" t="s">
        <v>114</v>
      </c>
      <c r="H5" s="118" t="s">
        <v>115</v>
      </c>
      <c r="I5" s="118" t="s">
        <v>116</v>
      </c>
      <c r="J5" s="118" t="s">
        <v>117</v>
      </c>
      <c r="K5" s="118" t="s">
        <v>118</v>
      </c>
      <c r="L5" s="118" t="s">
        <v>119</v>
      </c>
      <c r="M5" s="199" t="s">
        <v>120</v>
      </c>
      <c r="N5" s="118" t="s">
        <v>100</v>
      </c>
      <c r="O5" s="118" t="s">
        <v>121</v>
      </c>
      <c r="P5" s="173" t="s">
        <v>53</v>
      </c>
      <c r="Q5" s="166"/>
      <c r="R5" s="166"/>
      <c r="S5" s="166"/>
      <c r="T5" s="166"/>
      <c r="U5" s="166"/>
      <c r="V5" s="166"/>
      <c r="W5" s="166"/>
      <c r="X5" s="166"/>
      <c r="Y5" s="166"/>
      <c r="Z5" s="166"/>
      <c r="AA5" s="166"/>
      <c r="AB5" s="166"/>
    </row>
    <row r="6" spans="1:28" ht="17.25" customHeight="1" x14ac:dyDescent="0.3">
      <c r="A6" s="200">
        <f>Paėmimas!A6</f>
        <v>46063</v>
      </c>
      <c r="B6" s="201" t="str">
        <f>Svėrimas!A6</f>
        <v>3</v>
      </c>
      <c r="C6" s="288" t="str">
        <f>Paėmimas!C6</f>
        <v>UAB ,,Ekopartneris", L. Ivinskio g. 65, Kaunas. Katilinė. Taršos šaltinis  Nr. 001.</v>
      </c>
      <c r="D6" s="202">
        <f>Svėrimas!C6</f>
        <v>1</v>
      </c>
      <c r="E6" s="203">
        <f>Svėrimas!G6</f>
        <v>4.3573300000000001</v>
      </c>
      <c r="F6" s="204">
        <f>Svėrimas!L6</f>
        <v>4.3601999999999999</v>
      </c>
      <c r="G6" s="204">
        <f>Svėrimas!M9</f>
        <v>1.3000000000040757E-4</v>
      </c>
      <c r="H6" s="204">
        <f>Svėrimas!M11/O6</f>
        <v>1.0999999999938836E-4</v>
      </c>
      <c r="I6" s="204">
        <f>Svėrimas!M16</f>
        <v>-3.3333333336808366E-5</v>
      </c>
      <c r="J6" s="205">
        <f>Aerodinamika!F24</f>
        <v>0.41778208811382889</v>
      </c>
      <c r="K6" s="206">
        <f>((F6-E6-G6+H6+I6)/J6)*1000</f>
        <v>6.7419517178880337</v>
      </c>
      <c r="L6" s="207">
        <f>G6/((Paėmimas!L13+Paėmimas!L24)/O6)*1000</f>
        <v>0.27600849256986743</v>
      </c>
      <c r="M6" s="208">
        <f>((F6-E6)+H6)/G6</f>
        <v>22.923076922998092</v>
      </c>
      <c r="N6" s="209" t="str">
        <f>Svėrimas!N6</f>
        <v>S.Č., 2026-02-11</v>
      </c>
      <c r="O6" s="210">
        <v>1</v>
      </c>
      <c r="P6" s="211" t="str">
        <f>Svėrimas!O6</f>
        <v>1 ir 2 linijos, 1 filtras</v>
      </c>
      <c r="Q6" s="166"/>
      <c r="R6" s="166"/>
      <c r="S6" s="166"/>
      <c r="T6" s="166"/>
      <c r="U6" s="166"/>
      <c r="V6" s="166"/>
      <c r="W6" s="166"/>
      <c r="X6" s="166"/>
      <c r="Y6" s="166"/>
      <c r="Z6" s="166"/>
      <c r="AA6" s="166"/>
      <c r="AB6" s="166"/>
    </row>
    <row r="7" spans="1:28" ht="19.5" customHeight="1" x14ac:dyDescent="0.3">
      <c r="A7" s="200"/>
      <c r="B7" s="201"/>
      <c r="C7" s="286"/>
      <c r="D7" s="212"/>
      <c r="E7" s="203"/>
      <c r="F7" s="213"/>
      <c r="G7" s="204"/>
      <c r="H7" s="204"/>
      <c r="I7" s="204"/>
      <c r="J7" s="127"/>
      <c r="K7" s="214"/>
      <c r="L7" s="215"/>
      <c r="M7" s="216"/>
      <c r="N7" s="209"/>
      <c r="O7" s="184"/>
      <c r="P7" s="211"/>
      <c r="Q7" s="166"/>
      <c r="R7" s="166"/>
      <c r="S7" s="166"/>
      <c r="T7" s="166"/>
      <c r="U7" s="166"/>
      <c r="V7" s="166"/>
      <c r="W7" s="166"/>
      <c r="X7" s="166"/>
      <c r="Y7" s="166"/>
      <c r="Z7" s="166"/>
      <c r="AA7" s="166"/>
      <c r="AB7" s="166"/>
    </row>
    <row r="8" spans="1:28" ht="22.5" customHeight="1" x14ac:dyDescent="0.3">
      <c r="A8" s="217"/>
      <c r="B8" s="211"/>
      <c r="C8" s="289"/>
      <c r="D8" s="212"/>
      <c r="E8" s="203"/>
      <c r="F8" s="213"/>
      <c r="G8" s="213"/>
      <c r="H8" s="213"/>
      <c r="I8" s="213"/>
      <c r="J8" s="127"/>
      <c r="K8" s="218"/>
      <c r="L8" s="219"/>
      <c r="M8" s="220"/>
      <c r="N8" s="221"/>
      <c r="O8" s="189"/>
      <c r="P8" s="222"/>
      <c r="Q8" s="166"/>
      <c r="R8" s="166"/>
      <c r="S8" s="166"/>
      <c r="T8" s="166"/>
      <c r="U8" s="166"/>
      <c r="V8" s="166"/>
      <c r="W8" s="166"/>
      <c r="X8" s="166"/>
      <c r="Y8" s="166"/>
      <c r="Z8" s="166"/>
      <c r="AA8" s="166"/>
      <c r="AB8" s="166"/>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A2:N2"/>
    <mergeCell ref="C1:D1"/>
  </mergeCells>
  <pageMargins left="0.59055118110236227" right="0.39370078740157483" top="0.74803149606299213" bottom="0.35433070866141742" header="0.31496062992125978" footer="0.31496062992125978"/>
  <pageSetup paperSize="9" fitToHeight="0" orientation="landscape"/>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8"/>
  <sheetViews>
    <sheetView tabSelected="1" topLeftCell="B1" zoomScale="80" zoomScaleNormal="80" workbookViewId="0">
      <pane ySplit="5" topLeftCell="A6" activePane="bottomLeft" state="frozen"/>
      <selection pane="bottomLeft" activeCell="O16" sqref="O16"/>
    </sheetView>
  </sheetViews>
  <sheetFormatPr defaultColWidth="9.1796875" defaultRowHeight="14" x14ac:dyDescent="0.25"/>
  <cols>
    <col min="1" max="1" width="13.7265625" style="44" customWidth="1"/>
    <col min="2" max="2" width="25.1796875" style="44" customWidth="1"/>
    <col min="3" max="3" width="7.453125" style="44" customWidth="1"/>
    <col min="4" max="4" width="12.81640625" style="44" customWidth="1"/>
    <col min="5" max="5" width="11.1796875" style="44" customWidth="1"/>
    <col min="6" max="6" width="10.81640625" style="44" customWidth="1"/>
    <col min="7" max="7" width="10.453125" style="44" customWidth="1"/>
    <col min="8" max="8" width="18" style="44" customWidth="1"/>
    <col min="9" max="9" width="11.26953125" style="44" customWidth="1"/>
    <col min="10" max="10" width="10.81640625" style="44" customWidth="1"/>
    <col min="11" max="11" width="11" style="44" customWidth="1"/>
    <col min="12" max="12" width="11.1796875" style="44" customWidth="1"/>
    <col min="13" max="13" width="20.453125" style="44" customWidth="1"/>
    <col min="14" max="14" width="16.81640625" style="44" customWidth="1"/>
    <col min="15" max="15" width="31.1796875" style="44" customWidth="1"/>
    <col min="16" max="16" width="9.1796875" style="44" customWidth="1"/>
    <col min="17" max="16384" width="9.1796875" style="44"/>
  </cols>
  <sheetData>
    <row r="1" spans="1:16" ht="26.25" customHeight="1" x14ac:dyDescent="0.3">
      <c r="A1" s="166"/>
      <c r="B1" s="166"/>
      <c r="C1" s="283" t="s">
        <v>122</v>
      </c>
      <c r="D1" s="284"/>
      <c r="E1" s="284"/>
      <c r="F1" s="284"/>
      <c r="G1" s="166"/>
      <c r="H1" s="166"/>
      <c r="I1" s="166"/>
      <c r="J1" s="166"/>
      <c r="K1" s="166"/>
      <c r="L1" s="166"/>
      <c r="M1" s="166"/>
      <c r="N1" s="166"/>
      <c r="O1" s="166"/>
    </row>
    <row r="2" spans="1:16" ht="19.5" customHeight="1" x14ac:dyDescent="0.3">
      <c r="A2" s="287" t="s">
        <v>123</v>
      </c>
      <c r="B2" s="284"/>
      <c r="C2" s="284"/>
      <c r="D2" s="284"/>
      <c r="E2" s="284"/>
      <c r="F2" s="284"/>
      <c r="G2" s="284"/>
      <c r="H2" s="284"/>
      <c r="I2" s="284"/>
      <c r="J2" s="284"/>
      <c r="K2" s="284"/>
      <c r="L2" s="284"/>
      <c r="M2" s="284"/>
      <c r="N2" s="284"/>
      <c r="O2" s="284"/>
    </row>
    <row r="3" spans="1:16" x14ac:dyDescent="0.3">
      <c r="A3" s="166"/>
      <c r="B3" s="166"/>
      <c r="C3" s="166"/>
      <c r="D3" s="166"/>
      <c r="E3" s="166"/>
      <c r="F3" s="166"/>
      <c r="G3" s="166"/>
      <c r="H3" s="166"/>
      <c r="I3" s="166"/>
      <c r="J3" s="166"/>
      <c r="K3" s="166"/>
      <c r="L3" s="166"/>
      <c r="M3" s="166"/>
      <c r="N3" s="166"/>
      <c r="O3" s="166"/>
    </row>
    <row r="4" spans="1:16" ht="60" customHeight="1" x14ac:dyDescent="0.3">
      <c r="A4" s="295" t="s">
        <v>2</v>
      </c>
      <c r="B4" s="295" t="s">
        <v>3</v>
      </c>
      <c r="C4" s="290" t="s">
        <v>124</v>
      </c>
      <c r="D4" s="290" t="s">
        <v>125</v>
      </c>
      <c r="E4" s="290" t="s">
        <v>126</v>
      </c>
      <c r="F4" s="291"/>
      <c r="G4" s="292"/>
      <c r="H4" s="290" t="s">
        <v>127</v>
      </c>
      <c r="I4" s="290" t="s">
        <v>128</v>
      </c>
      <c r="J4" s="290" t="s">
        <v>129</v>
      </c>
      <c r="K4" s="291"/>
      <c r="L4" s="292"/>
      <c r="M4" s="290" t="s">
        <v>130</v>
      </c>
      <c r="N4" s="290" t="s">
        <v>127</v>
      </c>
      <c r="O4" s="297" t="s">
        <v>53</v>
      </c>
    </row>
    <row r="5" spans="1:16" ht="14.25" customHeight="1" x14ac:dyDescent="0.25">
      <c r="A5" s="296"/>
      <c r="B5" s="296"/>
      <c r="C5" s="294"/>
      <c r="D5" s="294"/>
      <c r="E5" s="118">
        <v>1</v>
      </c>
      <c r="F5" s="118">
        <v>2</v>
      </c>
      <c r="G5" s="118">
        <v>3</v>
      </c>
      <c r="H5" s="294"/>
      <c r="I5" s="294"/>
      <c r="J5" s="118">
        <v>1</v>
      </c>
      <c r="K5" s="118">
        <v>2</v>
      </c>
      <c r="L5" s="118">
        <v>3</v>
      </c>
      <c r="M5" s="294"/>
      <c r="N5" s="294"/>
      <c r="O5" s="294"/>
    </row>
    <row r="6" spans="1:16" ht="15" customHeight="1" x14ac:dyDescent="0.25">
      <c r="A6" s="224" t="str">
        <f>Paėmimas!B6</f>
        <v>3</v>
      </c>
      <c r="B6" s="293" t="str">
        <f>Paėmimas!C6</f>
        <v>UAB ,,Ekopartneris", L. Ivinskio g. 65, Kaunas. Katilinė. Taršos šaltinis  Nr. 001.</v>
      </c>
      <c r="C6" s="225">
        <v>1</v>
      </c>
      <c r="D6" s="226">
        <f>Paėmimas!A6</f>
        <v>46063</v>
      </c>
      <c r="E6" s="227">
        <v>4.3573300000000001</v>
      </c>
      <c r="F6" s="227">
        <v>4.3573300000000001</v>
      </c>
      <c r="G6" s="227">
        <v>4.3573300000000001</v>
      </c>
      <c r="H6" s="228" t="str">
        <f>Paėmimas!R6</f>
        <v>S.Č., 2026-05-02</v>
      </c>
      <c r="I6" s="229">
        <v>46064</v>
      </c>
      <c r="J6" s="227">
        <v>4.3601999999999999</v>
      </c>
      <c r="K6" s="227">
        <v>4.3601999999999999</v>
      </c>
      <c r="L6" s="227">
        <v>4.3601999999999999</v>
      </c>
      <c r="M6" s="203">
        <f>L6-G6</f>
        <v>2.8699999999997061E-3</v>
      </c>
      <c r="N6" s="230" t="s">
        <v>131</v>
      </c>
      <c r="O6" s="231" t="s">
        <v>132</v>
      </c>
    </row>
    <row r="7" spans="1:16" ht="15" customHeight="1" x14ac:dyDescent="0.25">
      <c r="A7" s="184"/>
      <c r="B7" s="286"/>
      <c r="C7" s="232"/>
      <c r="D7" s="229"/>
      <c r="E7" s="233"/>
      <c r="F7" s="233"/>
      <c r="G7" s="233"/>
      <c r="H7" s="234"/>
      <c r="I7" s="229"/>
      <c r="J7" s="233"/>
      <c r="K7" s="233"/>
      <c r="L7" s="233"/>
      <c r="M7" s="235">
        <f>L7-G7</f>
        <v>0</v>
      </c>
      <c r="N7" s="230"/>
      <c r="O7" s="236"/>
    </row>
    <row r="8" spans="1:16" ht="15" customHeight="1" x14ac:dyDescent="0.25">
      <c r="A8" s="184"/>
      <c r="B8" s="286"/>
      <c r="C8" s="232"/>
      <c r="D8" s="237"/>
      <c r="E8" s="233"/>
      <c r="F8" s="233"/>
      <c r="G8" s="233"/>
      <c r="H8" s="238"/>
      <c r="I8" s="237"/>
      <c r="J8" s="233"/>
      <c r="K8" s="233"/>
      <c r="L8" s="233"/>
      <c r="M8" s="235">
        <f>L8-G8</f>
        <v>0</v>
      </c>
      <c r="N8" s="238"/>
      <c r="O8" s="239"/>
    </row>
    <row r="9" spans="1:16" ht="17" customHeight="1" x14ac:dyDescent="0.3">
      <c r="A9" s="184"/>
      <c r="B9" s="286"/>
      <c r="C9" s="232">
        <v>2</v>
      </c>
      <c r="D9" s="237"/>
      <c r="E9" s="240">
        <v>3.7017699999999998</v>
      </c>
      <c r="F9" s="240">
        <v>3.7017699999999998</v>
      </c>
      <c r="G9" s="240">
        <v>3.7017699999999998</v>
      </c>
      <c r="H9" s="238"/>
      <c r="I9" s="237"/>
      <c r="J9" s="240">
        <v>3.7019000000000002</v>
      </c>
      <c r="K9" s="240">
        <v>3.7019000000000002</v>
      </c>
      <c r="L9" s="240">
        <v>3.7019000000000002</v>
      </c>
      <c r="M9" s="235">
        <f>L9-G9</f>
        <v>1.3000000000040757E-4</v>
      </c>
      <c r="N9" s="238"/>
      <c r="O9" s="223" t="s">
        <v>133</v>
      </c>
      <c r="P9" s="46"/>
    </row>
    <row r="10" spans="1:16" x14ac:dyDescent="0.3">
      <c r="A10" s="184"/>
      <c r="B10" s="286"/>
      <c r="C10" s="232"/>
      <c r="D10" s="237"/>
      <c r="E10" s="233"/>
      <c r="F10" s="233"/>
      <c r="G10" s="241"/>
      <c r="H10" s="238"/>
      <c r="I10" s="237"/>
      <c r="J10" s="242"/>
      <c r="K10" s="233"/>
      <c r="L10" s="241"/>
      <c r="M10" s="243"/>
      <c r="N10" s="238"/>
      <c r="O10" s="128"/>
    </row>
    <row r="11" spans="1:16" ht="17" customHeight="1" x14ac:dyDescent="0.3">
      <c r="A11" s="184"/>
      <c r="B11" s="286"/>
      <c r="C11" s="232">
        <v>41</v>
      </c>
      <c r="D11" s="237"/>
      <c r="E11" s="240">
        <v>56.499789999999997</v>
      </c>
      <c r="F11" s="240">
        <v>56.499789999999997</v>
      </c>
      <c r="G11" s="240">
        <v>56.499789999999997</v>
      </c>
      <c r="H11" s="238"/>
      <c r="I11" s="237"/>
      <c r="J11" s="240">
        <v>56.499899999999997</v>
      </c>
      <c r="K11" s="240">
        <v>56.499899999999997</v>
      </c>
      <c r="L11" s="240">
        <v>56.499899999999997</v>
      </c>
      <c r="M11" s="235">
        <f>L11-G11</f>
        <v>1.0999999999938836E-4</v>
      </c>
      <c r="N11" s="238"/>
      <c r="O11" s="244" t="s">
        <v>134</v>
      </c>
    </row>
    <row r="12" spans="1:16" ht="30.75" customHeight="1" x14ac:dyDescent="0.3">
      <c r="A12" s="184"/>
      <c r="B12" s="286"/>
      <c r="C12" s="245" t="s">
        <v>135</v>
      </c>
      <c r="D12" s="237"/>
      <c r="E12" s="246">
        <v>49.838810000000002</v>
      </c>
      <c r="F12" s="246">
        <v>49.838810000000002</v>
      </c>
      <c r="G12" s="246">
        <v>49.838810000000002</v>
      </c>
      <c r="H12" s="238"/>
      <c r="I12" s="237"/>
      <c r="J12" s="247">
        <v>49.838799999999999</v>
      </c>
      <c r="K12" s="247">
        <v>49.838799999999999</v>
      </c>
      <c r="L12" s="247">
        <v>49.838799999999999</v>
      </c>
      <c r="M12" s="235">
        <f>L12-G12</f>
        <v>-1.0000000003174137E-5</v>
      </c>
      <c r="N12" s="238"/>
      <c r="O12" s="248" t="s">
        <v>136</v>
      </c>
    </row>
    <row r="13" spans="1:16" ht="17" customHeight="1" x14ac:dyDescent="0.3">
      <c r="A13" s="184"/>
      <c r="B13" s="286"/>
      <c r="C13" s="249" t="s">
        <v>137</v>
      </c>
      <c r="D13" s="237"/>
      <c r="E13" s="240">
        <v>54.789340000000003</v>
      </c>
      <c r="F13" s="240">
        <v>54.789340000000003</v>
      </c>
      <c r="G13" s="240">
        <v>54.789340000000003</v>
      </c>
      <c r="H13" s="238"/>
      <c r="I13" s="237"/>
      <c r="J13" s="240">
        <v>54.789400000000001</v>
      </c>
      <c r="K13" s="240">
        <v>54.789400000000001</v>
      </c>
      <c r="L13" s="240">
        <v>54.789400000000001</v>
      </c>
      <c r="M13" s="235">
        <f>L13-G13</f>
        <v>5.9999999997728537E-5</v>
      </c>
      <c r="N13" s="238"/>
      <c r="O13" s="223" t="s">
        <v>138</v>
      </c>
    </row>
    <row r="14" spans="1:16" ht="17" customHeight="1" x14ac:dyDescent="0.3">
      <c r="A14" s="184"/>
      <c r="B14" s="286"/>
      <c r="C14" s="249" t="s">
        <v>139</v>
      </c>
      <c r="D14" s="237"/>
      <c r="E14" s="240">
        <v>57.397939999999998</v>
      </c>
      <c r="F14" s="240">
        <v>57.397939999999998</v>
      </c>
      <c r="G14" s="240">
        <v>57.397939999999998</v>
      </c>
      <c r="H14" s="238"/>
      <c r="I14" s="237"/>
      <c r="J14" s="240">
        <v>57.397799999999997</v>
      </c>
      <c r="K14" s="240">
        <v>57.397799999999997</v>
      </c>
      <c r="L14" s="240">
        <v>57.397799999999997</v>
      </c>
      <c r="M14" s="235">
        <f>L14-G14</f>
        <v>-1.4000000000180535E-4</v>
      </c>
      <c r="N14" s="238"/>
      <c r="O14" s="244" t="s">
        <v>140</v>
      </c>
    </row>
    <row r="15" spans="1:16" ht="17" customHeight="1" x14ac:dyDescent="0.3">
      <c r="A15" s="184"/>
      <c r="B15" s="286"/>
      <c r="C15" s="250" t="s">
        <v>141</v>
      </c>
      <c r="D15" s="237"/>
      <c r="E15" s="227">
        <v>53.927889999999998</v>
      </c>
      <c r="F15" s="227">
        <v>53.927889999999998</v>
      </c>
      <c r="G15" s="227">
        <v>53.927889999999998</v>
      </c>
      <c r="H15" s="238"/>
      <c r="I15" s="237"/>
      <c r="J15" s="227">
        <v>53.927900000000001</v>
      </c>
      <c r="K15" s="227">
        <v>53.927900000000001</v>
      </c>
      <c r="L15" s="227">
        <v>53.927900000000001</v>
      </c>
      <c r="M15" s="235">
        <f>L15-G15</f>
        <v>1.0000000003174137E-5</v>
      </c>
      <c r="N15" s="238"/>
      <c r="O15" s="244" t="s">
        <v>142</v>
      </c>
    </row>
    <row r="16" spans="1:16" ht="32.25" customHeight="1" x14ac:dyDescent="0.3">
      <c r="A16" s="189"/>
      <c r="B16" s="289"/>
      <c r="C16" s="232"/>
      <c r="D16" s="251"/>
      <c r="E16" s="173"/>
      <c r="F16" s="173"/>
      <c r="G16" s="232"/>
      <c r="H16" s="252"/>
      <c r="I16" s="251"/>
      <c r="J16" s="242"/>
      <c r="K16" s="253"/>
      <c r="L16" s="241"/>
      <c r="M16" s="235">
        <f>AVERAGE(M13:M15)+M12</f>
        <v>-3.3333333336808366E-5</v>
      </c>
      <c r="N16" s="252"/>
      <c r="O16" s="254" t="s">
        <v>143</v>
      </c>
    </row>
    <row r="17" spans="1:15" x14ac:dyDescent="0.3">
      <c r="A17" s="166"/>
      <c r="B17" s="166"/>
      <c r="C17" s="166"/>
      <c r="D17" s="166"/>
      <c r="E17" s="166"/>
      <c r="F17" s="166"/>
      <c r="G17" s="166"/>
      <c r="H17" s="166"/>
      <c r="I17" s="166"/>
      <c r="J17" s="166"/>
      <c r="K17" s="255"/>
      <c r="L17" s="166"/>
      <c r="M17" s="166"/>
      <c r="N17" s="166"/>
      <c r="O17" s="166"/>
    </row>
    <row r="18" spans="1:15" x14ac:dyDescent="0.3">
      <c r="A18" s="166"/>
      <c r="B18" s="166"/>
      <c r="C18" s="166"/>
      <c r="D18" s="166"/>
      <c r="E18" s="166"/>
      <c r="F18" s="166"/>
      <c r="G18" s="166"/>
      <c r="H18" s="166"/>
      <c r="I18" s="166"/>
      <c r="J18" s="166"/>
      <c r="K18" s="255"/>
      <c r="L18" s="166"/>
      <c r="M18" s="166"/>
      <c r="N18" s="166"/>
      <c r="O18" s="166"/>
    </row>
  </sheetData>
  <sheetProtection algorithmName="SHA-512" hashValue="q+0SpH/oOxuOtt+Don6pTInzhiDU2MQCNYmErdiwkUGv2gHI7+91cFMWw7Pnbrhp+VBOP7QqHeEyv6lQC7q+5A==" saltValue="G9cg5wCWPfI84CS9oi3apQ==" spinCount="100000" sheet="1" formatCells="0" formatColumns="0" formatRows="0"/>
  <autoFilter ref="C4:O6" xr:uid="{00000000-0009-0000-0000-000006000000}">
    <sortState xmlns:xlrd2="http://schemas.microsoft.com/office/spreadsheetml/2017/richdata2" ref="C7:T14">
      <sortCondition ref="H4:H6"/>
    </sortState>
  </autoFilter>
  <mergeCells count="14">
    <mergeCell ref="C1:F1"/>
    <mergeCell ref="J4:L4"/>
    <mergeCell ref="B6:B16"/>
    <mergeCell ref="E4:G4"/>
    <mergeCell ref="M4:M5"/>
    <mergeCell ref="B4:B5"/>
    <mergeCell ref="A2:O2"/>
    <mergeCell ref="C4:C5"/>
    <mergeCell ref="A4:A5"/>
    <mergeCell ref="D4:D5"/>
    <mergeCell ref="I4:I5"/>
    <mergeCell ref="N4:N5"/>
    <mergeCell ref="H4:H5"/>
    <mergeCell ref="O4:O5"/>
  </mergeCells>
  <pageMargins left="0.70866141732283472" right="0.70866141732283472" top="0.74803149606299213" bottom="0.74803149606299213" header="0.31496062992125978" footer="0.31496062992125978"/>
  <pageSetup paperSize="9" scale="89" orientation="landscape"/>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D10"/>
  <sheetViews>
    <sheetView workbookViewId="0">
      <selection activeCell="I26" sqref="I26"/>
    </sheetView>
  </sheetViews>
  <sheetFormatPr defaultColWidth="9.1796875" defaultRowHeight="15.5" x14ac:dyDescent="0.25"/>
  <cols>
    <col min="1" max="1" width="14.7265625" style="47" customWidth="1"/>
    <col min="2" max="2" width="15.26953125" style="47" customWidth="1"/>
    <col min="3" max="3" width="13.453125" style="47" customWidth="1"/>
    <col min="4" max="4" width="21.26953125" style="47" customWidth="1"/>
    <col min="5" max="5" width="9.1796875" style="47" customWidth="1"/>
    <col min="6" max="16384" width="9.1796875" style="47"/>
  </cols>
  <sheetData>
    <row r="3" spans="1:4" ht="32.25" customHeight="1" x14ac:dyDescent="0.25">
      <c r="A3" s="298" t="s">
        <v>144</v>
      </c>
      <c r="B3" s="267"/>
      <c r="C3" s="267"/>
      <c r="D3" s="267"/>
    </row>
    <row r="5" spans="1:4" ht="67.5" customHeight="1" x14ac:dyDescent="0.25">
      <c r="A5" s="48" t="s">
        <v>145</v>
      </c>
      <c r="B5" s="49" t="s">
        <v>146</v>
      </c>
      <c r="C5" s="49" t="s">
        <v>147</v>
      </c>
      <c r="D5" s="49" t="s">
        <v>148</v>
      </c>
    </row>
    <row r="6" spans="1:4" ht="20.25" customHeight="1" x14ac:dyDescent="0.25">
      <c r="A6" s="50">
        <f>(B6*C6*D6)/1000000</f>
        <v>1.944</v>
      </c>
      <c r="B6" s="51">
        <v>30</v>
      </c>
      <c r="C6" s="52">
        <v>5400</v>
      </c>
      <c r="D6" s="53">
        <v>12</v>
      </c>
    </row>
    <row r="10" spans="1:4" x14ac:dyDescent="0.25">
      <c r="C10" s="54"/>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Props1.xml><?xml version="1.0" encoding="utf-8"?>
<ds:datastoreItem xmlns:ds="http://schemas.openxmlformats.org/officeDocument/2006/customXml" ds:itemID="{1FBF118E-AD3B-46FF-9D16-3F282B2B31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BBA06BC-36D1-4FA0-837A-73611C8B64E9}">
  <ds:schemaRefs>
    <ds:schemaRef ds:uri="http://schemas.microsoft.com/sharepoint/v3/contenttype/forms"/>
  </ds:schemaRefs>
</ds:datastoreItem>
</file>

<file path=customXml/itemProps3.xml><?xml version="1.0" encoding="utf-8"?>
<ds:datastoreItem xmlns:ds="http://schemas.openxmlformats.org/officeDocument/2006/customXml" ds:itemID="{8AA6EE5C-752B-4FD7-A005-65DDA547B7D6}">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2026-03-10T12:54:36Z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