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Šios_darbaknygės" defaultThemeVersion="124226"/>
  <mc:AlternateContent xmlns:mc="http://schemas.openxmlformats.org/markup-compatibility/2006">
    <mc:Choice Requires="x15">
      <x15ac:absPath xmlns:x15ac="http://schemas.microsoft.com/office/spreadsheetml/2010/11/ac" url="https://agentura2020.sharepoint.com/sites/VidurioLietuvosaplinkostyrimuskyrius/Bendrai naudojami dokumentai/EB7-014 Darbuotojų failai/Tomo/Python 3.14.3/Skaiciavimai/"/>
    </mc:Choice>
  </mc:AlternateContent>
  <xr:revisionPtr revIDLastSave="159" documentId="8_{6218F508-2438-4EC7-8B4D-5D6F3C7CDB90}" xr6:coauthVersionLast="47" xr6:coauthVersionMax="47" xr10:uidLastSave="{6373A78D-BFEB-4167-82D0-ED3FEA8680AB}"/>
  <bookViews>
    <workbookView xWindow="-110" yWindow="-110" windowWidth="19420" windowHeight="10300" tabRatio="821" firstSheet="1" activeTab="5" xr2:uid="{B097D0E3-85A4-46F7-964F-ABE00A6941B9}"/>
  </bookViews>
  <sheets>
    <sheet name="Compatibility Report" sheetId="4" state="hidden" r:id="rId1"/>
    <sheet name="Greitis" sheetId="22" r:id="rId2"/>
    <sheet name="H2O" sheetId="20" r:id="rId3"/>
    <sheet name="Paėmimas" sheetId="11" r:id="rId4"/>
    <sheet name="Lapas1" sheetId="23" r:id="rId5"/>
    <sheet name="Aerodinamika" sheetId="1" r:id="rId6"/>
    <sheet name="Koncentracija " sheetId="2" r:id="rId7"/>
    <sheet name="Svėrimas" sheetId="12" r:id="rId8"/>
    <sheet name="Koncentracijos ribinės vertės" sheetId="21" r:id="rId9"/>
  </sheets>
  <definedNames>
    <definedName name="_xlnm._FilterDatabase" localSheetId="7" hidden="1">Svėrimas!$C$4:$O$6</definedName>
    <definedName name="_xlnm.Print_Area" localSheetId="5">Aerodinamika!$C$1:$M$5</definedName>
    <definedName name="_xlnm.Print_Area" localSheetId="6">'Koncentracija '!$C$1:$N$5</definedName>
    <definedName name="_xlnm.Print_Area" localSheetId="3">Paėmimas!$A$1:$S$5</definedName>
    <definedName name="_xlnm.Print_Area" localSheetId="7">Svėrimas!$C$1:$O$11</definedName>
    <definedName name="_xlnm.Print_Titles" localSheetId="5">Aerodinamika!$1:$5</definedName>
    <definedName name="_xlnm.Print_Titles" localSheetId="6">'Koncentracija '!$2:$5</definedName>
    <definedName name="_xlnm.Print_Titles" localSheetId="3">Paėmimas!$1:$5</definedName>
    <definedName name="_xlnm.Print_Titles" localSheetId="7">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AA23" i="22"/>
  <c r="T24" i="22"/>
  <c r="T23" i="22"/>
  <c r="L7" i="2" l="1"/>
  <c r="L6" i="2"/>
  <c r="X20" i="11"/>
  <c r="X21" i="11"/>
  <c r="X22" i="11"/>
  <c r="X23" i="11"/>
  <c r="X24" i="11"/>
  <c r="X25" i="11"/>
  <c r="X26" i="11"/>
  <c r="X27" i="11"/>
  <c r="X19" i="11"/>
  <c r="X7" i="11"/>
  <c r="X8" i="11"/>
  <c r="X9" i="11"/>
  <c r="X10" i="11"/>
  <c r="X11" i="11"/>
  <c r="X12" i="11"/>
  <c r="X13" i="11"/>
  <c r="X14" i="11"/>
  <c r="X6" i="11"/>
  <c r="N15" i="11"/>
  <c r="N31" i="11" s="1"/>
  <c r="N28" i="11"/>
  <c r="K19" i="11"/>
  <c r="C6" i="11"/>
  <c r="A6" i="11"/>
  <c r="I6" i="11"/>
  <c r="H6" i="11"/>
  <c r="D7" i="20" l="1"/>
  <c r="T7" i="22"/>
  <c r="T6" i="22"/>
  <c r="L31" i="22"/>
  <c r="K31" i="22"/>
  <c r="L30" i="22"/>
  <c r="K30" i="22"/>
  <c r="L29" i="22"/>
  <c r="K29" i="22"/>
  <c r="L28" i="22"/>
  <c r="K28" i="22"/>
  <c r="L27" i="22"/>
  <c r="K27" i="22"/>
  <c r="L26" i="22"/>
  <c r="K26" i="22"/>
  <c r="L25" i="22"/>
  <c r="K25" i="22"/>
  <c r="Q24" i="22"/>
  <c r="L24" i="22"/>
  <c r="K24" i="22"/>
  <c r="Q23" i="22"/>
  <c r="O23" i="22"/>
  <c r="Z23" i="22" s="1"/>
  <c r="L23" i="22"/>
  <c r="K23" i="22"/>
  <c r="J14" i="22"/>
  <c r="I14" i="22"/>
  <c r="K14" i="22" s="1"/>
  <c r="G14" i="22"/>
  <c r="J13" i="22"/>
  <c r="I13" i="22"/>
  <c r="G13" i="22"/>
  <c r="J12" i="22"/>
  <c r="I12" i="22"/>
  <c r="K12" i="22" s="1"/>
  <c r="G12" i="22"/>
  <c r="J11" i="22"/>
  <c r="I11" i="22"/>
  <c r="G11" i="22"/>
  <c r="J10" i="22"/>
  <c r="I10" i="22"/>
  <c r="G10" i="22"/>
  <c r="J9" i="22"/>
  <c r="I9" i="22"/>
  <c r="G9" i="22"/>
  <c r="J8" i="22"/>
  <c r="I8" i="22"/>
  <c r="K8" i="22" s="1"/>
  <c r="G8" i="22"/>
  <c r="Q7" i="22"/>
  <c r="J7" i="22"/>
  <c r="I7" i="22"/>
  <c r="G7" i="22"/>
  <c r="Q6" i="22"/>
  <c r="K6" i="22"/>
  <c r="K7" i="22" l="1"/>
  <c r="K9" i="22"/>
  <c r="K11" i="22"/>
  <c r="R23" i="22"/>
  <c r="S23" i="22" s="1"/>
  <c r="Z24" i="22"/>
  <c r="K13" i="22"/>
  <c r="K10" i="22"/>
  <c r="R24" i="22"/>
  <c r="S24" i="22" s="1"/>
  <c r="A6" i="12" l="1"/>
  <c r="G7" i="20"/>
  <c r="H7" i="20" s="1"/>
  <c r="A6" i="21"/>
  <c r="M12" i="12"/>
  <c r="M13" i="12"/>
  <c r="M14" i="12"/>
  <c r="M15" i="12"/>
  <c r="W23" i="22" l="1"/>
  <c r="U23" i="22" s="1"/>
  <c r="V23" i="22" s="1"/>
  <c r="Y23" i="22" s="1"/>
  <c r="W24" i="22"/>
  <c r="U24" i="22" s="1"/>
  <c r="V24" i="22" s="1"/>
  <c r="Y24" i="22" s="1"/>
  <c r="W7" i="22"/>
  <c r="U7" i="22" s="1"/>
  <c r="W6" i="22"/>
  <c r="U6" i="22" s="1"/>
  <c r="M16" i="12"/>
  <c r="K27" i="11"/>
  <c r="K26" i="11"/>
  <c r="K25" i="11"/>
  <c r="K24" i="11"/>
  <c r="K23" i="11"/>
  <c r="K22" i="11"/>
  <c r="K21" i="11"/>
  <c r="K20" i="11"/>
  <c r="V9" i="11"/>
  <c r="F6" i="11" l="1"/>
  <c r="H6" i="22"/>
  <c r="I7" i="2"/>
  <c r="I6" i="2"/>
  <c r="H9" i="22" l="1"/>
  <c r="H13" i="22"/>
  <c r="H8" i="22"/>
  <c r="H7" i="22"/>
  <c r="H11" i="22"/>
  <c r="H14" i="22"/>
  <c r="H10" i="22"/>
  <c r="H12" i="22"/>
  <c r="R19" i="11"/>
  <c r="M27" i="11"/>
  <c r="M26" i="11"/>
  <c r="M25" i="11"/>
  <c r="M24" i="11"/>
  <c r="M23" i="11"/>
  <c r="M22" i="11"/>
  <c r="M21" i="11"/>
  <c r="M20" i="11"/>
  <c r="M19" i="11"/>
  <c r="I27" i="11"/>
  <c r="H27" i="11"/>
  <c r="I26" i="11"/>
  <c r="H26" i="11"/>
  <c r="I25" i="11"/>
  <c r="H25" i="11"/>
  <c r="I24" i="11"/>
  <c r="H24" i="11"/>
  <c r="I23" i="11"/>
  <c r="H23" i="11"/>
  <c r="I22" i="11"/>
  <c r="H22" i="11"/>
  <c r="I21" i="11"/>
  <c r="H21" i="11"/>
  <c r="I20" i="11"/>
  <c r="H20" i="11"/>
  <c r="I19" i="11"/>
  <c r="H19" i="11"/>
  <c r="F27" i="11"/>
  <c r="F26" i="11"/>
  <c r="F25" i="11"/>
  <c r="F24" i="11"/>
  <c r="F23" i="11"/>
  <c r="F22" i="11"/>
  <c r="F21" i="11"/>
  <c r="F20" i="11"/>
  <c r="F19" i="11"/>
  <c r="M14" i="11"/>
  <c r="M13" i="11"/>
  <c r="M12" i="11"/>
  <c r="M11" i="11"/>
  <c r="M10" i="11"/>
  <c r="M9" i="11"/>
  <c r="M8" i="11"/>
  <c r="M7" i="11"/>
  <c r="K14" i="11"/>
  <c r="I14" i="11"/>
  <c r="K13" i="11"/>
  <c r="I13" i="11"/>
  <c r="K12" i="11"/>
  <c r="I12" i="11"/>
  <c r="K11" i="11"/>
  <c r="I11" i="11"/>
  <c r="K10" i="11"/>
  <c r="I10" i="11"/>
  <c r="K9" i="11"/>
  <c r="I9" i="11"/>
  <c r="K8" i="11"/>
  <c r="I8" i="11"/>
  <c r="K7" i="11"/>
  <c r="I7" i="11"/>
  <c r="H14" i="11"/>
  <c r="H13" i="11"/>
  <c r="H12" i="11"/>
  <c r="H11" i="11"/>
  <c r="H10" i="11"/>
  <c r="H9" i="11"/>
  <c r="H8" i="11"/>
  <c r="H7" i="11"/>
  <c r="F14" i="11"/>
  <c r="F13" i="11"/>
  <c r="F12" i="11"/>
  <c r="F11" i="11"/>
  <c r="F10" i="11"/>
  <c r="F9" i="11"/>
  <c r="F8" i="11"/>
  <c r="M15" i="11" l="1"/>
  <c r="M28" i="11"/>
  <c r="F7" i="11"/>
  <c r="E19" i="11"/>
  <c r="D19" i="11"/>
  <c r="C19" i="11"/>
  <c r="B19" i="11"/>
  <c r="A19" i="11"/>
  <c r="U9" i="11"/>
  <c r="Q6" i="11" s="1"/>
  <c r="T9" i="11"/>
  <c r="P6" i="11" s="1"/>
  <c r="C6" i="2"/>
  <c r="O7" i="12"/>
  <c r="M31" i="11" l="1"/>
  <c r="P26" i="11"/>
  <c r="P24" i="11"/>
  <c r="P22" i="11"/>
  <c r="P20" i="11"/>
  <c r="P14" i="11"/>
  <c r="P12" i="11"/>
  <c r="P10" i="11"/>
  <c r="P8" i="11"/>
  <c r="P27" i="11"/>
  <c r="P25" i="11"/>
  <c r="P23" i="11"/>
  <c r="P21" i="11"/>
  <c r="P19" i="11"/>
  <c r="P13" i="11"/>
  <c r="P11" i="11"/>
  <c r="P9" i="11"/>
  <c r="P7" i="11"/>
  <c r="Q27" i="11"/>
  <c r="Q25" i="11"/>
  <c r="Q23" i="11"/>
  <c r="Q21" i="11"/>
  <c r="Q19" i="11"/>
  <c r="Q13" i="11"/>
  <c r="Q11" i="11"/>
  <c r="Q9" i="11"/>
  <c r="Q7" i="11"/>
  <c r="Q26" i="11"/>
  <c r="Q24" i="11"/>
  <c r="Q22" i="11"/>
  <c r="Q20" i="11"/>
  <c r="Q14" i="11"/>
  <c r="Q12" i="11"/>
  <c r="Q10" i="11"/>
  <c r="Q8" i="11"/>
  <c r="P7" i="2"/>
  <c r="G27" i="1" l="1"/>
  <c r="G26" i="1"/>
  <c r="G25" i="1"/>
  <c r="G24" i="1"/>
  <c r="G23" i="1"/>
  <c r="G22" i="1"/>
  <c r="G21" i="1"/>
  <c r="G20" i="1"/>
  <c r="N19" i="1"/>
  <c r="M19" i="1"/>
  <c r="G19" i="1"/>
  <c r="C19" i="1"/>
  <c r="B19" i="1"/>
  <c r="A19" i="1"/>
  <c r="G28" i="1" l="1"/>
  <c r="L27" i="11" l="1"/>
  <c r="D27" i="1" s="1"/>
  <c r="E27" i="1" s="1"/>
  <c r="L26" i="11"/>
  <c r="D26" i="1" s="1"/>
  <c r="E26" i="1" s="1"/>
  <c r="L25" i="11"/>
  <c r="D25" i="1" s="1"/>
  <c r="E25" i="1" s="1"/>
  <c r="L24" i="11"/>
  <c r="D24" i="1" s="1"/>
  <c r="E24" i="1" s="1"/>
  <c r="L23" i="11"/>
  <c r="D23" i="1" s="1"/>
  <c r="E23" i="1" s="1"/>
  <c r="L22" i="11"/>
  <c r="D22" i="1" s="1"/>
  <c r="E22" i="1" s="1"/>
  <c r="L21" i="11"/>
  <c r="D21" i="1" s="1"/>
  <c r="E21" i="1" s="1"/>
  <c r="L20" i="11"/>
  <c r="D20" i="1" s="1"/>
  <c r="E20" i="1" s="1"/>
  <c r="L19" i="11"/>
  <c r="D19" i="1" s="1"/>
  <c r="L13" i="11"/>
  <c r="D13" i="1" s="1"/>
  <c r="E13" i="1" s="1"/>
  <c r="L14" i="11"/>
  <c r="D14" i="1" s="1"/>
  <c r="E14" i="1" s="1"/>
  <c r="G13" i="1"/>
  <c r="G14" i="1"/>
  <c r="E19" i="1" l="1"/>
  <c r="L28" i="11"/>
  <c r="F19" i="1" l="1"/>
  <c r="J7" i="2" s="1"/>
  <c r="G9" i="1"/>
  <c r="G10" i="1"/>
  <c r="G11" i="1"/>
  <c r="G12" i="1"/>
  <c r="O6" i="12" l="1"/>
  <c r="P6" i="2"/>
  <c r="N6" i="1"/>
  <c r="L9" i="11" l="1"/>
  <c r="D9" i="1" s="1"/>
  <c r="E9" i="1" s="1"/>
  <c r="L10" i="11"/>
  <c r="D10" i="1" s="1"/>
  <c r="E10" i="1" s="1"/>
  <c r="L11" i="11"/>
  <c r="D11" i="1" s="1"/>
  <c r="E11" i="1" s="1"/>
  <c r="L12" i="11"/>
  <c r="D12" i="1" s="1"/>
  <c r="E12" i="1" s="1"/>
  <c r="G7" i="1" l="1"/>
  <c r="G8" i="1"/>
  <c r="G6" i="1" l="1"/>
  <c r="G15" i="1" s="1"/>
  <c r="G31" i="1" s="1"/>
  <c r="A6" i="1"/>
  <c r="B6" i="1"/>
  <c r="C6" i="1"/>
  <c r="B6" i="12"/>
  <c r="H6" i="12"/>
  <c r="D6" i="12"/>
  <c r="J7" i="20" l="1"/>
  <c r="K7" i="20" s="1"/>
  <c r="AA6" i="22"/>
  <c r="B6" i="2"/>
  <c r="N6" i="2"/>
  <c r="M9" i="12"/>
  <c r="G7" i="2" s="1"/>
  <c r="M6" i="1"/>
  <c r="A6" i="2"/>
  <c r="M11" i="12"/>
  <c r="M8" i="12"/>
  <c r="M7" i="12"/>
  <c r="M6" i="12"/>
  <c r="F7" i="2"/>
  <c r="F6" i="2"/>
  <c r="E7" i="2"/>
  <c r="E6" i="2"/>
  <c r="D6" i="2"/>
  <c r="D7" i="2"/>
  <c r="L7" i="11"/>
  <c r="D7" i="1" s="1"/>
  <c r="E7" i="1" s="1"/>
  <c r="L8" i="11"/>
  <c r="D8" i="1" s="1"/>
  <c r="E8" i="1" s="1"/>
  <c r="L6" i="11"/>
  <c r="L12" i="22" l="1"/>
  <c r="L6" i="22"/>
  <c r="L7" i="22"/>
  <c r="L13" i="22"/>
  <c r="L10" i="22"/>
  <c r="L14" i="22"/>
  <c r="L8" i="22"/>
  <c r="L11" i="22"/>
  <c r="L9" i="22"/>
  <c r="H6" i="1"/>
  <c r="H13" i="1"/>
  <c r="I13" i="1" s="1"/>
  <c r="J13" i="1" s="1"/>
  <c r="H23" i="1"/>
  <c r="I23" i="1" s="1"/>
  <c r="J23" i="1" s="1"/>
  <c r="H26" i="1"/>
  <c r="I26" i="1" s="1"/>
  <c r="J26" i="1" s="1"/>
  <c r="H7" i="1"/>
  <c r="H10" i="1"/>
  <c r="I10" i="1" s="1"/>
  <c r="J10" i="1" s="1"/>
  <c r="H11" i="1"/>
  <c r="I11" i="1" s="1"/>
  <c r="J11" i="1" s="1"/>
  <c r="H25" i="1"/>
  <c r="I25" i="1" s="1"/>
  <c r="J25" i="1" s="1"/>
  <c r="H24" i="1"/>
  <c r="I24" i="1" s="1"/>
  <c r="J24" i="1" s="1"/>
  <c r="H20" i="1"/>
  <c r="I20" i="1" s="1"/>
  <c r="J20" i="1" s="1"/>
  <c r="H22" i="1"/>
  <c r="I22" i="1" s="1"/>
  <c r="J22" i="1" s="1"/>
  <c r="H19" i="1"/>
  <c r="I19" i="1" s="1"/>
  <c r="H14" i="1"/>
  <c r="I14" i="1" s="1"/>
  <c r="J14" i="1" s="1"/>
  <c r="H12" i="1"/>
  <c r="I12" i="1" s="1"/>
  <c r="J12" i="1" s="1"/>
  <c r="H27" i="1"/>
  <c r="I27" i="1" s="1"/>
  <c r="J27" i="1" s="1"/>
  <c r="H21" i="1"/>
  <c r="I21" i="1" s="1"/>
  <c r="J21" i="1" s="1"/>
  <c r="H8" i="1"/>
  <c r="I8" i="1" s="1"/>
  <c r="J8" i="1" s="1"/>
  <c r="H9" i="1"/>
  <c r="I9" i="1" s="1"/>
  <c r="J9" i="1" s="1"/>
  <c r="H7" i="2"/>
  <c r="K7" i="2" s="1"/>
  <c r="H6" i="2"/>
  <c r="G6" i="2"/>
  <c r="L15" i="11"/>
  <c r="I7" i="1"/>
  <c r="J7" i="1" s="1"/>
  <c r="D6" i="1"/>
  <c r="G27" i="11" l="1"/>
  <c r="K27" i="1" s="1"/>
  <c r="Y27" i="11" s="1"/>
  <c r="G14" i="11"/>
  <c r="G23" i="11"/>
  <c r="K23" i="1" s="1"/>
  <c r="Y23" i="11" s="1"/>
  <c r="G10" i="11"/>
  <c r="G26" i="11"/>
  <c r="K26" i="1" s="1"/>
  <c r="Y26" i="11" s="1"/>
  <c r="G13" i="11"/>
  <c r="G22" i="11"/>
  <c r="G9" i="11"/>
  <c r="G20" i="11"/>
  <c r="G7" i="11"/>
  <c r="G24" i="11"/>
  <c r="K24" i="1" s="1"/>
  <c r="Y24" i="11" s="1"/>
  <c r="G11" i="11"/>
  <c r="K11" i="1" s="1"/>
  <c r="Y11" i="11" s="1"/>
  <c r="G6" i="11"/>
  <c r="G19" i="11"/>
  <c r="G21" i="11"/>
  <c r="G8" i="11"/>
  <c r="K8" i="1" s="1"/>
  <c r="Y8" i="11" s="1"/>
  <c r="G25" i="11"/>
  <c r="G12" i="11"/>
  <c r="K12" i="1" s="1"/>
  <c r="Y12" i="11" s="1"/>
  <c r="N14" i="22"/>
  <c r="M14" i="22"/>
  <c r="N10" i="22"/>
  <c r="M10" i="22"/>
  <c r="I28" i="1"/>
  <c r="J19" i="1"/>
  <c r="M13" i="22"/>
  <c r="N13" i="22"/>
  <c r="M9" i="22"/>
  <c r="K9" i="1" s="1"/>
  <c r="Y9" i="11" s="1"/>
  <c r="N9" i="22"/>
  <c r="N7" i="22"/>
  <c r="K20" i="1" s="1"/>
  <c r="Y20" i="11" s="1"/>
  <c r="M7" i="22"/>
  <c r="K7" i="1" s="1"/>
  <c r="Y7" i="11" s="1"/>
  <c r="M11" i="22"/>
  <c r="N11" i="22"/>
  <c r="N6" i="22"/>
  <c r="M6" i="22"/>
  <c r="K10" i="1"/>
  <c r="Y10" i="11" s="1"/>
  <c r="N8" i="22"/>
  <c r="K21" i="1" s="1"/>
  <c r="Y21" i="11" s="1"/>
  <c r="M8" i="22"/>
  <c r="M12" i="22"/>
  <c r="N12" i="22"/>
  <c r="M6" i="2"/>
  <c r="E6" i="1"/>
  <c r="K22" i="1" l="1"/>
  <c r="Y22" i="11" s="1"/>
  <c r="K25" i="1"/>
  <c r="Y25" i="11" s="1"/>
  <c r="K13" i="1"/>
  <c r="Y13" i="11" s="1"/>
  <c r="K14" i="1"/>
  <c r="Y14" i="11" s="1"/>
  <c r="K19" i="1"/>
  <c r="O6" i="22"/>
  <c r="F6" i="1"/>
  <c r="L19" i="1" l="1"/>
  <c r="Y19" i="11"/>
  <c r="R6" i="22"/>
  <c r="S6" i="22" s="1"/>
  <c r="V6" i="22" s="1"/>
  <c r="Y6" i="22" s="1"/>
  <c r="Z7" i="22"/>
  <c r="Z6" i="22"/>
  <c r="R7" i="22"/>
  <c r="S7" i="22" s="1"/>
  <c r="V7" i="22" s="1"/>
  <c r="Y7" i="22" s="1"/>
  <c r="J6" i="2"/>
  <c r="K6" i="2" s="1"/>
  <c r="F28" i="1"/>
  <c r="J6" i="1" l="1"/>
  <c r="K6" i="1" s="1"/>
  <c r="I15" i="1"/>
  <c r="I31" i="1" s="1"/>
  <c r="L6" i="1" l="1"/>
  <c r="L28" i="1" s="1"/>
  <c r="Y6" i="11"/>
</calcChain>
</file>

<file path=xl/sharedStrings.xml><?xml version="1.0" encoding="utf-8"?>
<sst xmlns="http://schemas.openxmlformats.org/spreadsheetml/2006/main" count="208" uniqueCount="151">
  <si>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</si>
  <si>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</si>
  <si>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</si>
  <si>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</si>
  <si>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</si>
  <si>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</si>
  <si>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</si>
  <si>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</si>
  <si>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</si>
  <si>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</si>
  <si>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Įvestiniai duomenys</t>
  </si>
  <si>
    <t>Suskaičiuoti duomenys</t>
  </si>
  <si>
    <t>Skaičiavimus atlikusio asmens inicialai, data</t>
  </si>
  <si>
    <t>Darbuotojo inicialai, data</t>
  </si>
  <si>
    <t xml:space="preserve"> </t>
  </si>
  <si>
    <t>Atsakingo asmens inicialai, data</t>
  </si>
  <si>
    <t>Izokine-tiškumas (0,95-1,15)</t>
  </si>
  <si>
    <t xml:space="preserve"> Izokine-tiškumo vidurkis  (0,95-1,15)</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</si>
  <si>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</si>
  <si>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</si>
  <si>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</si>
  <si>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</si>
  <si>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</si>
  <si>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</si>
  <si>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</si>
  <si>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TŠ 001   H2O</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</si>
  <si>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</si>
  <si>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</si>
  <si>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</si>
  <si>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</si>
  <si>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</si>
  <si>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</si>
  <si>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</si>
  <si>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</si>
  <si>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Vidurkių vidurkis qn, (kg/m3)</t>
  </si>
  <si>
    <t xml:space="preserve"> Izokine-tiškumo vidurkių vidurkis</t>
  </si>
  <si>
    <t>Viso suma Vmn(sum), Nm3.</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</si>
  <si>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</si>
  <si>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</si>
  <si>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</si>
  <si>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</si>
  <si>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</si>
  <si>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</si>
  <si>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</si>
  <si>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</si>
  <si>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</si>
  <si>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</si>
  <si>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</si>
  <si>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</si>
  <si>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</si>
  <si>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</si>
  <si>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r>
      <t>Temperatūra ortakyje t</t>
    </r>
    <r>
      <rPr>
        <b/>
        <vertAlign val="subscript"/>
        <sz val="11"/>
        <rFont val="Times New Roman"/>
        <family val="1"/>
        <charset val="186"/>
      </rPr>
      <t>or</t>
    </r>
    <r>
      <rPr>
        <b/>
        <sz val="11"/>
        <rFont val="Times New Roman"/>
        <family val="1"/>
        <charset val="186"/>
      </rPr>
      <t xml:space="preserve"> (°C)</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</si>
  <si>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</si>
  <si>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</si>
  <si>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</si>
  <si>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</si>
  <si>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</si>
  <si>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</si>
  <si>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</si>
  <si>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</si>
  <si>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</si>
  <si>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</si>
  <si>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</si>
  <si>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</si>
  <si>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</si>
  <si>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</si>
  <si>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</si>
  <si>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</si>
  <si>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</si>
  <si>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</si>
  <si>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</si>
  <si>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</si>
  <si>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</si>
  <si>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</si>
  <si>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</si>
  <si>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</si>
  <si>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</si>
  <si>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</si>
  <si>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</si>
  <si>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</si>
  <si>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</si>
  <si>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</si>
  <si>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</si>
  <si>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</si>
  <si>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</si>
  <si>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</si>
  <si>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</si>
  <si>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</si>
  <si>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</si>
  <si>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Planuojama surinkti dulkių masė m, g (</t>
    </r>
    <r>
      <rPr>
        <sz val="12"/>
        <color rgb="FFFF0000"/>
        <rFont val="Times New Roman"/>
        <family val="1"/>
        <charset val="186"/>
      </rPr>
      <t>&lt;2,20 g</t>
    </r>
    <r>
      <rPr>
        <sz val="12"/>
        <rFont val="Times New Roman"/>
        <family val="1"/>
        <charset val="186"/>
      </rPr>
      <t>)</t>
    </r>
  </si>
  <si>
    <t>Skerspjūvio plotas A  (m2)</t>
  </si>
  <si>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</si>
  <si>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</si>
  <si>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</si>
  <si>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</si>
  <si>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</si>
  <si>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</si>
  <si>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</si>
  <si>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t>Suma t, min</t>
  </si>
  <si>
    <t>Viso 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</si>
  <si>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</si>
  <si>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</si>
  <si>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</si>
  <si>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</si>
  <si>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Filtrų skaičius Fsk (vnt.)</t>
  </si>
  <si>
    <t>Drėgmės kiekis X (%) (izokinetinei sistemai)</t>
  </si>
  <si>
    <t>1 linija, 1 filtras</t>
  </si>
  <si>
    <t>2 linija, 2 filtras</t>
  </si>
  <si>
    <t>Skaičiuoklė kietųjų dalelių koncentracijai nustatyti. H2O skaičiavimas</t>
  </si>
  <si>
    <t>Debitas pagal matuotą diferencinį slėgį</t>
  </si>
  <si>
    <t>Matavimo taškai ortakyje nuo vidinės sienelės, cm</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</si>
  <si>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</si>
  <si>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</si>
  <si>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</si>
  <si>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</si>
  <si>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</si>
  <si>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</si>
  <si>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</si>
  <si>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</si>
  <si>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</si>
  <si>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</si>
  <si>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</si>
  <si>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</si>
  <si>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</si>
  <si>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</si>
  <si>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normaliosiomis sąlygomis Vn= Vdr n.s *((1/(1+(x*qn/0.8038)))</t>
  </si>
  <si>
    <t>Išplėstinė neapibrėžtis (dujų tūrio debitas) Uv</t>
  </si>
  <si>
    <t>Išplėstinė neapibrėžtis (dujų srauto greitis) Uw</t>
  </si>
  <si>
    <t>Sausų dujų tankis normaliosioms sąlygomis qn, (kg/m3)</t>
  </si>
  <si>
    <t xml:space="preserve">Skaičiavimus atliko (inicialai, data) </t>
  </si>
  <si>
    <t>Iš Aerodinamika</t>
  </si>
  <si>
    <t xml:space="preserve">   </t>
  </si>
  <si>
    <t xml:space="preserve">                                                                                                                                                                                                                                                                                                                                                                                                                                                                                                                                                                                                                                                                                                                                                                                                                                                                                                                                                                                                                                                                                                                                                                                                                                                                                                                                                        </t>
  </si>
  <si>
    <t>RPU**</t>
  </si>
  <si>
    <t>Kai bus 2 linijos, RPU** yra 2 linijos vidurinis taškas.</t>
  </si>
  <si>
    <t xml:space="preserve">                     </t>
  </si>
  <si>
    <t>Debitas pagal matuotą dujų greitį</t>
  </si>
  <si>
    <t xml:space="preserve">Vidurkis Vo (l/min) </t>
  </si>
  <si>
    <t xml:space="preserve">Vidurkių vidurkis Vo vid (l/min) </t>
  </si>
  <si>
    <t>Suma Vmk (m3)</t>
  </si>
  <si>
    <t>Viso suma Vmk(sum), m3.</t>
  </si>
  <si>
    <t>Išmatuotas diferencinis slėgis taškuose    1 linija, Pdi, hPa</t>
  </si>
  <si>
    <t>Išmatuotas diferencinis slėgis  taškuose    2 linija, Pdi, hPa</t>
  </si>
  <si>
    <t>Išplėstinės neapibrėžties koef. A</t>
  </si>
  <si>
    <t>Srauto greitis ortakyje wor (m/s)</t>
  </si>
  <si>
    <t>Išmatuotas diferencinis slėgis taškuose, Pdi, hPa</t>
  </si>
  <si>
    <t>XX</t>
  </si>
  <si>
    <t>X</t>
  </si>
  <si>
    <t>XXXX-XX-XX</t>
  </si>
  <si>
    <t>XXXX</t>
  </si>
  <si>
    <t>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</si>
</sst>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1"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
      <sz val="12"/>
      <name val="Times New Roman"/>
      <family val="1"/>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20">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307">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0" fontId="8" fillId="0" borderId="0" xfId="0" applyFont="1" applyAlignment="1" applyProtection="1">
      <alignment horizontal="center"/>
      <protection locked="0"/>
    </xf>
    <xf numFmtId="0" fontId="4" fillId="0" borderId="0" xfId="0" applyFont="1" applyAlignment="1" applyProtection="1">
      <alignment horizontal="center"/>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0" fontId="4" fillId="3" borderId="0" xfId="0" applyFont="1" applyFill="1" applyProtection="1">
      <protection locked="0"/>
    </xf>
    <xf numFmtId="0" fontId="4" fillId="4" borderId="0" xfId="0" applyFont="1" applyFill="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8" xfId="0" applyFont="1" applyBorder="1" applyProtection="1">
      <protection locked="0"/>
    </xf>
    <xf numFmtId="170" fontId="4" fillId="0" borderId="10"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167" fontId="4" fillId="0" borderId="5" xfId="0" applyNumberFormat="1" applyFont="1" applyBorder="1" applyAlignment="1" applyProtection="1">
      <alignment horizontal="center"/>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0" fontId="4" fillId="0" borderId="10" xfId="0" applyFont="1" applyBorder="1" applyProtection="1">
      <protection locked="0"/>
    </xf>
    <xf numFmtId="0" fontId="4" fillId="0" borderId="5" xfId="0" applyFont="1" applyBorder="1" applyAlignment="1" applyProtection="1">
      <alignment horizontal="center" vertical="center"/>
      <protection locked="0"/>
    </xf>
    <xf numFmtId="167" fontId="4" fillId="0" borderId="10" xfId="0" applyNumberFormat="1" applyFont="1" applyBorder="1" applyAlignment="1" applyProtection="1">
      <alignment horizont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166" fontId="4" fillId="0" borderId="0" xfId="0" applyNumberFormat="1" applyFont="1" applyAlignment="1" applyProtection="1">
      <alignment horizontal="center" vertical="top" wrapText="1"/>
      <protection locked="0"/>
    </xf>
    <xf numFmtId="166" fontId="4" fillId="0" borderId="4" xfId="0" applyNumberFormat="1" applyFont="1" applyBorder="1" applyAlignment="1" applyProtection="1">
      <alignment horizontal="center" vertical="top" wrapText="1"/>
      <protection locked="0"/>
    </xf>
    <xf numFmtId="166" fontId="4" fillId="2" borderId="5" xfId="0" applyNumberFormat="1" applyFont="1" applyFill="1" applyBorder="1" applyAlignment="1">
      <alignment horizontal="center" vertical="center"/>
    </xf>
    <xf numFmtId="166" fontId="8" fillId="2" borderId="4" xfId="0" applyNumberFormat="1" applyFont="1" applyFill="1" applyBorder="1" applyAlignment="1">
      <alignment horizontal="center" vertical="top"/>
    </xf>
    <xf numFmtId="2" fontId="4" fillId="2" borderId="4" xfId="0" applyNumberFormat="1" applyFont="1" applyFill="1" applyBorder="1" applyAlignment="1">
      <alignment horizontal="center" vertical="center"/>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2" fontId="8" fillId="2" borderId="5" xfId="0" applyNumberFormat="1" applyFont="1" applyFill="1" applyBorder="1" applyAlignment="1">
      <alignment horizontal="center" vertical="center"/>
    </xf>
    <xf numFmtId="168" fontId="8" fillId="2" borderId="15" xfId="0" applyNumberFormat="1" applyFont="1" applyFill="1" applyBorder="1" applyAlignment="1">
      <alignment horizontal="center" vertical="center"/>
    </xf>
    <xf numFmtId="2" fontId="8" fillId="2" borderId="4" xfId="0" applyNumberFormat="1" applyFont="1" applyFill="1" applyBorder="1" applyAlignment="1" applyProtection="1">
      <alignment horizontal="center" vertical="center"/>
      <protection locked="0"/>
    </xf>
    <xf numFmtId="166" fontId="8" fillId="0" borderId="16" xfId="0" applyNumberFormat="1" applyFont="1" applyBorder="1" applyAlignment="1">
      <alignment vertical="center"/>
    </xf>
    <xf numFmtId="166" fontId="8" fillId="0" borderId="0" xfId="0" applyNumberFormat="1" applyFont="1" applyAlignment="1">
      <alignment vertical="center"/>
    </xf>
    <xf numFmtId="168"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0" fontId="4" fillId="0" borderId="9" xfId="0" applyFont="1" applyBorder="1" applyAlignment="1" applyProtection="1">
      <alignment horizontal="center"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3" xfId="0" applyFont="1" applyBorder="1" applyProtection="1">
      <protection locked="0"/>
    </xf>
    <xf numFmtId="0" fontId="4"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4" fillId="0" borderId="11" xfId="0" applyFont="1" applyBorder="1" applyAlignment="1" applyProtection="1">
      <alignment horizontal="center" vertical="center"/>
      <protection locked="0"/>
    </xf>
    <xf numFmtId="167" fontId="8" fillId="2" borderId="11" xfId="0" applyNumberFormat="1" applyFont="1" applyFill="1" applyBorder="1" applyAlignment="1">
      <alignment horizontal="center" vertical="center"/>
    </xf>
    <xf numFmtId="0" fontId="8" fillId="0" borderId="4" xfId="1" applyFont="1" applyBorder="1" applyAlignment="1" applyProtection="1">
      <alignment horizontal="center" vertical="center" wrapText="1"/>
      <protection locked="0"/>
    </xf>
    <xf numFmtId="167" fontId="8" fillId="2" borderId="4" xfId="0" applyNumberFormat="1" applyFont="1" applyFill="1" applyBorder="1" applyAlignment="1">
      <alignment horizontal="center" vertical="center"/>
    </xf>
    <xf numFmtId="167" fontId="8" fillId="2" borderId="5" xfId="0" applyNumberFormat="1" applyFont="1" applyFill="1" applyBorder="1" applyAlignment="1">
      <alignment horizontal="center" vertical="center"/>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0" fontId="16" fillId="0" borderId="0" xfId="0" applyFont="1" applyAlignment="1" applyProtection="1">
      <alignment horizontal="center" vertical="center"/>
      <protection locked="0"/>
    </xf>
    <xf numFmtId="0" fontId="16" fillId="8" borderId="4" xfId="0" applyFont="1" applyFill="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2" fontId="16" fillId="2" borderId="4" xfId="0" applyNumberFormat="1" applyFont="1" applyFill="1" applyBorder="1" applyAlignment="1">
      <alignment horizontal="center" vertical="center"/>
    </xf>
    <xf numFmtId="0" fontId="16" fillId="0" borderId="4"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1" fontId="17" fillId="0" borderId="4" xfId="0" applyNumberFormat="1"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49" fontId="4" fillId="0" borderId="14"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8" fillId="0" borderId="17" xfId="0" applyFont="1" applyBorder="1" applyAlignment="1" applyProtection="1">
      <alignment wrapText="1"/>
      <protection locked="0"/>
    </xf>
    <xf numFmtId="0" fontId="28" fillId="0" borderId="7" xfId="0" applyFont="1" applyBorder="1" applyProtection="1">
      <protection locked="0"/>
    </xf>
    <xf numFmtId="0" fontId="28" fillId="0" borderId="13" xfId="0" applyFont="1" applyBorder="1" applyProtection="1">
      <protection locked="0"/>
    </xf>
    <xf numFmtId="0" fontId="28" fillId="0" borderId="13" xfId="0" applyFont="1" applyBorder="1" applyAlignment="1" applyProtection="1">
      <alignment wrapText="1"/>
      <protection locked="0"/>
    </xf>
    <xf numFmtId="1" fontId="8" fillId="2" borderId="4" xfId="0" applyNumberFormat="1" applyFont="1" applyFill="1" applyBorder="1" applyAlignment="1">
      <alignment horizontal="center" vertical="top"/>
    </xf>
    <xf numFmtId="1" fontId="8" fillId="2" borderId="4" xfId="0" applyNumberFormat="1" applyFont="1" applyFill="1" applyBorder="1" applyAlignment="1">
      <alignment horizontal="center" vertical="center"/>
    </xf>
    <xf numFmtId="166" fontId="8" fillId="2" borderId="4" xfId="0" applyNumberFormat="1" applyFont="1" applyFill="1" applyBorder="1" applyAlignment="1">
      <alignment horizontal="center" vertical="center"/>
    </xf>
    <xf numFmtId="0" fontId="8" fillId="0" borderId="0" xfId="0" applyFont="1" applyAlignment="1" applyProtection="1">
      <alignment horizontal="center" vertical="center"/>
      <protection locked="0"/>
    </xf>
    <xf numFmtId="164" fontId="4" fillId="2" borderId="8" xfId="0" applyNumberFormat="1" applyFont="1" applyFill="1" applyBorder="1" applyAlignment="1">
      <alignment horizontal="center" vertical="center"/>
    </xf>
    <xf numFmtId="1" fontId="9" fillId="5" borderId="4" xfId="0" applyNumberFormat="1" applyFont="1" applyFill="1" applyBorder="1" applyAlignment="1" applyProtection="1">
      <alignment horizontal="center" vertical="center"/>
      <protection locked="0"/>
    </xf>
    <xf numFmtId="0" fontId="9" fillId="5" borderId="4" xfId="0"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167" fontId="8" fillId="7" borderId="4" xfId="0" applyNumberFormat="1" applyFont="1" applyFill="1" applyBorder="1" applyAlignment="1">
      <alignment horizontal="center" vertical="center"/>
    </xf>
    <xf numFmtId="0" fontId="29"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49" fontId="10" fillId="0" borderId="4" xfId="0" applyNumberFormat="1" applyFont="1" applyBorder="1" applyAlignment="1" applyProtection="1">
      <alignment horizontal="center" vertical="center" wrapText="1"/>
      <protection locked="0"/>
    </xf>
    <xf numFmtId="0" fontId="29" fillId="0" borderId="4"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2" fontId="9" fillId="0" borderId="4" xfId="0" applyNumberFormat="1" applyFont="1" applyBorder="1" applyAlignment="1" applyProtection="1">
      <alignment horizontal="center" vertical="center"/>
      <protection locked="0"/>
    </xf>
    <xf numFmtId="167" fontId="9" fillId="2" borderId="4" xfId="0" applyNumberFormat="1" applyFont="1" applyFill="1" applyBorder="1" applyAlignment="1">
      <alignment horizontal="center" vertical="center"/>
    </xf>
    <xf numFmtId="0" fontId="9" fillId="2" borderId="4" xfId="0" applyFont="1" applyFill="1" applyBorder="1" applyAlignment="1">
      <alignment horizontal="center" vertical="center"/>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166" fontId="9" fillId="10" borderId="4" xfId="0" applyNumberFormat="1" applyFont="1" applyFill="1" applyBorder="1" applyAlignment="1">
      <alignment horizontal="center" vertical="center"/>
    </xf>
    <xf numFmtId="167" fontId="9" fillId="10" borderId="4" xfId="0" applyNumberFormat="1" applyFont="1" applyFill="1" applyBorder="1" applyAlignment="1">
      <alignment horizontal="center" vertical="center"/>
    </xf>
    <xf numFmtId="1" fontId="9" fillId="10" borderId="4" xfId="0" applyNumberFormat="1" applyFont="1" applyFill="1" applyBorder="1" applyAlignment="1">
      <alignment horizontal="center" vertical="center"/>
    </xf>
    <xf numFmtId="2" fontId="9" fillId="10"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167"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0" fontId="29" fillId="0" borderId="14" xfId="0" applyFont="1" applyBorder="1" applyAlignment="1" applyProtection="1">
      <alignment horizontal="center" vertical="center"/>
      <protection locked="0"/>
    </xf>
    <xf numFmtId="0" fontId="29" fillId="0" borderId="17" xfId="0" applyFont="1" applyBorder="1" applyAlignment="1" applyProtection="1">
      <alignment horizontal="center" vertical="center"/>
      <protection locked="0"/>
    </xf>
    <xf numFmtId="0" fontId="29" fillId="0" borderId="5"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166" fontId="9" fillId="0" borderId="4" xfId="0" applyNumberFormat="1" applyFont="1" applyBorder="1" applyAlignment="1" applyProtection="1">
      <alignment horizontal="center" vertical="center" wrapText="1"/>
      <protection locked="0"/>
    </xf>
    <xf numFmtId="166" fontId="29" fillId="0" borderId="4" xfId="0" applyNumberFormat="1" applyFont="1" applyBorder="1" applyAlignment="1" applyProtection="1">
      <alignment horizontal="center" vertical="center"/>
      <protection locked="0"/>
    </xf>
    <xf numFmtId="0" fontId="29" fillId="0" borderId="4" xfId="0" applyFont="1" applyBorder="1" applyAlignment="1" applyProtection="1">
      <alignment horizontal="center" vertical="center" wrapText="1"/>
      <protection locked="0"/>
    </xf>
    <xf numFmtId="166" fontId="9" fillId="0" borderId="0" xfId="0" applyNumberFormat="1" applyFont="1" applyAlignment="1" applyProtection="1">
      <alignment horizontal="center" vertical="center"/>
      <protection locked="0"/>
    </xf>
    <xf numFmtId="166" fontId="29" fillId="0" borderId="0" xfId="0" applyNumberFormat="1" applyFon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29" fillId="0" borderId="15"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2" fontId="9" fillId="0" borderId="15"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166" fontId="9" fillId="0" borderId="5" xfId="0" applyNumberFormat="1" applyFont="1" applyBorder="1" applyAlignment="1" applyProtection="1">
      <alignment horizontal="center" vertical="center" wrapText="1"/>
      <protection locked="0"/>
    </xf>
    <xf numFmtId="166" fontId="9" fillId="0" borderId="5" xfId="0" applyNumberFormat="1" applyFont="1" applyBorder="1" applyAlignment="1" applyProtection="1">
      <alignment horizontal="center" vertical="center"/>
      <protection locked="0"/>
    </xf>
    <xf numFmtId="166" fontId="12" fillId="10" borderId="4" xfId="0" applyNumberFormat="1" applyFont="1" applyFill="1" applyBorder="1" applyAlignment="1">
      <alignment horizontal="center" vertical="center"/>
    </xf>
    <xf numFmtId="168" fontId="12" fillId="10" borderId="4" xfId="0" applyNumberFormat="1" applyFont="1" applyFill="1" applyBorder="1" applyAlignment="1">
      <alignment horizontal="center" vertical="center"/>
    </xf>
    <xf numFmtId="2" fontId="12" fillId="10" borderId="4" xfId="0" applyNumberFormat="1" applyFont="1" applyFill="1" applyBorder="1" applyAlignment="1">
      <alignment horizontal="center" vertical="center"/>
    </xf>
    <xf numFmtId="0" fontId="9" fillId="10" borderId="4" xfId="0"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0" borderId="4"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vertical="center"/>
      <protection locked="0"/>
    </xf>
    <xf numFmtId="2" fontId="8" fillId="2" borderId="5" xfId="0" applyNumberFormat="1" applyFont="1" applyFill="1" applyBorder="1" applyAlignment="1">
      <alignment horizontal="center" vertical="center" wrapText="1"/>
    </xf>
    <xf numFmtId="2" fontId="8" fillId="2" borderId="4" xfId="0" applyNumberFormat="1" applyFont="1" applyFill="1" applyBorder="1" applyAlignment="1">
      <alignment horizontal="center" vertical="center" wrapText="1"/>
    </xf>
    <xf numFmtId="164" fontId="8" fillId="2" borderId="4" xfId="0" applyNumberFormat="1" applyFont="1" applyFill="1" applyBorder="1" applyAlignment="1">
      <alignment horizontal="center" vertical="center"/>
    </xf>
    <xf numFmtId="170" fontId="4" fillId="10" borderId="5" xfId="0" applyNumberFormat="1" applyFont="1" applyFill="1" applyBorder="1" applyAlignment="1">
      <alignment horizontal="center" vertical="center"/>
    </xf>
    <xf numFmtId="167" fontId="4" fillId="10" borderId="4" xfId="0" applyNumberFormat="1" applyFont="1" applyFill="1" applyBorder="1" applyAlignment="1">
      <alignment horizontal="center" vertical="center"/>
    </xf>
    <xf numFmtId="1" fontId="4" fillId="10" borderId="4" xfId="0" applyNumberFormat="1" applyFont="1" applyFill="1" applyBorder="1" applyAlignment="1">
      <alignment horizontal="center" vertical="center"/>
    </xf>
    <xf numFmtId="2" fontId="4" fillId="10" borderId="4" xfId="0" applyNumberFormat="1" applyFont="1" applyFill="1" applyBorder="1" applyAlignment="1">
      <alignment horizontal="center" vertical="center"/>
    </xf>
    <xf numFmtId="0" fontId="4" fillId="10" borderId="5" xfId="0" applyFont="1" applyFill="1" applyBorder="1" applyAlignment="1">
      <alignment horizontal="center" vertical="center"/>
    </xf>
    <xf numFmtId="2" fontId="4" fillId="10" borderId="5" xfId="0" applyNumberFormat="1" applyFont="1" applyFill="1" applyBorder="1" applyAlignment="1">
      <alignment horizontal="center" vertical="center"/>
    </xf>
    <xf numFmtId="165" fontId="4" fillId="10" borderId="5" xfId="0" applyNumberFormat="1" applyFont="1" applyFill="1" applyBorder="1" applyAlignment="1">
      <alignment horizontal="center" vertical="center"/>
    </xf>
    <xf numFmtId="170" fontId="4" fillId="10" borderId="5" xfId="0" applyNumberFormat="1" applyFont="1" applyFill="1" applyBorder="1" applyAlignment="1">
      <alignment vertical="center"/>
    </xf>
    <xf numFmtId="0" fontId="4" fillId="10" borderId="5" xfId="0" applyFont="1" applyFill="1" applyBorder="1" applyAlignment="1">
      <alignment horizontal="center" vertical="center" wrapText="1"/>
    </xf>
    <xf numFmtId="166" fontId="4" fillId="10" borderId="4" xfId="0" applyNumberFormat="1" applyFont="1" applyFill="1" applyBorder="1" applyAlignment="1">
      <alignment horizontal="center" vertical="center"/>
    </xf>
    <xf numFmtId="166" fontId="4" fillId="10" borderId="5" xfId="0" applyNumberFormat="1" applyFont="1" applyFill="1" applyBorder="1" applyAlignment="1">
      <alignment horizontal="center" vertical="center"/>
    </xf>
    <xf numFmtId="1" fontId="4" fillId="10" borderId="5" xfId="0" applyNumberFormat="1" applyFont="1" applyFill="1" applyBorder="1" applyAlignment="1">
      <alignment horizontal="center" vertical="center"/>
    </xf>
    <xf numFmtId="14" fontId="4" fillId="10" borderId="10" xfId="0" applyNumberFormat="1" applyFont="1" applyFill="1" applyBorder="1" applyAlignment="1">
      <alignment vertical="center"/>
    </xf>
    <xf numFmtId="0" fontId="4" fillId="10" borderId="10" xfId="0" applyFont="1" applyFill="1" applyBorder="1" applyAlignment="1">
      <alignment horizontal="center" vertical="center" wrapText="1"/>
    </xf>
    <xf numFmtId="171" fontId="4" fillId="10" borderId="10" xfId="0" applyNumberFormat="1" applyFont="1" applyFill="1" applyBorder="1" applyAlignment="1">
      <alignment horizontal="center" vertical="center" wrapText="1"/>
    </xf>
    <xf numFmtId="165" fontId="4" fillId="10" borderId="9" xfId="0" applyNumberFormat="1" applyFont="1" applyFill="1" applyBorder="1" applyAlignment="1">
      <alignment horizontal="center" vertical="center"/>
    </xf>
    <xf numFmtId="165" fontId="4" fillId="10" borderId="8" xfId="0" applyNumberFormat="1" applyFont="1" applyFill="1" applyBorder="1" applyAlignment="1">
      <alignment horizontal="center" vertical="center"/>
    </xf>
    <xf numFmtId="171" fontId="4" fillId="10" borderId="4" xfId="0" applyNumberFormat="1" applyFont="1" applyFill="1" applyBorder="1" applyAlignment="1">
      <alignment horizontal="center" vertical="center" wrapText="1"/>
    </xf>
    <xf numFmtId="165" fontId="4" fillId="10" borderId="4" xfId="0" applyNumberFormat="1" applyFont="1" applyFill="1" applyBorder="1" applyAlignment="1">
      <alignment horizontal="center" vertical="center"/>
    </xf>
    <xf numFmtId="168" fontId="4" fillId="10" borderId="10" xfId="0" applyNumberFormat="1" applyFont="1" applyFill="1" applyBorder="1" applyAlignment="1">
      <alignment horizontal="center" vertical="center"/>
    </xf>
    <xf numFmtId="168" fontId="4" fillId="10" borderId="4" xfId="0" applyNumberFormat="1" applyFont="1" applyFill="1" applyBorder="1" applyAlignment="1">
      <alignment horizontal="center" vertical="center"/>
    </xf>
    <xf numFmtId="166" fontId="4" fillId="10" borderId="12" xfId="0" applyNumberFormat="1" applyFont="1" applyFill="1" applyBorder="1" applyAlignment="1">
      <alignment horizontal="center" vertical="center"/>
    </xf>
    <xf numFmtId="0" fontId="4" fillId="10" borderId="8" xfId="0" applyFont="1" applyFill="1" applyBorder="1" applyAlignment="1">
      <alignment horizontal="center" vertical="center"/>
    </xf>
    <xf numFmtId="14" fontId="4" fillId="0" borderId="10" xfId="0" applyNumberFormat="1" applyFont="1" applyBorder="1" applyAlignment="1">
      <alignment vertical="center"/>
    </xf>
    <xf numFmtId="0" fontId="4" fillId="0" borderId="10" xfId="0" applyFont="1" applyBorder="1" applyAlignment="1">
      <alignment horizontal="center" vertical="center" wrapText="1"/>
    </xf>
    <xf numFmtId="14" fontId="4" fillId="0" borderId="8" xfId="0" applyNumberFormat="1" applyFont="1" applyBorder="1" applyAlignment="1">
      <alignment vertical="center"/>
    </xf>
    <xf numFmtId="0" fontId="4" fillId="0" borderId="8" xfId="0" applyFont="1" applyBorder="1" applyAlignment="1">
      <alignment horizontal="center" vertical="center"/>
    </xf>
    <xf numFmtId="171" fontId="4" fillId="0" borderId="4" xfId="0" applyNumberFormat="1" applyFont="1" applyBorder="1" applyAlignment="1">
      <alignment horizontal="center" vertical="center" wrapText="1"/>
    </xf>
    <xf numFmtId="164" fontId="4" fillId="0" borderId="9" xfId="0" applyNumberFormat="1" applyFont="1" applyBorder="1" applyAlignment="1">
      <alignment horizontal="center" vertical="center"/>
    </xf>
    <xf numFmtId="164" fontId="4" fillId="0" borderId="4" xfId="0" applyNumberFormat="1" applyFont="1" applyBorder="1" applyAlignment="1">
      <alignment horizontal="center" vertical="center"/>
    </xf>
    <xf numFmtId="168" fontId="4" fillId="0" borderId="4" xfId="0" applyNumberFormat="1" applyFont="1" applyBorder="1" applyAlignment="1">
      <alignment horizontal="center" vertical="center"/>
    </xf>
    <xf numFmtId="167" fontId="4" fillId="0" borderId="6" xfId="0" applyNumberFormat="1" applyFont="1" applyBorder="1" applyAlignment="1">
      <alignment horizontal="center" vertical="center"/>
    </xf>
    <xf numFmtId="164" fontId="8" fillId="0" borderId="4" xfId="0" applyNumberFormat="1" applyFont="1" applyBorder="1" applyAlignment="1">
      <alignment vertical="center"/>
    </xf>
    <xf numFmtId="166" fontId="4" fillId="0" borderId="12" xfId="0" applyNumberFormat="1" applyFont="1" applyBorder="1" applyAlignment="1">
      <alignment horizontal="center" vertical="center"/>
    </xf>
    <xf numFmtId="166" fontId="4" fillId="0" borderId="13" xfId="0" applyNumberFormat="1" applyFont="1" applyBorder="1" applyAlignment="1">
      <alignment horizontal="center" vertical="center"/>
    </xf>
    <xf numFmtId="0" fontId="4" fillId="0" borderId="4" xfId="0" applyFont="1" applyBorder="1" applyAlignment="1">
      <alignment horizontal="center" vertical="center"/>
    </xf>
    <xf numFmtId="0" fontId="4" fillId="10" borderId="12" xfId="0" applyFont="1" applyFill="1" applyBorder="1" applyAlignment="1">
      <alignment horizontal="center" vertical="center"/>
    </xf>
    <xf numFmtId="172" fontId="4" fillId="10" borderId="10" xfId="0" applyNumberFormat="1" applyFont="1" applyFill="1" applyBorder="1" applyAlignment="1">
      <alignment horizontal="center" vertical="center"/>
    </xf>
    <xf numFmtId="164" fontId="4" fillId="10" borderId="11" xfId="0" applyNumberFormat="1" applyFont="1" applyFill="1" applyBorder="1" applyAlignment="1">
      <alignment horizontal="center" vertical="center"/>
    </xf>
    <xf numFmtId="0" fontId="4" fillId="10" borderId="7" xfId="0" applyFont="1" applyFill="1" applyBorder="1" applyAlignment="1">
      <alignment horizontal="center" vertical="center"/>
    </xf>
    <xf numFmtId="0" fontId="4" fillId="0" borderId="13" xfId="0" applyFont="1" applyBorder="1" applyAlignment="1">
      <alignment horizontal="center" vertical="center"/>
    </xf>
    <xf numFmtId="0" fontId="10" fillId="0" borderId="4" xfId="0" applyFont="1" applyBorder="1" applyAlignment="1">
      <alignment horizontal="center" vertical="center" wrapText="1"/>
    </xf>
    <xf numFmtId="0" fontId="16" fillId="10" borderId="4" xfId="0" applyFont="1" applyFill="1" applyBorder="1" applyAlignment="1">
      <alignment horizontal="center" vertical="center"/>
    </xf>
    <xf numFmtId="2" fontId="16" fillId="10" borderId="4" xfId="0" applyNumberFormat="1" applyFont="1" applyFill="1" applyBorder="1" applyAlignment="1">
      <alignment horizontal="center" vertical="center"/>
    </xf>
    <xf numFmtId="2" fontId="9" fillId="5" borderId="4" xfId="0" applyNumberFormat="1" applyFont="1" applyFill="1" applyBorder="1" applyAlignment="1" applyProtection="1">
      <alignment horizontal="center" vertical="center" wrapText="1"/>
      <protection locked="0"/>
    </xf>
    <xf numFmtId="2" fontId="9" fillId="5" borderId="5" xfId="0" applyNumberFormat="1" applyFont="1" applyFill="1" applyBorder="1" applyAlignment="1" applyProtection="1">
      <alignment horizontal="center" vertical="center" wrapText="1"/>
      <protection locked="0"/>
    </xf>
    <xf numFmtId="2" fontId="9" fillId="5" borderId="5" xfId="0" applyNumberFormat="1" applyFont="1" applyFill="1" applyBorder="1" applyAlignment="1" applyProtection="1">
      <alignment horizontal="center" vertical="center"/>
      <protection locked="0"/>
    </xf>
    <xf numFmtId="2" fontId="9" fillId="5" borderId="18" xfId="0" applyNumberFormat="1" applyFont="1" applyFill="1" applyBorder="1" applyAlignment="1" applyProtection="1">
      <alignment horizontal="center" vertical="center"/>
      <protection locked="0"/>
    </xf>
    <xf numFmtId="2" fontId="9" fillId="5" borderId="19" xfId="0" applyNumberFormat="1" applyFont="1" applyFill="1" applyBorder="1" applyAlignment="1" applyProtection="1">
      <alignment horizontal="center" vertical="center"/>
      <protection locked="0"/>
    </xf>
    <xf numFmtId="166" fontId="12" fillId="5" borderId="4" xfId="0" applyNumberFormat="1" applyFont="1" applyFill="1" applyBorder="1" applyAlignment="1" applyProtection="1">
      <alignment horizontal="center" vertical="center" wrapText="1"/>
      <protection locked="0"/>
    </xf>
    <xf numFmtId="2" fontId="8" fillId="5" borderId="5" xfId="0" applyNumberFormat="1" applyFont="1" applyFill="1" applyBorder="1" applyAlignment="1" applyProtection="1">
      <alignment horizontal="center" vertical="center"/>
      <protection locked="0"/>
    </xf>
    <xf numFmtId="165" fontId="8" fillId="5" borderId="5" xfId="0" applyNumberFormat="1" applyFont="1" applyFill="1" applyBorder="1" applyAlignment="1" applyProtection="1">
      <alignment horizontal="center" vertical="center"/>
      <protection locked="0"/>
    </xf>
    <xf numFmtId="0" fontId="8" fillId="5" borderId="4" xfId="0" applyFont="1" applyFill="1" applyBorder="1" applyAlignment="1" applyProtection="1">
      <alignment horizontal="center" vertical="center"/>
      <protection locked="0"/>
    </xf>
    <xf numFmtId="167" fontId="8" fillId="5" borderId="4" xfId="0" applyNumberFormat="1" applyFont="1" applyFill="1" applyBorder="1" applyAlignment="1" applyProtection="1">
      <alignment horizontal="center" vertical="center"/>
      <protection locked="0"/>
    </xf>
    <xf numFmtId="167" fontId="28" fillId="5" borderId="4" xfId="0" applyNumberFormat="1" applyFont="1" applyFill="1" applyBorder="1" applyAlignment="1" applyProtection="1">
      <alignment horizontal="center" vertical="center"/>
      <protection locked="0"/>
    </xf>
    <xf numFmtId="1" fontId="28" fillId="5" borderId="4" xfId="0" applyNumberFormat="1" applyFont="1" applyFill="1" applyBorder="1" applyAlignment="1" applyProtection="1">
      <alignment horizontal="center" vertical="center"/>
      <protection locked="0"/>
    </xf>
    <xf numFmtId="2" fontId="28" fillId="11" borderId="4" xfId="0" applyNumberFormat="1" applyFont="1" applyFill="1" applyBorder="1" applyAlignment="1" applyProtection="1">
      <alignment horizontal="center" vertical="center"/>
      <protection locked="0"/>
    </xf>
    <xf numFmtId="167" fontId="9" fillId="5" borderId="4" xfId="0" applyNumberFormat="1" applyFont="1" applyFill="1" applyBorder="1" applyAlignment="1" applyProtection="1">
      <alignment horizontal="center" vertical="center"/>
      <protection locked="0"/>
    </xf>
    <xf numFmtId="0" fontId="30" fillId="5" borderId="4" xfId="0" applyFont="1" applyFill="1" applyBorder="1" applyAlignment="1" applyProtection="1">
      <alignment horizontal="center" vertical="center"/>
      <protection locked="0"/>
    </xf>
    <xf numFmtId="167" fontId="30" fillId="5" borderId="4" xfId="0" applyNumberFormat="1" applyFont="1" applyFill="1" applyBorder="1" applyAlignment="1" applyProtection="1">
      <alignment horizontal="center" vertical="center"/>
      <protection locked="0"/>
    </xf>
    <xf numFmtId="166" fontId="9" fillId="5" borderId="4" xfId="0" applyNumberFormat="1" applyFont="1" applyFill="1" applyBorder="1" applyAlignment="1" applyProtection="1">
      <alignment horizontal="center" vertical="center"/>
      <protection locked="0"/>
    </xf>
    <xf numFmtId="166" fontId="30" fillId="5" borderId="4" xfId="0" applyNumberFormat="1" applyFont="1" applyFill="1" applyBorder="1" applyAlignment="1" applyProtection="1">
      <alignment horizontal="center" vertical="center"/>
      <protection locked="0"/>
    </xf>
    <xf numFmtId="2" fontId="28" fillId="5" borderId="4" xfId="0" applyNumberFormat="1" applyFont="1" applyFill="1" applyBorder="1" applyAlignment="1" applyProtection="1">
      <alignment horizontal="center" vertical="center"/>
      <protection locked="0"/>
    </xf>
    <xf numFmtId="2" fontId="9" fillId="5" borderId="4" xfId="0" applyNumberFormat="1" applyFont="1" applyFill="1" applyBorder="1" applyAlignment="1" applyProtection="1">
      <alignment horizontal="center" vertical="center"/>
      <protection locked="0"/>
    </xf>
    <xf numFmtId="0" fontId="12" fillId="5" borderId="4" xfId="0" applyFont="1" applyFill="1" applyBorder="1" applyAlignment="1" applyProtection="1">
      <alignment horizontal="center" vertical="center"/>
      <protection locked="0"/>
    </xf>
    <xf numFmtId="0" fontId="13" fillId="0" borderId="5" xfId="0" applyFont="1" applyBorder="1" applyAlignment="1" applyProtection="1">
      <alignment horizontal="center" vertical="center" wrapText="1"/>
      <protection locked="0"/>
    </xf>
    <xf numFmtId="165" fontId="4" fillId="5" borderId="8" xfId="0" applyNumberFormat="1" applyFont="1" applyFill="1" applyBorder="1" applyAlignment="1" applyProtection="1">
      <alignment horizontal="center" vertical="center"/>
      <protection locked="0"/>
    </xf>
    <xf numFmtId="165" fontId="4" fillId="5" borderId="4" xfId="0" applyNumberFormat="1" applyFont="1" applyFill="1" applyBorder="1" applyAlignment="1" applyProtection="1">
      <alignment horizontal="center" vertical="center"/>
      <protection locked="0"/>
    </xf>
    <xf numFmtId="165" fontId="4" fillId="5" borderId="6" xfId="0" applyNumberFormat="1" applyFont="1" applyFill="1" applyBorder="1" applyAlignment="1" applyProtection="1">
      <alignment horizontal="center" vertical="center"/>
      <protection locked="0"/>
    </xf>
    <xf numFmtId="165" fontId="4" fillId="5" borderId="5" xfId="0" applyNumberFormat="1" applyFont="1" applyFill="1" applyBorder="1" applyAlignment="1" applyProtection="1">
      <alignment horizontal="center" vertical="center"/>
      <protection locked="0"/>
    </xf>
    <xf numFmtId="165" fontId="4" fillId="5" borderId="14" xfId="0" applyNumberFormat="1" applyFont="1" applyFill="1" applyBorder="1" applyAlignment="1" applyProtection="1">
      <alignment horizontal="center" vertical="center"/>
      <protection locked="0"/>
    </xf>
    <xf numFmtId="165" fontId="4" fillId="5" borderId="9" xfId="0" applyNumberFormat="1" applyFont="1" applyFill="1" applyBorder="1" applyAlignment="1" applyProtection="1">
      <alignment horizontal="center" vertical="center"/>
      <protection locked="0"/>
    </xf>
    <xf numFmtId="165" fontId="4" fillId="5" borderId="7" xfId="0" applyNumberFormat="1" applyFont="1" applyFill="1" applyBorder="1" applyAlignment="1" applyProtection="1">
      <alignment horizontal="center" vertical="center"/>
      <protection locked="0"/>
    </xf>
    <xf numFmtId="165" fontId="4" fillId="5" borderId="17" xfId="0" applyNumberFormat="1" applyFont="1" applyFill="1" applyBorder="1" applyAlignment="1" applyProtection="1">
      <alignment horizontal="center" vertical="center"/>
      <protection locked="0"/>
    </xf>
    <xf numFmtId="165" fontId="4" fillId="5" borderId="13" xfId="0" applyNumberFormat="1" applyFont="1" applyFill="1" applyBorder="1" applyAlignment="1" applyProtection="1">
      <alignment horizontal="center" vertical="center"/>
      <protection locked="0"/>
    </xf>
    <xf numFmtId="165" fontId="4" fillId="0" borderId="6" xfId="0" applyNumberFormat="1" applyFont="1" applyBorder="1" applyAlignment="1">
      <alignment horizontal="center" vertical="center"/>
    </xf>
    <xf numFmtId="0" fontId="9" fillId="0" borderId="0" xfId="0" applyFont="1" applyAlignment="1" applyProtection="1">
      <alignment horizontal="center" vertical="center"/>
      <protection locked="0"/>
    </xf>
    <xf numFmtId="0" fontId="10" fillId="0" borderId="14"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29" fillId="0" borderId="5" xfId="0" applyFont="1" applyBorder="1" applyAlignment="1" applyProtection="1">
      <alignment horizontal="center" vertical="center"/>
      <protection locked="0"/>
    </xf>
    <xf numFmtId="0" fontId="29" fillId="0" borderId="10" xfId="0" applyFont="1" applyBorder="1" applyAlignment="1" applyProtection="1">
      <alignment horizontal="center" vertical="center"/>
      <protection locked="0"/>
    </xf>
    <xf numFmtId="0" fontId="29" fillId="0" borderId="8" xfId="0" applyFont="1" applyBorder="1" applyAlignment="1" applyProtection="1">
      <alignment horizontal="center" vertical="center"/>
      <protection locked="0"/>
    </xf>
    <xf numFmtId="14" fontId="29" fillId="0" borderId="5" xfId="0" applyNumberFormat="1" applyFont="1" applyBorder="1" applyAlignment="1" applyProtection="1">
      <alignment horizontal="center" vertical="top"/>
      <protection locked="0"/>
    </xf>
    <xf numFmtId="0" fontId="29" fillId="0" borderId="10" xfId="0" applyFont="1" applyBorder="1" applyAlignment="1" applyProtection="1">
      <alignment horizontal="center" vertical="top"/>
      <protection locked="0"/>
    </xf>
    <xf numFmtId="0" fontId="29" fillId="0" borderId="8" xfId="0" applyFont="1" applyBorder="1" applyAlignment="1" applyProtection="1">
      <alignment horizontal="center" vertical="top"/>
      <protection locked="0"/>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11"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29" fillId="0" borderId="4" xfId="0" applyFont="1" applyBorder="1" applyAlignment="1" applyProtection="1">
      <alignment horizontal="center" vertical="top"/>
      <protection locked="0"/>
    </xf>
    <xf numFmtId="0" fontId="29" fillId="0" borderId="4" xfId="0" applyFont="1" applyBorder="1" applyAlignment="1" applyProtection="1">
      <alignment horizontal="center" vertical="top" wrapText="1"/>
      <protection locked="0"/>
    </xf>
    <xf numFmtId="2" fontId="9" fillId="10" borderId="14" xfId="0" applyNumberFormat="1" applyFont="1" applyFill="1" applyBorder="1" applyAlignment="1" applyProtection="1">
      <alignment horizontal="center" vertical="center" wrapText="1"/>
      <protection locked="0"/>
    </xf>
    <xf numFmtId="2" fontId="9" fillId="10" borderId="16" xfId="0" applyNumberFormat="1" applyFont="1" applyFill="1" applyBorder="1" applyAlignment="1" applyProtection="1">
      <alignment horizontal="center" vertical="center" wrapText="1"/>
      <protection locked="0"/>
    </xf>
    <xf numFmtId="2" fontId="9" fillId="10" borderId="17" xfId="0" applyNumberFormat="1" applyFont="1" applyFill="1" applyBorder="1" applyAlignment="1" applyProtection="1">
      <alignment horizontal="center" vertical="center" wrapText="1"/>
      <protection locked="0"/>
    </xf>
    <xf numFmtId="0" fontId="4" fillId="0" borderId="4" xfId="0" applyFont="1" applyBorder="1" applyAlignment="1" applyProtection="1">
      <alignment horizontal="center" wrapText="1"/>
      <protection locked="0"/>
    </xf>
    <xf numFmtId="0" fontId="10" fillId="10" borderId="5" xfId="0" applyFont="1" applyFill="1" applyBorder="1" applyAlignment="1">
      <alignment horizontal="center" vertical="top" wrapText="1"/>
    </xf>
    <xf numFmtId="0" fontId="10" fillId="10" borderId="10" xfId="0" applyFont="1" applyFill="1" applyBorder="1" applyAlignment="1">
      <alignment horizontal="center" vertical="top" wrapText="1"/>
    </xf>
    <xf numFmtId="0" fontId="10" fillId="10" borderId="8" xfId="0" applyFont="1" applyFill="1" applyBorder="1" applyAlignment="1">
      <alignment horizontal="center" vertical="top" wrapText="1"/>
    </xf>
    <xf numFmtId="0" fontId="4" fillId="0" borderId="4" xfId="0" applyFont="1" applyBorder="1" applyAlignment="1" applyProtection="1">
      <alignment horizontal="center" vertical="center" wrapText="1"/>
      <protection locked="0"/>
    </xf>
    <xf numFmtId="0" fontId="10" fillId="6" borderId="0" xfId="0" applyFont="1" applyFill="1" applyAlignment="1" applyProtection="1">
      <alignment horizontal="center" vertical="center" wrapText="1"/>
      <protection locked="0"/>
    </xf>
    <xf numFmtId="0" fontId="25"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169" fontId="4" fillId="10" borderId="10" xfId="0" applyNumberFormat="1" applyFont="1" applyFill="1" applyBorder="1" applyAlignment="1">
      <alignment horizontal="center" vertical="top" wrapText="1"/>
    </xf>
    <xf numFmtId="169" fontId="4" fillId="10" borderId="8" xfId="0" applyNumberFormat="1" applyFont="1" applyFill="1" applyBorder="1" applyAlignment="1">
      <alignment horizontal="center" vertical="top" wrapText="1"/>
    </xf>
    <xf numFmtId="0" fontId="4" fillId="10" borderId="5" xfId="0" applyFont="1" applyFill="1" applyBorder="1" applyAlignment="1">
      <alignment horizontal="center" vertical="top" wrapText="1"/>
    </xf>
    <xf numFmtId="0" fontId="4" fillId="10" borderId="10" xfId="0" applyFont="1" applyFill="1" applyBorder="1" applyAlignment="1">
      <alignment horizontal="center" vertical="top" wrapText="1"/>
    </xf>
    <xf numFmtId="0" fontId="4" fillId="10" borderId="8" xfId="0" applyFont="1" applyFill="1" applyBorder="1" applyAlignment="1">
      <alignment horizontal="center" vertical="top" wrapText="1"/>
    </xf>
    <xf numFmtId="0" fontId="8" fillId="9" borderId="4"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9" borderId="5" xfId="0" applyFont="1" applyFill="1" applyBorder="1" applyAlignment="1" applyProtection="1">
      <alignment horizontal="center" vertical="center" wrapText="1"/>
      <protection locked="0"/>
    </xf>
    <xf numFmtId="0" fontId="8" fillId="9" borderId="8" xfId="0" applyFont="1" applyFill="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5" fillId="0" borderId="8"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5" x14ac:dyDescent="0.25"/>
  <cols>
    <col min="1" max="1" width="1.1796875" customWidth="1"/>
    <col min="2" max="2" width="64.453125" customWidth="1"/>
    <col min="3" max="3" width="1.54296875" customWidth="1"/>
    <col min="4" max="4" width="5.54296875" customWidth="1"/>
    <col min="5" max="5" width="16" customWidth="1"/>
  </cols>
  <sheetData>
    <row r="1" spans="2:5" ht="13" x14ac:dyDescent="0.25">
      <c r="B1" s="1" t="s">
        <v>0</v>
      </c>
      <c r="C1" s="1"/>
      <c r="D1" s="5"/>
      <c r="E1" s="5"/>
    </row>
    <row r="2" spans="2:5" ht="13" x14ac:dyDescent="0.25">
      <c r="B2" s="1" t="s">
        <v>1</v>
      </c>
      <c r="C2" s="1"/>
      <c r="D2" s="5"/>
      <c r="E2" s="5"/>
    </row>
    <row r="3" spans="2:5" x14ac:dyDescent="0.25">
      <c r="B3" s="2"/>
      <c r="C3" s="2"/>
      <c r="D3" s="6"/>
      <c r="E3" s="6"/>
    </row>
    <row r="4" spans="2:5" ht="37.5" x14ac:dyDescent="0.25">
      <c r="B4" s="2" t="s">
        <v>2</v>
      </c>
      <c r="C4" s="2"/>
      <c r="D4" s="6"/>
      <c r="E4" s="6"/>
    </row>
    <row r="5" spans="2:5" x14ac:dyDescent="0.25">
      <c r="B5" s="2"/>
      <c r="C5" s="2"/>
      <c r="D5" s="6"/>
      <c r="E5" s="6"/>
    </row>
    <row r="6" spans="2:5" ht="13" x14ac:dyDescent="0.25">
      <c r="B6" s="1" t="s">
        <v>3</v>
      </c>
      <c r="C6" s="1"/>
      <c r="D6" s="5"/>
      <c r="E6" s="5" t="s">
        <v>4</v>
      </c>
    </row>
    <row r="7" spans="2:5" ht="13" thickBot="1" x14ac:dyDescent="0.3">
      <c r="B7" s="2"/>
      <c r="C7" s="2"/>
      <c r="D7" s="6"/>
      <c r="E7" s="6"/>
    </row>
    <row r="8" spans="2:5" ht="38" thickBot="1" x14ac:dyDescent="0.3">
      <c r="B8" s="3" t="s">
        <v>5</v>
      </c>
      <c r="C8" s="4"/>
      <c r="D8" s="7"/>
      <c r="E8" s="8">
        <v>1</v>
      </c>
    </row>
    <row r="9" spans="2:5" x14ac:dyDescent="0.25">
      <c r="B9" s="2"/>
      <c r="C9" s="2"/>
      <c r="D9" s="6"/>
      <c r="E9" s="6"/>
    </row>
    <row r="10" spans="2:5" x14ac:dyDescent="0.25">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6816-A3F5-4347-BE94-F213DC59E543}">
  <dimension ref="A3:AB31"/>
  <sheetViews>
    <sheetView topLeftCell="L1" zoomScale="80" zoomScaleNormal="80" workbookViewId="0">
      <selection activeCell="AA6" sqref="AA6"/>
    </sheetView>
  </sheetViews>
  <sheetFormatPr defaultColWidth="9.1796875" defaultRowHeight="15.5" x14ac:dyDescent="0.25"/>
  <cols>
    <col min="1" max="1" width="11.26953125" style="131" customWidth="1"/>
    <col min="2" max="2" width="11.1796875" style="131" customWidth="1"/>
    <col min="3" max="3" width="12.54296875" style="131" customWidth="1"/>
    <col min="4" max="4" width="10.26953125" style="131" customWidth="1"/>
    <col min="5" max="5" width="11.1796875" style="131" customWidth="1"/>
    <col min="6" max="6" width="11.26953125" style="131" customWidth="1"/>
    <col min="7" max="7" width="10.54296875" style="131" customWidth="1"/>
    <col min="8" max="12" width="9.1796875" style="131"/>
    <col min="13" max="13" width="11.1796875" style="131" customWidth="1"/>
    <col min="14" max="14" width="11.453125" style="131" customWidth="1"/>
    <col min="15" max="15" width="9.1796875" style="131"/>
    <col min="16" max="16" width="10.54296875" style="131" customWidth="1"/>
    <col min="17" max="17" width="9.54296875" style="131" bestFit="1" customWidth="1"/>
    <col min="18" max="18" width="9.1796875" style="131"/>
    <col min="19" max="19" width="11.26953125" style="131" customWidth="1"/>
    <col min="20" max="20" width="11.7265625" style="131" customWidth="1"/>
    <col min="21" max="21" width="10" style="131" customWidth="1"/>
    <col min="22" max="22" width="11.7265625" style="131" customWidth="1"/>
    <col min="23" max="23" width="11.453125" style="131" customWidth="1"/>
    <col min="24" max="24" width="10.26953125" style="131" customWidth="1"/>
    <col min="25" max="25" width="9.54296875" style="131" customWidth="1"/>
    <col min="26" max="26" width="9.81640625" style="131" customWidth="1"/>
    <col min="27" max="16384" width="9.1796875" style="131"/>
  </cols>
  <sheetData>
    <row r="3" spans="1:28" x14ac:dyDescent="0.25">
      <c r="D3" s="276" t="s">
        <v>109</v>
      </c>
      <c r="E3" s="276"/>
      <c r="F3" s="276"/>
      <c r="G3" s="276"/>
      <c r="H3" s="276"/>
      <c r="I3" s="276"/>
      <c r="J3" s="276"/>
      <c r="K3" s="276"/>
      <c r="L3" s="276"/>
      <c r="M3" s="276"/>
      <c r="N3" s="276"/>
      <c r="O3" s="276"/>
      <c r="P3" s="276"/>
      <c r="Q3" s="276"/>
      <c r="R3" s="276"/>
      <c r="S3" s="276"/>
      <c r="T3" s="276"/>
      <c r="U3" s="276"/>
      <c r="V3" s="276"/>
      <c r="W3" s="276"/>
      <c r="X3" s="276"/>
      <c r="Y3" s="276"/>
      <c r="Z3" s="276"/>
    </row>
    <row r="5" spans="1:28" s="10" customFormat="1" ht="126" x14ac:dyDescent="0.25">
      <c r="A5" s="9" t="s">
        <v>8</v>
      </c>
      <c r="B5" s="9" t="s">
        <v>82</v>
      </c>
      <c r="C5" s="9" t="s">
        <v>9</v>
      </c>
      <c r="D5" s="45" t="s">
        <v>110</v>
      </c>
      <c r="E5" s="45" t="s">
        <v>141</v>
      </c>
      <c r="F5" s="45" t="s">
        <v>142</v>
      </c>
      <c r="G5" s="9" t="s">
        <v>111</v>
      </c>
      <c r="H5" s="9" t="s">
        <v>112</v>
      </c>
      <c r="I5" s="9" t="s">
        <v>113</v>
      </c>
      <c r="J5" s="9" t="s">
        <v>114</v>
      </c>
      <c r="K5" s="9" t="s">
        <v>115</v>
      </c>
      <c r="L5" s="9" t="s">
        <v>116</v>
      </c>
      <c r="M5" s="9" t="s">
        <v>117</v>
      </c>
      <c r="N5" s="9" t="s">
        <v>118</v>
      </c>
      <c r="O5" s="9" t="s">
        <v>119</v>
      </c>
      <c r="P5" s="9" t="s">
        <v>120</v>
      </c>
      <c r="Q5" s="9" t="s">
        <v>121</v>
      </c>
      <c r="R5" s="9" t="s">
        <v>122</v>
      </c>
      <c r="S5" s="9" t="s">
        <v>123</v>
      </c>
      <c r="T5" s="9" t="s">
        <v>26</v>
      </c>
      <c r="U5" s="225" t="s">
        <v>124</v>
      </c>
      <c r="V5" s="225" t="s">
        <v>125</v>
      </c>
      <c r="W5" s="9" t="s">
        <v>27</v>
      </c>
      <c r="X5" s="9" t="s">
        <v>143</v>
      </c>
      <c r="Y5" s="9" t="s">
        <v>126</v>
      </c>
      <c r="Z5" s="9" t="s">
        <v>127</v>
      </c>
      <c r="AA5" s="161" t="s">
        <v>128</v>
      </c>
      <c r="AB5" s="133" t="s">
        <v>129</v>
      </c>
    </row>
    <row r="6" spans="1:28" ht="16" thickBot="1" x14ac:dyDescent="0.3">
      <c r="A6" s="270" t="s">
        <v>148</v>
      </c>
      <c r="B6" s="277" t="s">
        <v>147</v>
      </c>
      <c r="C6" s="278" t="s">
        <v>149</v>
      </c>
      <c r="D6" s="135">
        <v>12</v>
      </c>
      <c r="E6" s="228">
        <v>0.14000000000000001</v>
      </c>
      <c r="F6" s="228">
        <v>0.14000000000000001</v>
      </c>
      <c r="G6" s="244">
        <v>0.83599999999999997</v>
      </c>
      <c r="H6" s="147">
        <f>Paėmimas!V9</f>
        <v>40</v>
      </c>
      <c r="I6" s="128">
        <v>1000</v>
      </c>
      <c r="J6" s="247">
        <v>1</v>
      </c>
      <c r="K6" s="138">
        <f>SUM(I6:J6)</f>
        <v>1001</v>
      </c>
      <c r="L6" s="139">
        <f>AA6*22.4</f>
        <v>29.060863999999988</v>
      </c>
      <c r="M6" s="65">
        <f>G6*129*(SQRT(E6*(273+H6)/(I6+J6)/L6))</f>
        <v>4.1856303808885986</v>
      </c>
      <c r="N6" s="65">
        <f>G6*129*(SQRT(F6*(273+H6)/(I6+J6)/L6))</f>
        <v>4.1856303808885986</v>
      </c>
      <c r="O6" s="65">
        <f>AVERAGE(M6:N14)</f>
        <v>4.1856303808885977</v>
      </c>
      <c r="P6" s="230">
        <v>4</v>
      </c>
      <c r="Q6" s="140">
        <f>+(3.14*P6*P6/4)</f>
        <v>12.56</v>
      </c>
      <c r="R6" s="141">
        <f>O6*Q6</f>
        <v>52.571517583960791</v>
      </c>
      <c r="S6" s="141">
        <f>+(I6+J6)/(273+H6)*0.269*R6</f>
        <v>45.226453572893099</v>
      </c>
      <c r="T6" s="171">
        <f>H2O!I7</f>
        <v>5.0000000000000001E-3</v>
      </c>
      <c r="U6" s="142">
        <f>T6/(1.29*W6)</f>
        <v>4.2265197828811746E-2</v>
      </c>
      <c r="V6" s="143">
        <f>S6*1/(1+(U6*1.29/0.8038))</f>
        <v>42.353590990710913</v>
      </c>
      <c r="W6" s="172">
        <f>H2O!H7</f>
        <v>9.1705923344947746E-2</v>
      </c>
      <c r="X6" s="233">
        <v>8.3000000000000004E-2</v>
      </c>
      <c r="Y6" s="144">
        <f>V6*X6</f>
        <v>3.5153480522290059</v>
      </c>
      <c r="Z6" s="145">
        <f>O6*X6</f>
        <v>0.34740732161375365</v>
      </c>
      <c r="AA6" s="173">
        <f>Aerodinamika!G31</f>
        <v>1.2973599999999996</v>
      </c>
      <c r="AB6" s="273" t="s">
        <v>146</v>
      </c>
    </row>
    <row r="7" spans="1:28" x14ac:dyDescent="0.25">
      <c r="A7" s="271"/>
      <c r="B7" s="277"/>
      <c r="C7" s="278"/>
      <c r="D7" s="135">
        <v>39</v>
      </c>
      <c r="E7" s="228">
        <v>0.14000000000000001</v>
      </c>
      <c r="F7" s="228">
        <v>0.14000000000000001</v>
      </c>
      <c r="G7" s="146">
        <f>(G6)</f>
        <v>0.83599999999999997</v>
      </c>
      <c r="H7" s="147">
        <f t="shared" ref="H7:J7" si="0">(H6)</f>
        <v>40</v>
      </c>
      <c r="I7" s="148">
        <f t="shared" si="0"/>
        <v>1000</v>
      </c>
      <c r="J7" s="149">
        <f t="shared" si="0"/>
        <v>1</v>
      </c>
      <c r="K7" s="138">
        <f t="shared" ref="K7:K14" si="1">SUM(I7:J7)</f>
        <v>1001</v>
      </c>
      <c r="L7" s="139">
        <f>AA6*22.4</f>
        <v>29.060863999999988</v>
      </c>
      <c r="M7" s="65">
        <f t="shared" ref="M7:M14" si="2">G7*129*(SQRT(E7*(273+H7)/(I7+J7)/L7))</f>
        <v>4.1856303808885986</v>
      </c>
      <c r="N7" s="65">
        <f t="shared" ref="N7:N14" si="3">G7*129*(SQRT(F7*(273+H7)/(I7+J7)/L7))</f>
        <v>4.1856303808885986</v>
      </c>
      <c r="O7" s="150"/>
      <c r="P7" s="231">
        <v>0.5</v>
      </c>
      <c r="Q7" s="151">
        <f>+(P8*P7)</f>
        <v>0.375</v>
      </c>
      <c r="R7" s="141">
        <f>O6*Q7</f>
        <v>1.5696113928332243</v>
      </c>
      <c r="S7" s="141">
        <f>+(I6+J6)/(273+H6)*0.269*R7</f>
        <v>1.350312109063289</v>
      </c>
      <c r="T7" s="171">
        <f>H2O!I7</f>
        <v>5.0000000000000001E-3</v>
      </c>
      <c r="U7" s="142">
        <f>T7/(1.29*W7)</f>
        <v>4.2265197828811746E-2</v>
      </c>
      <c r="V7" s="143">
        <f>S7*(1/(1+(U7*1.29/0.8038)))</f>
        <v>1.264537947572977</v>
      </c>
      <c r="W7" s="172">
        <f>H2O!H7</f>
        <v>9.1705923344947746E-2</v>
      </c>
      <c r="X7" s="233">
        <v>8.3000000000000004E-2</v>
      </c>
      <c r="Y7" s="144">
        <f>V7*X7</f>
        <v>0.1049566496485571</v>
      </c>
      <c r="Z7" s="145">
        <f>O6*X7</f>
        <v>0.34740732161375365</v>
      </c>
      <c r="AB7" s="274"/>
    </row>
    <row r="8" spans="1:28" x14ac:dyDescent="0.25">
      <c r="A8" s="271"/>
      <c r="B8" s="277"/>
      <c r="C8" s="278"/>
      <c r="D8" s="152">
        <v>71</v>
      </c>
      <c r="E8" s="228">
        <v>0.14000000000000001</v>
      </c>
      <c r="F8" s="229">
        <v>0.14000000000000001</v>
      </c>
      <c r="G8" s="146">
        <f>(G6)</f>
        <v>0.83599999999999997</v>
      </c>
      <c r="H8" s="147">
        <f t="shared" ref="H8:J8" si="4">(H6)</f>
        <v>40</v>
      </c>
      <c r="I8" s="148">
        <f t="shared" si="4"/>
        <v>1000</v>
      </c>
      <c r="J8" s="149">
        <f t="shared" si="4"/>
        <v>1</v>
      </c>
      <c r="K8" s="153">
        <f t="shared" si="1"/>
        <v>1001</v>
      </c>
      <c r="L8" s="139">
        <f>AA6*22.4</f>
        <v>29.060863999999988</v>
      </c>
      <c r="M8" s="154">
        <f t="shared" si="2"/>
        <v>4.1856303808885986</v>
      </c>
      <c r="N8" s="154">
        <f t="shared" si="3"/>
        <v>4.1856303808885986</v>
      </c>
      <c r="O8" s="155"/>
      <c r="P8" s="232">
        <v>0.75</v>
      </c>
      <c r="Q8" s="156"/>
      <c r="R8" s="157"/>
      <c r="S8" s="157"/>
    </row>
    <row r="9" spans="1:28" x14ac:dyDescent="0.25">
      <c r="A9" s="271"/>
      <c r="B9" s="277"/>
      <c r="C9" s="278"/>
      <c r="D9" s="135">
        <v>116</v>
      </c>
      <c r="E9" s="228">
        <v>0.14000000000000001</v>
      </c>
      <c r="F9" s="228">
        <v>0.14000000000000001</v>
      </c>
      <c r="G9" s="146">
        <f>(G6)</f>
        <v>0.83599999999999997</v>
      </c>
      <c r="H9" s="147">
        <f t="shared" ref="H9:J9" si="5">(H6)</f>
        <v>40</v>
      </c>
      <c r="I9" s="148">
        <f t="shared" si="5"/>
        <v>1000</v>
      </c>
      <c r="J9" s="149">
        <f t="shared" si="5"/>
        <v>1</v>
      </c>
      <c r="K9" s="138">
        <f t="shared" si="1"/>
        <v>1001</v>
      </c>
      <c r="L9" s="139">
        <f>AA6*22.4</f>
        <v>29.060863999999988</v>
      </c>
      <c r="M9" s="154">
        <f t="shared" si="2"/>
        <v>4.1856303808885986</v>
      </c>
      <c r="N9" s="154">
        <f t="shared" si="3"/>
        <v>4.1856303808885986</v>
      </c>
      <c r="O9" s="134"/>
      <c r="P9" s="134"/>
      <c r="Q9" s="134"/>
      <c r="R9" s="134"/>
      <c r="S9" s="134"/>
      <c r="W9" s="158" t="s">
        <v>130</v>
      </c>
      <c r="AA9" s="158" t="s">
        <v>130</v>
      </c>
    </row>
    <row r="10" spans="1:28" x14ac:dyDescent="0.25">
      <c r="A10" s="271"/>
      <c r="B10" s="277"/>
      <c r="C10" s="278"/>
      <c r="D10" s="135">
        <v>200</v>
      </c>
      <c r="E10" s="228">
        <v>0.14000000000000001</v>
      </c>
      <c r="F10" s="228">
        <v>0.14000000000000001</v>
      </c>
      <c r="G10" s="146">
        <f>(G6)</f>
        <v>0.83599999999999997</v>
      </c>
      <c r="H10" s="147">
        <f t="shared" ref="H10:J10" si="6">(H6)</f>
        <v>40</v>
      </c>
      <c r="I10" s="148">
        <f t="shared" si="6"/>
        <v>1000</v>
      </c>
      <c r="J10" s="149">
        <f t="shared" si="6"/>
        <v>1</v>
      </c>
      <c r="K10" s="138">
        <f t="shared" si="1"/>
        <v>1001</v>
      </c>
      <c r="L10" s="139">
        <f>AA6*22.4</f>
        <v>29.060863999999988</v>
      </c>
      <c r="M10" s="154">
        <f t="shared" si="2"/>
        <v>4.1856303808885986</v>
      </c>
      <c r="N10" s="154">
        <f t="shared" si="3"/>
        <v>4.1856303808885986</v>
      </c>
    </row>
    <row r="11" spans="1:28" x14ac:dyDescent="0.25">
      <c r="A11" s="271"/>
      <c r="B11" s="277"/>
      <c r="C11" s="278"/>
      <c r="D11" s="135">
        <v>284</v>
      </c>
      <c r="E11" s="228">
        <v>0.14000000000000001</v>
      </c>
      <c r="F11" s="228">
        <v>0.14000000000000001</v>
      </c>
      <c r="G11" s="146">
        <f>(G6)</f>
        <v>0.83599999999999997</v>
      </c>
      <c r="H11" s="147">
        <f t="shared" ref="H11:J11" si="7">(H6)</f>
        <v>40</v>
      </c>
      <c r="I11" s="148">
        <f t="shared" si="7"/>
        <v>1000</v>
      </c>
      <c r="J11" s="149">
        <f t="shared" si="7"/>
        <v>1</v>
      </c>
      <c r="K11" s="138">
        <f t="shared" si="1"/>
        <v>1001</v>
      </c>
      <c r="L11" s="139">
        <f>AA6*22.4</f>
        <v>29.060863999999988</v>
      </c>
      <c r="M11" s="154">
        <f t="shared" si="2"/>
        <v>4.1856303808885986</v>
      </c>
      <c r="N11" s="154">
        <f t="shared" si="3"/>
        <v>4.1856303808885986</v>
      </c>
    </row>
    <row r="12" spans="1:28" x14ac:dyDescent="0.25">
      <c r="A12" s="271"/>
      <c r="B12" s="277"/>
      <c r="C12" s="278"/>
      <c r="D12" s="135">
        <v>329</v>
      </c>
      <c r="E12" s="228">
        <v>0.14000000000000001</v>
      </c>
      <c r="F12" s="228">
        <v>0.14000000000000001</v>
      </c>
      <c r="G12" s="146">
        <f>(G6)</f>
        <v>0.83599999999999997</v>
      </c>
      <c r="H12" s="147">
        <f t="shared" ref="H12:J12" si="8">(H6)</f>
        <v>40</v>
      </c>
      <c r="I12" s="148">
        <f t="shared" si="8"/>
        <v>1000</v>
      </c>
      <c r="J12" s="149">
        <f t="shared" si="8"/>
        <v>1</v>
      </c>
      <c r="K12" s="138">
        <f t="shared" si="1"/>
        <v>1001</v>
      </c>
      <c r="L12" s="139">
        <f>AA6*22.4</f>
        <v>29.060863999999988</v>
      </c>
      <c r="M12" s="154">
        <f t="shared" si="2"/>
        <v>4.1856303808885986</v>
      </c>
      <c r="N12" s="154">
        <f t="shared" si="3"/>
        <v>4.1856303808885986</v>
      </c>
    </row>
    <row r="13" spans="1:28" x14ac:dyDescent="0.25">
      <c r="A13" s="271"/>
      <c r="B13" s="277"/>
      <c r="C13" s="278"/>
      <c r="D13" s="135">
        <v>361</v>
      </c>
      <c r="E13" s="228">
        <v>0.14000000000000001</v>
      </c>
      <c r="F13" s="228">
        <v>0.14000000000000001</v>
      </c>
      <c r="G13" s="146">
        <f>(G6)</f>
        <v>0.83599999999999997</v>
      </c>
      <c r="H13" s="147">
        <f t="shared" ref="H13:J13" si="9">(H6)</f>
        <v>40</v>
      </c>
      <c r="I13" s="148">
        <f t="shared" si="9"/>
        <v>1000</v>
      </c>
      <c r="J13" s="149">
        <f t="shared" si="9"/>
        <v>1</v>
      </c>
      <c r="K13" s="138">
        <f t="shared" si="1"/>
        <v>1001</v>
      </c>
      <c r="L13" s="139">
        <f>AA6*22.4</f>
        <v>29.060863999999988</v>
      </c>
      <c r="M13" s="154">
        <f t="shared" si="2"/>
        <v>4.1856303808885986</v>
      </c>
      <c r="N13" s="154">
        <f t="shared" si="3"/>
        <v>4.1856303808885986</v>
      </c>
      <c r="O13" s="132"/>
    </row>
    <row r="14" spans="1:28" x14ac:dyDescent="0.25">
      <c r="A14" s="271"/>
      <c r="B14" s="277"/>
      <c r="C14" s="278"/>
      <c r="D14" s="135">
        <v>388</v>
      </c>
      <c r="E14" s="228">
        <v>0.14000000000000001</v>
      </c>
      <c r="F14" s="228">
        <v>0.14000000000000001</v>
      </c>
      <c r="G14" s="146">
        <f>(G6)</f>
        <v>0.83599999999999997</v>
      </c>
      <c r="H14" s="147">
        <f t="shared" ref="H14:J14" si="10">(H6)</f>
        <v>40</v>
      </c>
      <c r="I14" s="148">
        <f t="shared" si="10"/>
        <v>1000</v>
      </c>
      <c r="J14" s="149">
        <f t="shared" si="10"/>
        <v>1</v>
      </c>
      <c r="K14" s="138">
        <f t="shared" si="1"/>
        <v>1001</v>
      </c>
      <c r="L14" s="139">
        <f>AA6*22.4</f>
        <v>29.060863999999988</v>
      </c>
      <c r="M14" s="154">
        <f t="shared" si="2"/>
        <v>4.1856303808885986</v>
      </c>
      <c r="N14" s="154">
        <f t="shared" si="3"/>
        <v>4.1856303808885986</v>
      </c>
      <c r="R14" s="38"/>
      <c r="S14" s="38"/>
      <c r="T14" s="38"/>
      <c r="U14" s="38"/>
    </row>
    <row r="15" spans="1:28" x14ac:dyDescent="0.25">
      <c r="A15" s="271"/>
      <c r="B15" s="134"/>
      <c r="C15" s="134"/>
      <c r="D15" s="134"/>
      <c r="E15" s="159"/>
      <c r="F15" s="136"/>
      <c r="G15" s="160"/>
      <c r="H15" s="134"/>
      <c r="I15" s="134"/>
      <c r="J15" s="134"/>
      <c r="K15" s="134"/>
      <c r="L15" s="134"/>
      <c r="M15" s="134"/>
      <c r="N15" s="137"/>
      <c r="O15" s="131" t="s">
        <v>131</v>
      </c>
      <c r="P15" s="131" t="s">
        <v>132</v>
      </c>
    </row>
    <row r="16" spans="1:28" x14ac:dyDescent="0.25">
      <c r="A16" s="271"/>
      <c r="B16" s="161"/>
      <c r="C16" s="161"/>
      <c r="D16" s="152" t="s">
        <v>133</v>
      </c>
      <c r="E16" s="279" t="s">
        <v>134</v>
      </c>
      <c r="F16" s="280"/>
      <c r="G16" s="280"/>
      <c r="H16" s="280"/>
      <c r="I16" s="280"/>
      <c r="J16" s="280"/>
      <c r="K16" s="280"/>
      <c r="L16" s="280"/>
      <c r="M16" s="280"/>
      <c r="N16" s="281"/>
    </row>
    <row r="17" spans="1:28" x14ac:dyDescent="0.25">
      <c r="A17" s="271"/>
      <c r="B17" s="134"/>
      <c r="C17" s="134"/>
      <c r="E17" s="162"/>
      <c r="F17" s="162"/>
      <c r="G17" s="163"/>
      <c r="N17" s="164"/>
    </row>
    <row r="18" spans="1:28" x14ac:dyDescent="0.25">
      <c r="A18" s="271"/>
      <c r="B18" s="134"/>
      <c r="C18" s="134"/>
      <c r="E18" s="162"/>
      <c r="F18" s="162"/>
      <c r="G18" s="163"/>
      <c r="N18" s="164"/>
      <c r="P18" s="131" t="s">
        <v>135</v>
      </c>
    </row>
    <row r="19" spans="1:28" x14ac:dyDescent="0.25">
      <c r="A19" s="271"/>
      <c r="B19" s="134"/>
      <c r="C19" s="134"/>
      <c r="E19" s="38"/>
      <c r="F19" s="38"/>
      <c r="N19" s="164"/>
    </row>
    <row r="20" spans="1:28" x14ac:dyDescent="0.25">
      <c r="A20" s="271"/>
      <c r="B20" s="161"/>
      <c r="C20" s="161"/>
      <c r="D20" s="275" t="s">
        <v>136</v>
      </c>
      <c r="E20" s="276"/>
      <c r="F20" s="276"/>
      <c r="G20" s="276"/>
      <c r="H20" s="276"/>
      <c r="I20" s="276"/>
      <c r="J20" s="276"/>
      <c r="K20" s="276"/>
      <c r="L20" s="276"/>
      <c r="M20" s="276"/>
      <c r="N20" s="276"/>
      <c r="O20" s="276"/>
      <c r="P20" s="276"/>
      <c r="Q20" s="276"/>
      <c r="R20" s="276"/>
      <c r="S20" s="276"/>
      <c r="T20" s="276"/>
      <c r="U20" s="276"/>
      <c r="V20" s="276"/>
      <c r="W20" s="276"/>
      <c r="X20" s="276"/>
      <c r="Y20" s="276"/>
      <c r="Z20" s="276"/>
    </row>
    <row r="21" spans="1:28" x14ac:dyDescent="0.25">
      <c r="A21" s="271"/>
      <c r="B21" s="134"/>
      <c r="C21" s="134"/>
      <c r="D21" s="165"/>
      <c r="E21" s="166"/>
      <c r="F21" s="166"/>
      <c r="G21" s="165"/>
      <c r="H21" s="165"/>
      <c r="I21" s="165"/>
      <c r="J21" s="165"/>
      <c r="K21" s="165"/>
      <c r="L21" s="165"/>
      <c r="M21" s="165"/>
      <c r="N21" s="167"/>
      <c r="O21" s="165"/>
    </row>
    <row r="22" spans="1:28" s="10" customFormat="1" ht="126" x14ac:dyDescent="0.25">
      <c r="A22" s="272"/>
      <c r="B22" s="9" t="s">
        <v>82</v>
      </c>
      <c r="C22" s="9" t="s">
        <v>9</v>
      </c>
      <c r="D22" s="62" t="s">
        <v>110</v>
      </c>
      <c r="E22" s="62" t="s">
        <v>141</v>
      </c>
      <c r="F22" s="62" t="s">
        <v>142</v>
      </c>
      <c r="G22" s="168" t="s">
        <v>111</v>
      </c>
      <c r="H22" s="168" t="s">
        <v>112</v>
      </c>
      <c r="I22" s="168" t="s">
        <v>113</v>
      </c>
      <c r="J22" s="168" t="s">
        <v>114</v>
      </c>
      <c r="K22" s="168" t="s">
        <v>115</v>
      </c>
      <c r="L22" s="168" t="s">
        <v>116</v>
      </c>
      <c r="M22" s="168" t="s">
        <v>117</v>
      </c>
      <c r="N22" s="168" t="s">
        <v>118</v>
      </c>
      <c r="O22" s="168" t="s">
        <v>119</v>
      </c>
      <c r="P22" s="9" t="s">
        <v>120</v>
      </c>
      <c r="Q22" s="9" t="s">
        <v>121</v>
      </c>
      <c r="R22" s="9" t="s">
        <v>122</v>
      </c>
      <c r="S22" s="9" t="s">
        <v>123</v>
      </c>
      <c r="T22" s="9" t="s">
        <v>26</v>
      </c>
      <c r="U22" s="225" t="s">
        <v>124</v>
      </c>
      <c r="V22" s="225" t="s">
        <v>125</v>
      </c>
      <c r="W22" s="9" t="s">
        <v>27</v>
      </c>
      <c r="X22" s="9" t="s">
        <v>143</v>
      </c>
      <c r="Y22" s="9" t="s">
        <v>126</v>
      </c>
      <c r="Z22" s="9" t="s">
        <v>127</v>
      </c>
      <c r="AA22" s="161" t="s">
        <v>128</v>
      </c>
      <c r="AB22" s="133" t="s">
        <v>129</v>
      </c>
    </row>
    <row r="23" spans="1:28" ht="16" thickBot="1" x14ac:dyDescent="0.3">
      <c r="A23" s="267"/>
      <c r="B23" s="267"/>
      <c r="C23" s="267"/>
      <c r="D23" s="135">
        <v>12</v>
      </c>
      <c r="E23" s="159"/>
      <c r="F23" s="159"/>
      <c r="G23" s="82"/>
      <c r="H23" s="241">
        <v>40</v>
      </c>
      <c r="I23" s="128">
        <v>1000</v>
      </c>
      <c r="J23" s="247">
        <v>1</v>
      </c>
      <c r="K23" s="138">
        <f>SUM(I23:J23)</f>
        <v>1001</v>
      </c>
      <c r="L23" s="139">
        <f>AA23*22.4</f>
        <v>29.060863999999988</v>
      </c>
      <c r="M23" s="247">
        <v>4.1856303808885986</v>
      </c>
      <c r="N23" s="247">
        <v>4.1856303808885986</v>
      </c>
      <c r="O23" s="65">
        <f>AVERAGE(M23:N31)</f>
        <v>4.1856303808885977</v>
      </c>
      <c r="P23" s="230">
        <v>4</v>
      </c>
      <c r="Q23" s="140">
        <f>+(3.14*P23*P23/4)</f>
        <v>12.56</v>
      </c>
      <c r="R23" s="141">
        <f>O23*Q23</f>
        <v>52.571517583960791</v>
      </c>
      <c r="S23" s="141">
        <f>+(I23+J23)/(273+H23)*0.269*R23</f>
        <v>45.226453572893099</v>
      </c>
      <c r="T23" s="171">
        <f>H2O!I7</f>
        <v>5.0000000000000001E-3</v>
      </c>
      <c r="U23" s="142">
        <f>T23/(1.29*W23)</f>
        <v>4.2265197828811746E-2</v>
      </c>
      <c r="V23" s="143">
        <f>S23*1/(1+(U23*1.29/0.8038))</f>
        <v>42.353590990710913</v>
      </c>
      <c r="W23" s="172">
        <f>H2O!H7</f>
        <v>9.1705923344947746E-2</v>
      </c>
      <c r="X23" s="248">
        <v>8.3000000000000004E-2</v>
      </c>
      <c r="Y23" s="143">
        <f>V23*X23</f>
        <v>3.5153480522290059</v>
      </c>
      <c r="Z23" s="145">
        <f>O23*X23</f>
        <v>0.34740732161375365</v>
      </c>
      <c r="AA23" s="173">
        <f>Aerodinamika!G31</f>
        <v>1.2973599999999996</v>
      </c>
      <c r="AB23" s="273"/>
    </row>
    <row r="24" spans="1:28" x14ac:dyDescent="0.25">
      <c r="A24" s="268"/>
      <c r="B24" s="268"/>
      <c r="C24" s="268"/>
      <c r="D24" s="135">
        <v>39</v>
      </c>
      <c r="E24" s="159"/>
      <c r="F24" s="159"/>
      <c r="G24" s="82"/>
      <c r="H24" s="241">
        <v>40</v>
      </c>
      <c r="I24" s="128">
        <v>1000</v>
      </c>
      <c r="J24" s="247">
        <v>1</v>
      </c>
      <c r="K24" s="138">
        <f t="shared" ref="K24:K31" si="11">SUM(I24:J24)</f>
        <v>1001</v>
      </c>
      <c r="L24" s="139">
        <f>AA23*22.4</f>
        <v>29.060863999999988</v>
      </c>
      <c r="M24" s="247">
        <v>4.1856303808885986</v>
      </c>
      <c r="N24" s="247">
        <v>4.1856303808885986</v>
      </c>
      <c r="O24" s="150"/>
      <c r="P24" s="231">
        <v>0.5</v>
      </c>
      <c r="Q24" s="151">
        <f>+(P25*P24)</f>
        <v>0.375</v>
      </c>
      <c r="R24" s="141">
        <f>O23*Q24</f>
        <v>1.5696113928332243</v>
      </c>
      <c r="S24" s="141">
        <f>+(I23+J23)/(273+H23)*0.269*R24</f>
        <v>1.350312109063289</v>
      </c>
      <c r="T24" s="171">
        <f>H2O!I7</f>
        <v>5.0000000000000001E-3</v>
      </c>
      <c r="U24" s="142">
        <f>T24/(1.29*W24)</f>
        <v>4.2265197828811746E-2</v>
      </c>
      <c r="V24" s="143">
        <f>S24*(1/(1+(U24*1.29/0.8038)))</f>
        <v>1.264537947572977</v>
      </c>
      <c r="W24" s="172">
        <f>H2O!H7</f>
        <v>9.1705923344947746E-2</v>
      </c>
      <c r="X24" s="248">
        <v>8.3000000000000004E-2</v>
      </c>
      <c r="Y24" s="143">
        <f>V24*X24</f>
        <v>0.1049566496485571</v>
      </c>
      <c r="Z24" s="145">
        <f>O23*X24</f>
        <v>0.34740732161375365</v>
      </c>
      <c r="AB24" s="274"/>
    </row>
    <row r="25" spans="1:28" x14ac:dyDescent="0.25">
      <c r="A25" s="268"/>
      <c r="B25" s="268"/>
      <c r="C25" s="268"/>
      <c r="D25" s="152">
        <v>71</v>
      </c>
      <c r="E25" s="169"/>
      <c r="F25" s="169"/>
      <c r="G25" s="170"/>
      <c r="H25" s="241">
        <v>40</v>
      </c>
      <c r="I25" s="128">
        <v>1000</v>
      </c>
      <c r="J25" s="247">
        <v>1</v>
      </c>
      <c r="K25" s="153">
        <f t="shared" si="11"/>
        <v>1001</v>
      </c>
      <c r="L25" s="139">
        <f>AA23*22.4</f>
        <v>29.060863999999988</v>
      </c>
      <c r="M25" s="247">
        <v>4.1856303808885986</v>
      </c>
      <c r="N25" s="247">
        <v>4.1856303808885986</v>
      </c>
      <c r="O25" s="155"/>
      <c r="P25" s="232">
        <v>0.75</v>
      </c>
      <c r="Q25" s="156"/>
      <c r="R25" s="157"/>
      <c r="S25" s="157"/>
    </row>
    <row r="26" spans="1:28" x14ac:dyDescent="0.25">
      <c r="A26" s="268"/>
      <c r="B26" s="268"/>
      <c r="C26" s="268"/>
      <c r="D26" s="135">
        <v>116</v>
      </c>
      <c r="E26" s="159"/>
      <c r="F26" s="159"/>
      <c r="G26" s="82"/>
      <c r="H26" s="241">
        <v>40</v>
      </c>
      <c r="I26" s="128">
        <v>1000</v>
      </c>
      <c r="J26" s="247">
        <v>1</v>
      </c>
      <c r="K26" s="138">
        <f t="shared" si="11"/>
        <v>1001</v>
      </c>
      <c r="L26" s="139">
        <f>AA23*22.4</f>
        <v>29.060863999999988</v>
      </c>
      <c r="M26" s="247">
        <v>4.1856303808885986</v>
      </c>
      <c r="N26" s="247">
        <v>4.1856303808885986</v>
      </c>
      <c r="O26" s="134"/>
      <c r="P26" s="134"/>
      <c r="Q26" s="134"/>
      <c r="R26" s="134"/>
      <c r="S26" s="134"/>
      <c r="X26" s="158" t="s">
        <v>130</v>
      </c>
      <c r="AA26" s="158" t="s">
        <v>130</v>
      </c>
    </row>
    <row r="27" spans="1:28" x14ac:dyDescent="0.25">
      <c r="A27" s="268"/>
      <c r="B27" s="268"/>
      <c r="C27" s="268"/>
      <c r="D27" s="135">
        <v>200</v>
      </c>
      <c r="E27" s="159"/>
      <c r="F27" s="159"/>
      <c r="G27" s="82"/>
      <c r="H27" s="241">
        <v>40</v>
      </c>
      <c r="I27" s="128">
        <v>1000</v>
      </c>
      <c r="J27" s="247">
        <v>1</v>
      </c>
      <c r="K27" s="138">
        <f t="shared" si="11"/>
        <v>1001</v>
      </c>
      <c r="L27" s="139">
        <f>AA23*22.4</f>
        <v>29.060863999999988</v>
      </c>
      <c r="M27" s="247">
        <v>4.1856303808885986</v>
      </c>
      <c r="N27" s="247">
        <v>4.1856303808885986</v>
      </c>
    </row>
    <row r="28" spans="1:28" x14ac:dyDescent="0.25">
      <c r="A28" s="268"/>
      <c r="B28" s="268"/>
      <c r="C28" s="268"/>
      <c r="D28" s="135">
        <v>284</v>
      </c>
      <c r="E28" s="159"/>
      <c r="F28" s="159"/>
      <c r="G28" s="82"/>
      <c r="H28" s="241">
        <v>40</v>
      </c>
      <c r="I28" s="128">
        <v>1000</v>
      </c>
      <c r="J28" s="247">
        <v>1</v>
      </c>
      <c r="K28" s="138">
        <f t="shared" si="11"/>
        <v>1001</v>
      </c>
      <c r="L28" s="139">
        <f>AA23*22.4</f>
        <v>29.060863999999988</v>
      </c>
      <c r="M28" s="247">
        <v>4.1856303808885986</v>
      </c>
      <c r="N28" s="247">
        <v>4.1856303808885986</v>
      </c>
    </row>
    <row r="29" spans="1:28" x14ac:dyDescent="0.25">
      <c r="A29" s="268"/>
      <c r="B29" s="268"/>
      <c r="C29" s="268"/>
      <c r="D29" s="135">
        <v>329</v>
      </c>
      <c r="E29" s="159"/>
      <c r="F29" s="159"/>
      <c r="G29" s="82"/>
      <c r="H29" s="241">
        <v>40</v>
      </c>
      <c r="I29" s="128">
        <v>1000</v>
      </c>
      <c r="J29" s="247">
        <v>1</v>
      </c>
      <c r="K29" s="138">
        <f t="shared" si="11"/>
        <v>1001</v>
      </c>
      <c r="L29" s="139">
        <f>AA23*22.4</f>
        <v>29.060863999999988</v>
      </c>
      <c r="M29" s="247">
        <v>4.1856303808885986</v>
      </c>
      <c r="N29" s="247">
        <v>4.1856303808885986</v>
      </c>
    </row>
    <row r="30" spans="1:28" x14ac:dyDescent="0.25">
      <c r="A30" s="268"/>
      <c r="B30" s="268"/>
      <c r="C30" s="268"/>
      <c r="D30" s="135">
        <v>361</v>
      </c>
      <c r="E30" s="159"/>
      <c r="F30" s="159"/>
      <c r="G30" s="82"/>
      <c r="H30" s="241">
        <v>40</v>
      </c>
      <c r="I30" s="128">
        <v>1000</v>
      </c>
      <c r="J30" s="247">
        <v>1</v>
      </c>
      <c r="K30" s="138">
        <f t="shared" si="11"/>
        <v>1001</v>
      </c>
      <c r="L30" s="139">
        <f>AA23*22.4</f>
        <v>29.060863999999988</v>
      </c>
      <c r="M30" s="247">
        <v>4.1856303808885986</v>
      </c>
      <c r="N30" s="247">
        <v>4.1856303808885986</v>
      </c>
      <c r="O30" s="132"/>
    </row>
    <row r="31" spans="1:28" x14ac:dyDescent="0.25">
      <c r="A31" s="269"/>
      <c r="B31" s="269"/>
      <c r="C31" s="269"/>
      <c r="D31" s="135">
        <v>388</v>
      </c>
      <c r="E31" s="159"/>
      <c r="F31" s="159"/>
      <c r="G31" s="160"/>
      <c r="H31" s="241">
        <v>40</v>
      </c>
      <c r="I31" s="128">
        <v>1000</v>
      </c>
      <c r="J31" s="247">
        <v>1</v>
      </c>
      <c r="K31" s="138">
        <f t="shared" si="11"/>
        <v>1001</v>
      </c>
      <c r="L31" s="139">
        <f>AA23*22.4</f>
        <v>29.060863999999988</v>
      </c>
      <c r="M31" s="247">
        <v>4.1856303808885986</v>
      </c>
      <c r="N31" s="247">
        <v>4.1856303808885986</v>
      </c>
      <c r="R31" s="38"/>
      <c r="S31" s="38"/>
      <c r="T31" s="38"/>
      <c r="U31" s="38"/>
    </row>
  </sheetData>
  <sheetProtection algorithmName="SHA-512" hashValue="ecyaGde8bRCGGLjxH6/y64hd/Qu1QGpziWOApJzf8uG7KOwveh+XtxYm7qcvHDbOm4wNpJpjwTw6EQ3sZyT0Ww==" saltValue="0y2ywmKlSNb5pUNmtC6Umw==" spinCount="100000" sheet="1" formatCells="0" formatColumns="0" formatRows="0"/>
  <mergeCells count="11">
    <mergeCell ref="D3:Z3"/>
    <mergeCell ref="B6:B14"/>
    <mergeCell ref="C6:C14"/>
    <mergeCell ref="AB6:AB7"/>
    <mergeCell ref="E16:N16"/>
    <mergeCell ref="A23:A31"/>
    <mergeCell ref="B23:B31"/>
    <mergeCell ref="C23:C31"/>
    <mergeCell ref="A6:A22"/>
    <mergeCell ref="AB23:AB24"/>
    <mergeCell ref="D20:Z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zoomScale="90" zoomScaleNormal="90" workbookViewId="0">
      <selection activeCell="H5" sqref="H5"/>
    </sheetView>
  </sheetViews>
  <sheetFormatPr defaultColWidth="9.1796875" defaultRowHeight="13" x14ac:dyDescent="0.3"/>
  <cols>
    <col min="1" max="1" width="12.453125" style="39" customWidth="1"/>
    <col min="2" max="2" width="8.453125" style="39" customWidth="1"/>
    <col min="3" max="4" width="9.1796875" style="39"/>
    <col min="5" max="5" width="10.7265625" style="39" customWidth="1"/>
    <col min="6" max="6" width="9.1796875" style="39"/>
    <col min="7" max="7" width="11.26953125" style="39" customWidth="1"/>
    <col min="8" max="8" width="12.1796875" style="39" customWidth="1"/>
    <col min="9" max="9" width="10.81640625" style="39" customWidth="1"/>
    <col min="10" max="10" width="10.54296875" style="39" customWidth="1"/>
    <col min="11" max="16384" width="9.1796875" style="39"/>
  </cols>
  <sheetData>
    <row r="1" spans="1:12" ht="15" x14ac:dyDescent="0.3">
      <c r="A1" s="38"/>
      <c r="B1" s="10"/>
      <c r="C1" s="10"/>
      <c r="D1" s="10"/>
      <c r="E1" s="10"/>
      <c r="F1" s="10"/>
      <c r="G1" s="10"/>
      <c r="H1" s="10"/>
      <c r="I1" s="10"/>
    </row>
    <row r="2" spans="1:12" ht="15" x14ac:dyDescent="0.3">
      <c r="A2" s="40"/>
      <c r="B2" s="10"/>
      <c r="C2" s="10"/>
      <c r="D2" s="10"/>
      <c r="E2" s="10"/>
      <c r="F2" s="10"/>
      <c r="G2" s="10"/>
      <c r="H2" s="10"/>
      <c r="I2" s="10"/>
    </row>
    <row r="3" spans="1:12" ht="23.25" customHeight="1" x14ac:dyDescent="0.3">
      <c r="A3" s="260" t="s">
        <v>108</v>
      </c>
      <c r="B3" s="260"/>
      <c r="C3" s="260"/>
      <c r="D3" s="260"/>
      <c r="E3" s="260"/>
      <c r="F3" s="260"/>
      <c r="G3" s="260"/>
      <c r="H3" s="260"/>
      <c r="I3" s="260"/>
      <c r="J3" s="260"/>
    </row>
    <row r="4" spans="1:12" ht="14" x14ac:dyDescent="0.3">
      <c r="A4" s="10"/>
      <c r="B4" s="10"/>
      <c r="C4" s="10"/>
      <c r="D4" s="10"/>
      <c r="E4" s="10"/>
      <c r="F4" s="10"/>
      <c r="G4" s="10"/>
      <c r="H4" s="10"/>
      <c r="I4" s="10"/>
    </row>
    <row r="5" spans="1:12" ht="84" x14ac:dyDescent="0.3">
      <c r="A5" s="9"/>
      <c r="B5" s="9" t="s">
        <v>37</v>
      </c>
      <c r="C5" s="9" t="s">
        <v>23</v>
      </c>
      <c r="D5" s="9" t="s">
        <v>24</v>
      </c>
      <c r="E5" s="9" t="s">
        <v>22</v>
      </c>
      <c r="F5" s="9" t="s">
        <v>38</v>
      </c>
      <c r="G5" s="9" t="s">
        <v>39</v>
      </c>
      <c r="H5" s="9" t="s">
        <v>27</v>
      </c>
      <c r="I5" s="9" t="s">
        <v>26</v>
      </c>
      <c r="J5" s="45" t="s">
        <v>69</v>
      </c>
      <c r="K5" s="45" t="s">
        <v>105</v>
      </c>
      <c r="L5" s="45" t="s">
        <v>6</v>
      </c>
    </row>
    <row r="6" spans="1:12" ht="17.25" customHeight="1" x14ac:dyDescent="0.3">
      <c r="A6" s="41"/>
      <c r="B6" s="9"/>
      <c r="C6" s="9"/>
      <c r="D6" s="9"/>
      <c r="E6" s="9"/>
      <c r="F6" s="9"/>
      <c r="G6" s="9"/>
      <c r="H6" s="9"/>
      <c r="I6" s="9"/>
      <c r="J6" s="53"/>
      <c r="K6" s="46"/>
      <c r="L6" s="46"/>
    </row>
    <row r="7" spans="1:12" ht="33" customHeight="1" x14ac:dyDescent="0.3">
      <c r="A7" s="41" t="s">
        <v>25</v>
      </c>
      <c r="B7" s="128">
        <v>10</v>
      </c>
      <c r="C7" s="127">
        <v>10</v>
      </c>
      <c r="D7" s="174">
        <f>Greitis!I6</f>
        <v>1000</v>
      </c>
      <c r="E7" s="242">
        <v>25.2</v>
      </c>
      <c r="F7" s="243">
        <v>14</v>
      </c>
      <c r="G7" s="65">
        <f>+(D7-E7)*B7*C7*0.27/(273+F7)</f>
        <v>91.705923344947749</v>
      </c>
      <c r="H7" s="66">
        <f>G7/1000</f>
        <v>9.1705923344947746E-2</v>
      </c>
      <c r="I7" s="245">
        <v>5.0000000000000001E-3</v>
      </c>
      <c r="J7" s="173">
        <f>Aerodinamika!G31</f>
        <v>1.2973599999999996</v>
      </c>
      <c r="K7" s="124">
        <f>(100*((I7/(H7*J7))/0.8038))/(((I7/(H7*J7))/0.8038)+(1/J7))</f>
        <v>6.352173020933173</v>
      </c>
      <c r="L7" s="46"/>
    </row>
    <row r="8" spans="1:12" ht="15" x14ac:dyDescent="0.3">
      <c r="A8" s="13"/>
      <c r="B8" s="81"/>
      <c r="C8" s="82"/>
      <c r="D8" s="13"/>
      <c r="E8" s="13"/>
      <c r="F8" s="42"/>
      <c r="G8" s="83"/>
      <c r="H8" s="84"/>
      <c r="I8" s="47"/>
      <c r="J8" s="53"/>
      <c r="K8" s="46"/>
      <c r="L8" s="46"/>
    </row>
    <row r="9" spans="1:12" ht="15" x14ac:dyDescent="0.3">
      <c r="A9" s="13"/>
      <c r="B9" s="81"/>
      <c r="C9" s="82"/>
      <c r="D9" s="13"/>
      <c r="E9" s="13"/>
      <c r="F9" s="42"/>
      <c r="G9" s="83"/>
      <c r="H9" s="84"/>
      <c r="I9" s="47"/>
      <c r="J9" s="53"/>
      <c r="K9" s="46"/>
      <c r="L9" s="46"/>
    </row>
    <row r="10" spans="1:12" ht="42.75" customHeight="1" x14ac:dyDescent="0.3">
      <c r="A10" s="86"/>
      <c r="B10" s="81"/>
      <c r="C10" s="13"/>
      <c r="D10" s="13"/>
      <c r="E10" s="13"/>
      <c r="F10" s="42"/>
      <c r="G10" s="85"/>
      <c r="H10" s="87"/>
      <c r="I10" s="88"/>
      <c r="J10" s="53"/>
      <c r="K10" s="46"/>
      <c r="L10" s="46"/>
    </row>
    <row r="11" spans="1:12" ht="12.75" customHeight="1" x14ac:dyDescent="0.3">
      <c r="H11" s="261" t="s">
        <v>30</v>
      </c>
      <c r="I11" s="264" t="s">
        <v>31</v>
      </c>
    </row>
    <row r="12" spans="1:12" ht="12.75" customHeight="1" x14ac:dyDescent="0.3">
      <c r="H12" s="262"/>
      <c r="I12" s="265"/>
    </row>
    <row r="13" spans="1:12" ht="12.75" customHeight="1" x14ac:dyDescent="0.3">
      <c r="H13" s="262"/>
      <c r="I13" s="265"/>
    </row>
    <row r="14" spans="1:12" x14ac:dyDescent="0.3">
      <c r="H14" s="262"/>
      <c r="I14" s="265"/>
    </row>
    <row r="15" spans="1:12" x14ac:dyDescent="0.3">
      <c r="H15" s="262"/>
      <c r="I15" s="265"/>
    </row>
    <row r="16" spans="1:12" x14ac:dyDescent="0.3">
      <c r="H16" s="262"/>
      <c r="I16" s="265"/>
    </row>
    <row r="17" spans="8:9" x14ac:dyDescent="0.3">
      <c r="H17" s="262"/>
      <c r="I17" s="265"/>
    </row>
    <row r="18" spans="8:9" x14ac:dyDescent="0.3">
      <c r="H18" s="263"/>
      <c r="I18" s="265"/>
    </row>
    <row r="19" spans="8:9" ht="12.75" customHeight="1" x14ac:dyDescent="0.3">
      <c r="I19" s="265"/>
    </row>
    <row r="20" spans="8:9" ht="12.75" customHeight="1" x14ac:dyDescent="0.3">
      <c r="I20" s="266"/>
    </row>
    <row r="21" spans="8:9" ht="12.75" customHeight="1" x14ac:dyDescent="0.3">
      <c r="I21" s="57"/>
    </row>
    <row r="22" spans="8:9" ht="12.75" customHeight="1" x14ac:dyDescent="0.3"/>
    <row r="23" spans="8:9" ht="14" x14ac:dyDescent="0.3">
      <c r="I23" s="56"/>
    </row>
    <row r="24" spans="8:9" ht="14" x14ac:dyDescent="0.3">
      <c r="I24" s="56"/>
    </row>
    <row r="25" spans="8:9" ht="14" x14ac:dyDescent="0.3">
      <c r="I25" s="56"/>
    </row>
    <row r="26" spans="8:9" ht="14" x14ac:dyDescent="0.3">
      <c r="I26" s="56"/>
    </row>
  </sheetData>
  <sheetProtection formatCells="0" formatColumns="0" formatRows="0"/>
  <mergeCells count="3">
    <mergeCell ref="A3:J3"/>
    <mergeCell ref="H11:H18"/>
    <mergeCell ref="I11: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Y81"/>
  <sheetViews>
    <sheetView zoomScale="60" zoomScaleNormal="60" workbookViewId="0">
      <pane ySplit="5" topLeftCell="A16" activePane="bottomLeft" state="frozen"/>
      <selection pane="bottomLeft" activeCell="L15" sqref="L15"/>
    </sheetView>
  </sheetViews>
  <sheetFormatPr defaultColWidth="9.1796875" defaultRowHeight="14" x14ac:dyDescent="0.3"/>
  <cols>
    <col min="1" max="2" width="13.26953125" style="14" customWidth="1"/>
    <col min="3" max="3" width="26.1796875" style="14" customWidth="1"/>
    <col min="4" max="4" width="11.1796875" style="14" customWidth="1"/>
    <col min="5" max="5" width="12.1796875" style="14" customWidth="1"/>
    <col min="6" max="6" width="13.7265625" style="14" customWidth="1"/>
    <col min="7" max="7" width="10.81640625" style="14" customWidth="1"/>
    <col min="8" max="8" width="9.81640625" style="14" customWidth="1"/>
    <col min="9" max="9" width="8.81640625" style="14" customWidth="1"/>
    <col min="10" max="10" width="10.54296875" style="14" customWidth="1"/>
    <col min="11" max="11" width="10.453125" style="14" customWidth="1"/>
    <col min="12" max="12" width="11.81640625" style="14" customWidth="1"/>
    <col min="13" max="13" width="9.81640625" style="14" customWidth="1"/>
    <col min="14" max="14" width="11.7265625" style="14" customWidth="1"/>
    <col min="15" max="15" width="12.81640625" style="14" customWidth="1"/>
    <col min="16" max="16" width="6.54296875" style="14" customWidth="1"/>
    <col min="17" max="17" width="7.7265625" style="14" customWidth="1"/>
    <col min="18" max="18" width="17.54296875" style="14" customWidth="1"/>
    <col min="19" max="19" width="15.26953125" style="14" customWidth="1"/>
    <col min="20" max="20" width="10.453125" style="14" customWidth="1"/>
    <col min="21" max="21" width="11.1796875" style="14" customWidth="1"/>
    <col min="22" max="22" width="13.453125" style="14" customWidth="1"/>
    <col min="23" max="23" width="5.1796875" style="14" customWidth="1"/>
    <col min="24" max="24" width="11.7265625" style="14" customWidth="1"/>
    <col min="25" max="25" width="10.26953125" style="14" customWidth="1"/>
    <col min="26" max="16384" width="9.1796875" style="14"/>
  </cols>
  <sheetData>
    <row r="1" spans="1:25" ht="30" customHeight="1" x14ac:dyDescent="0.3">
      <c r="C1" s="287" t="s">
        <v>18</v>
      </c>
      <c r="D1" s="287"/>
      <c r="E1" s="15"/>
      <c r="S1" s="16"/>
    </row>
    <row r="2" spans="1:25" ht="19.5" customHeight="1" x14ac:dyDescent="0.3">
      <c r="A2" s="288" t="s">
        <v>100</v>
      </c>
      <c r="B2" s="288"/>
      <c r="C2" s="288"/>
      <c r="D2" s="288"/>
      <c r="E2" s="288"/>
      <c r="F2" s="288"/>
      <c r="G2" s="288"/>
      <c r="H2" s="288"/>
      <c r="I2" s="288"/>
      <c r="J2" s="288"/>
      <c r="K2" s="288"/>
      <c r="L2" s="288"/>
      <c r="M2" s="288"/>
      <c r="N2" s="288"/>
      <c r="O2" s="288"/>
      <c r="P2" s="288"/>
      <c r="Q2" s="288"/>
      <c r="R2" s="288"/>
      <c r="S2" s="288"/>
    </row>
    <row r="3" spans="1:25" ht="19.5" customHeight="1" x14ac:dyDescent="0.3">
      <c r="A3" s="17"/>
      <c r="B3" s="17"/>
      <c r="C3" s="18"/>
      <c r="D3" s="18"/>
      <c r="E3" s="18"/>
      <c r="F3" s="18"/>
      <c r="G3" s="18"/>
      <c r="H3" s="18"/>
      <c r="I3" s="18"/>
      <c r="J3" s="18"/>
      <c r="K3" s="18"/>
      <c r="L3" s="18"/>
      <c r="M3" s="18"/>
      <c r="N3" s="18"/>
      <c r="O3" s="18"/>
      <c r="P3" s="18"/>
      <c r="Q3" s="18"/>
      <c r="R3" s="18"/>
      <c r="S3" s="18"/>
    </row>
    <row r="4" spans="1:25" ht="19.5" customHeight="1" x14ac:dyDescent="0.3">
      <c r="T4" s="28"/>
    </row>
    <row r="5" spans="1:25" ht="100.5" customHeight="1" x14ac:dyDescent="0.3">
      <c r="A5" s="11" t="s">
        <v>8</v>
      </c>
      <c r="B5" s="11" t="s">
        <v>49</v>
      </c>
      <c r="C5" s="11" t="s">
        <v>9</v>
      </c>
      <c r="D5" s="48" t="s">
        <v>50</v>
      </c>
      <c r="E5" s="48" t="s">
        <v>90</v>
      </c>
      <c r="F5" s="48" t="s">
        <v>51</v>
      </c>
      <c r="G5" s="48" t="s">
        <v>144</v>
      </c>
      <c r="H5" s="48" t="s">
        <v>52</v>
      </c>
      <c r="I5" s="48" t="s">
        <v>53</v>
      </c>
      <c r="J5" s="48" t="s">
        <v>54</v>
      </c>
      <c r="K5" s="48" t="s">
        <v>55</v>
      </c>
      <c r="L5" s="48" t="s">
        <v>56</v>
      </c>
      <c r="M5" s="48" t="s">
        <v>57</v>
      </c>
      <c r="N5" s="48" t="s">
        <v>58</v>
      </c>
      <c r="O5" s="48" t="s">
        <v>59</v>
      </c>
      <c r="P5" s="48" t="s">
        <v>60</v>
      </c>
      <c r="Q5" s="48" t="s">
        <v>61</v>
      </c>
      <c r="R5" s="48" t="s">
        <v>13</v>
      </c>
      <c r="S5" s="48" t="s">
        <v>6</v>
      </c>
      <c r="T5" s="129" t="s">
        <v>62</v>
      </c>
      <c r="U5" s="129" t="s">
        <v>63</v>
      </c>
      <c r="V5" s="12" t="s">
        <v>64</v>
      </c>
      <c r="X5" s="48" t="s">
        <v>145</v>
      </c>
      <c r="Y5" s="12" t="s">
        <v>16</v>
      </c>
    </row>
    <row r="6" spans="1:25" ht="15.5" x14ac:dyDescent="0.3">
      <c r="A6" s="184" t="str">
        <f>Greitis!A6</f>
        <v>XXXX-XX-XX</v>
      </c>
      <c r="B6" s="50" t="s">
        <v>146</v>
      </c>
      <c r="C6" s="283" t="str">
        <f>Greitis!C6</f>
        <v>XXXX</v>
      </c>
      <c r="D6" s="234">
        <v>1</v>
      </c>
      <c r="E6" s="235">
        <v>0.78500000000000003</v>
      </c>
      <c r="F6" s="185">
        <f>V9</f>
        <v>40</v>
      </c>
      <c r="G6" s="181">
        <f>Greitis!G6*129*(SQRT(X6*(273+F6)/(H6+I6)/Greitis!L6))</f>
        <v>4.1856303808885986</v>
      </c>
      <c r="H6" s="226">
        <f>Greitis!I6</f>
        <v>1000</v>
      </c>
      <c r="I6" s="227">
        <f>Greitis!J6</f>
        <v>1</v>
      </c>
      <c r="J6" s="238">
        <v>100</v>
      </c>
      <c r="K6" s="237">
        <v>7</v>
      </c>
      <c r="L6" s="58">
        <f>M6*N6/1000</f>
        <v>0.05</v>
      </c>
      <c r="M6" s="236">
        <v>5</v>
      </c>
      <c r="N6" s="239">
        <v>10</v>
      </c>
      <c r="O6" s="238">
        <v>10</v>
      </c>
      <c r="P6" s="187">
        <f>T9</f>
        <v>10</v>
      </c>
      <c r="Q6" s="187">
        <f>U9</f>
        <v>4</v>
      </c>
      <c r="R6" s="43" t="s">
        <v>146</v>
      </c>
      <c r="S6" s="44" t="s">
        <v>106</v>
      </c>
      <c r="T6" s="246">
        <v>10.02</v>
      </c>
      <c r="U6" s="246">
        <v>4.0999999999999996</v>
      </c>
      <c r="V6" s="238">
        <v>40.200000000000003</v>
      </c>
      <c r="X6" s="240">
        <f>Greitis!E6</f>
        <v>0.14000000000000001</v>
      </c>
      <c r="Y6" s="187">
        <f>Aerodinamika!K6</f>
        <v>1.0353315592396999</v>
      </c>
    </row>
    <row r="7" spans="1:25" x14ac:dyDescent="0.3">
      <c r="A7" s="37"/>
      <c r="B7" s="34"/>
      <c r="C7" s="284"/>
      <c r="D7" s="19"/>
      <c r="E7" s="20"/>
      <c r="F7" s="185">
        <f t="shared" ref="F7:H7" si="0">(F6)</f>
        <v>40</v>
      </c>
      <c r="G7" s="181">
        <f>Greitis!G7*129*(SQRT(X7*(273+F7)/(H7+I7)/Greitis!L7))</f>
        <v>4.1856303808885986</v>
      </c>
      <c r="H7" s="186">
        <f t="shared" si="0"/>
        <v>1000</v>
      </c>
      <c r="I7" s="187">
        <f t="shared" ref="I7" si="1">(I6)</f>
        <v>1</v>
      </c>
      <c r="J7" s="238">
        <v>100</v>
      </c>
      <c r="K7" s="185">
        <f t="shared" ref="K7:M7" si="2">(K6)</f>
        <v>7</v>
      </c>
      <c r="L7" s="58">
        <f>M7*N7/1000</f>
        <v>0.05</v>
      </c>
      <c r="M7" s="186">
        <f t="shared" si="2"/>
        <v>5</v>
      </c>
      <c r="N7" s="239">
        <v>10</v>
      </c>
      <c r="O7" s="238">
        <v>10</v>
      </c>
      <c r="P7" s="187">
        <f t="shared" ref="P7" si="3">(P6)</f>
        <v>10</v>
      </c>
      <c r="Q7" s="187">
        <f t="shared" ref="Q7" si="4">(Q6)</f>
        <v>4</v>
      </c>
      <c r="R7" s="23"/>
      <c r="S7" s="51"/>
      <c r="T7" s="246">
        <v>9.98</v>
      </c>
      <c r="U7" s="246">
        <v>3.9</v>
      </c>
      <c r="V7" s="238">
        <v>39.799999999999997</v>
      </c>
      <c r="X7" s="240">
        <f>Greitis!E7</f>
        <v>0.14000000000000001</v>
      </c>
      <c r="Y7" s="187">
        <f>Aerodinamika!K7</f>
        <v>1.0353315592396999</v>
      </c>
    </row>
    <row r="8" spans="1:25" x14ac:dyDescent="0.3">
      <c r="A8" s="37"/>
      <c r="B8" s="34"/>
      <c r="C8" s="284"/>
      <c r="D8" s="19"/>
      <c r="E8" s="20"/>
      <c r="F8" s="185">
        <f>(F6)</f>
        <v>40</v>
      </c>
      <c r="G8" s="181">
        <f>Greitis!G8*129*(SQRT(X8*(273+F8)/(H8+I8)/Greitis!L8))</f>
        <v>4.1856303808885986</v>
      </c>
      <c r="H8" s="186">
        <f>(H6)</f>
        <v>1000</v>
      </c>
      <c r="I8" s="187">
        <f t="shared" ref="I8:K8" si="5">(I6)</f>
        <v>1</v>
      </c>
      <c r="J8" s="238">
        <v>100</v>
      </c>
      <c r="K8" s="185">
        <f t="shared" si="5"/>
        <v>7</v>
      </c>
      <c r="L8" s="58">
        <f>M8*N8/1000</f>
        <v>0.05</v>
      </c>
      <c r="M8" s="186">
        <f t="shared" ref="M8" si="6">(M6)</f>
        <v>5</v>
      </c>
      <c r="N8" s="239">
        <v>10</v>
      </c>
      <c r="O8" s="238">
        <v>10</v>
      </c>
      <c r="P8" s="187">
        <f t="shared" ref="P8:Q8" si="7">(P6)</f>
        <v>10</v>
      </c>
      <c r="Q8" s="187">
        <f t="shared" si="7"/>
        <v>4</v>
      </c>
      <c r="R8" s="23"/>
      <c r="S8" s="51"/>
      <c r="T8" s="246">
        <v>10</v>
      </c>
      <c r="U8" s="246">
        <v>4</v>
      </c>
      <c r="V8" s="238">
        <v>40</v>
      </c>
      <c r="X8" s="240">
        <f>Greitis!E8</f>
        <v>0.14000000000000001</v>
      </c>
      <c r="Y8" s="187">
        <f>Aerodinamika!K8</f>
        <v>1.0353315592396999</v>
      </c>
    </row>
    <row r="9" spans="1:25" x14ac:dyDescent="0.3">
      <c r="A9" s="49"/>
      <c r="B9" s="49"/>
      <c r="C9" s="284"/>
      <c r="D9" s="49"/>
      <c r="E9" s="49"/>
      <c r="F9" s="185">
        <f>(F6)</f>
        <v>40</v>
      </c>
      <c r="G9" s="181">
        <f>Greitis!G9*129*(SQRT(X9*(273+F9)/(H9+I9)/Greitis!L9))</f>
        <v>4.1856303808885986</v>
      </c>
      <c r="H9" s="186">
        <f>(H6)</f>
        <v>1000</v>
      </c>
      <c r="I9" s="187">
        <f t="shared" ref="I9:K9" si="8">(I6)</f>
        <v>1</v>
      </c>
      <c r="J9" s="238">
        <v>100</v>
      </c>
      <c r="K9" s="185">
        <f t="shared" si="8"/>
        <v>7</v>
      </c>
      <c r="L9" s="58">
        <f t="shared" ref="L9:L14" si="9">M9*N9/1000</f>
        <v>0.05</v>
      </c>
      <c r="M9" s="186">
        <f t="shared" ref="M9" si="10">(M6)</f>
        <v>5</v>
      </c>
      <c r="N9" s="239">
        <v>10</v>
      </c>
      <c r="O9" s="238">
        <v>10</v>
      </c>
      <c r="P9" s="187">
        <f t="shared" ref="P9:Q9" si="11">(P6)</f>
        <v>10</v>
      </c>
      <c r="Q9" s="187">
        <f t="shared" si="11"/>
        <v>4</v>
      </c>
      <c r="R9" s="49"/>
      <c r="S9" s="49"/>
      <c r="T9" s="74">
        <f>AVERAGE(T6:T8)</f>
        <v>10</v>
      </c>
      <c r="U9" s="74">
        <f>AVERAGE(U6:U8)</f>
        <v>4</v>
      </c>
      <c r="V9" s="130">
        <f>AVERAGE(V6:V8)</f>
        <v>40</v>
      </c>
      <c r="X9" s="240">
        <f>Greitis!E9</f>
        <v>0.14000000000000001</v>
      </c>
      <c r="Y9" s="187">
        <f>Aerodinamika!K9</f>
        <v>1.0353315592396999</v>
      </c>
    </row>
    <row r="10" spans="1:25" ht="15" customHeight="1" x14ac:dyDescent="0.3">
      <c r="A10" s="49"/>
      <c r="B10" s="49"/>
      <c r="C10" s="284"/>
      <c r="D10" s="49"/>
      <c r="E10" s="49"/>
      <c r="F10" s="185">
        <f>(F6)</f>
        <v>40</v>
      </c>
      <c r="G10" s="181">
        <f>Greitis!G10*129*(SQRT(X10*(273+F10)/(H10+I10)/Greitis!L10))</f>
        <v>4.1856303808885986</v>
      </c>
      <c r="H10" s="186">
        <f>(H6)</f>
        <v>1000</v>
      </c>
      <c r="I10" s="187">
        <f t="shared" ref="I10:K10" si="12">(I6)</f>
        <v>1</v>
      </c>
      <c r="J10" s="238">
        <v>100</v>
      </c>
      <c r="K10" s="185">
        <f t="shared" si="12"/>
        <v>7</v>
      </c>
      <c r="L10" s="58">
        <f t="shared" si="9"/>
        <v>0.05</v>
      </c>
      <c r="M10" s="186">
        <f t="shared" ref="M10" si="13">(M6)</f>
        <v>5</v>
      </c>
      <c r="N10" s="239">
        <v>10</v>
      </c>
      <c r="O10" s="238">
        <v>10</v>
      </c>
      <c r="P10" s="187">
        <f t="shared" ref="P10:Q10" si="14">(P6)</f>
        <v>10</v>
      </c>
      <c r="Q10" s="187">
        <f t="shared" si="14"/>
        <v>4</v>
      </c>
      <c r="R10" s="49"/>
      <c r="S10" s="49"/>
      <c r="T10" s="286" t="s">
        <v>32</v>
      </c>
      <c r="U10" s="286" t="s">
        <v>33</v>
      </c>
      <c r="V10" s="282" t="s">
        <v>40</v>
      </c>
      <c r="X10" s="240">
        <f>Greitis!E10</f>
        <v>0.14000000000000001</v>
      </c>
      <c r="Y10" s="187">
        <f>Aerodinamika!K10</f>
        <v>1.0353315592396999</v>
      </c>
    </row>
    <row r="11" spans="1:25" x14ac:dyDescent="0.3">
      <c r="A11" s="49"/>
      <c r="B11" s="49"/>
      <c r="C11" s="284"/>
      <c r="D11" s="49"/>
      <c r="E11" s="49"/>
      <c r="F11" s="185">
        <f>(F6)</f>
        <v>40</v>
      </c>
      <c r="G11" s="181">
        <f>Greitis!G11*129*(SQRT(X11*(273+F11)/(H11+I11)/Greitis!L11))</f>
        <v>4.1856303808885986</v>
      </c>
      <c r="H11" s="186">
        <f>(H6)</f>
        <v>1000</v>
      </c>
      <c r="I11" s="187">
        <f t="shared" ref="I11:K11" si="15">(I6)</f>
        <v>1</v>
      </c>
      <c r="J11" s="238">
        <v>100</v>
      </c>
      <c r="K11" s="185">
        <f t="shared" si="15"/>
        <v>7</v>
      </c>
      <c r="L11" s="58">
        <f t="shared" si="9"/>
        <v>0.05</v>
      </c>
      <c r="M11" s="186">
        <f t="shared" ref="M11" si="16">(M6)</f>
        <v>5</v>
      </c>
      <c r="N11" s="239">
        <v>10</v>
      </c>
      <c r="O11" s="238">
        <v>10</v>
      </c>
      <c r="P11" s="187">
        <f t="shared" ref="P11:Q11" si="17">(P6)</f>
        <v>10</v>
      </c>
      <c r="Q11" s="187">
        <f t="shared" si="17"/>
        <v>4</v>
      </c>
      <c r="R11" s="49"/>
      <c r="S11" s="49"/>
      <c r="T11" s="286"/>
      <c r="U11" s="286"/>
      <c r="V11" s="282"/>
      <c r="X11" s="240">
        <f>Greitis!E11</f>
        <v>0.14000000000000001</v>
      </c>
      <c r="Y11" s="187">
        <f>Aerodinamika!K11</f>
        <v>1.0353315592396999</v>
      </c>
    </row>
    <row r="12" spans="1:25" ht="15" customHeight="1" x14ac:dyDescent="0.3">
      <c r="A12" s="49"/>
      <c r="B12" s="49"/>
      <c r="C12" s="284"/>
      <c r="D12" s="49"/>
      <c r="E12" s="49"/>
      <c r="F12" s="185">
        <f>(F6)</f>
        <v>40</v>
      </c>
      <c r="G12" s="181">
        <f>Greitis!G12*129*(SQRT(X12*(273+F12)/(H12+I12)/Greitis!L12))</f>
        <v>4.1856303808885986</v>
      </c>
      <c r="H12" s="186">
        <f>(H6)</f>
        <v>1000</v>
      </c>
      <c r="I12" s="187">
        <f t="shared" ref="I12:K12" si="18">(I6)</f>
        <v>1</v>
      </c>
      <c r="J12" s="238">
        <v>100</v>
      </c>
      <c r="K12" s="185">
        <f t="shared" si="18"/>
        <v>7</v>
      </c>
      <c r="L12" s="58">
        <f t="shared" si="9"/>
        <v>0.05</v>
      </c>
      <c r="M12" s="186">
        <f t="shared" ref="M12" si="19">(M6)</f>
        <v>5</v>
      </c>
      <c r="N12" s="239">
        <v>10</v>
      </c>
      <c r="O12" s="238">
        <v>10</v>
      </c>
      <c r="P12" s="187">
        <f t="shared" ref="P12:Q12" si="20">(P6)</f>
        <v>10</v>
      </c>
      <c r="Q12" s="187">
        <f t="shared" si="20"/>
        <v>4</v>
      </c>
      <c r="R12" s="49"/>
      <c r="S12" s="49"/>
      <c r="T12" s="286"/>
      <c r="U12" s="286"/>
      <c r="V12" s="282"/>
      <c r="X12" s="240">
        <f>Greitis!E12</f>
        <v>0.14000000000000001</v>
      </c>
      <c r="Y12" s="187">
        <f>Aerodinamika!K12</f>
        <v>1.0353315592396999</v>
      </c>
    </row>
    <row r="13" spans="1:25" ht="15" customHeight="1" x14ac:dyDescent="0.3">
      <c r="A13" s="49"/>
      <c r="B13" s="49"/>
      <c r="C13" s="284"/>
      <c r="D13" s="49"/>
      <c r="E13" s="49"/>
      <c r="F13" s="185">
        <f>(F6)</f>
        <v>40</v>
      </c>
      <c r="G13" s="181">
        <f>Greitis!G13*129*(SQRT(X13*(273+F13)/(H13+I13)/Greitis!L13))</f>
        <v>4.1856303808885986</v>
      </c>
      <c r="H13" s="186">
        <f>(H6)</f>
        <v>1000</v>
      </c>
      <c r="I13" s="187">
        <f t="shared" ref="I13:K13" si="21">(I6)</f>
        <v>1</v>
      </c>
      <c r="J13" s="238">
        <v>100</v>
      </c>
      <c r="K13" s="185">
        <f t="shared" si="21"/>
        <v>7</v>
      </c>
      <c r="L13" s="58">
        <f t="shared" si="9"/>
        <v>0.05</v>
      </c>
      <c r="M13" s="186">
        <f t="shared" ref="M13" si="22">(M6)</f>
        <v>5</v>
      </c>
      <c r="N13" s="239">
        <v>10</v>
      </c>
      <c r="O13" s="238">
        <v>10</v>
      </c>
      <c r="P13" s="187">
        <f t="shared" ref="P13:Q13" si="23">(P6)</f>
        <v>10</v>
      </c>
      <c r="Q13" s="187">
        <f t="shared" si="23"/>
        <v>4</v>
      </c>
      <c r="R13" s="49"/>
      <c r="S13" s="49"/>
      <c r="X13" s="240">
        <f>Greitis!E13</f>
        <v>0.14000000000000001</v>
      </c>
      <c r="Y13" s="187">
        <f>Aerodinamika!K13</f>
        <v>1.0353315592396999</v>
      </c>
    </row>
    <row r="14" spans="1:25" ht="15" customHeight="1" x14ac:dyDescent="0.3">
      <c r="A14" s="36"/>
      <c r="B14" s="36"/>
      <c r="C14" s="285"/>
      <c r="D14" s="36"/>
      <c r="E14" s="36"/>
      <c r="F14" s="185">
        <f>(F6)</f>
        <v>40</v>
      </c>
      <c r="G14" s="182">
        <f>Greitis!G14*129*(SQRT(X14*(273+F14)/(H14+I14)/Greitis!L14))</f>
        <v>4.1856303808885986</v>
      </c>
      <c r="H14" s="186">
        <f>(H6)</f>
        <v>1000</v>
      </c>
      <c r="I14" s="187">
        <f t="shared" ref="I14:K14" si="24">(I6)</f>
        <v>1</v>
      </c>
      <c r="J14" s="238">
        <v>100</v>
      </c>
      <c r="K14" s="185">
        <f t="shared" si="24"/>
        <v>7</v>
      </c>
      <c r="L14" s="69">
        <f t="shared" si="9"/>
        <v>0.05</v>
      </c>
      <c r="M14" s="186">
        <f t="shared" ref="M14" si="25">(M6)</f>
        <v>5</v>
      </c>
      <c r="N14" s="239">
        <v>10</v>
      </c>
      <c r="O14" s="238">
        <v>10</v>
      </c>
      <c r="P14" s="187">
        <f t="shared" ref="P14:Q14" si="26">(P6)</f>
        <v>10</v>
      </c>
      <c r="Q14" s="187">
        <f t="shared" si="26"/>
        <v>4</v>
      </c>
      <c r="R14" s="36"/>
      <c r="S14" s="36"/>
      <c r="X14" s="240">
        <f>Greitis!E14</f>
        <v>0.14000000000000001</v>
      </c>
      <c r="Y14" s="187">
        <f>Aerodinamika!K14</f>
        <v>1.0353315592396999</v>
      </c>
    </row>
    <row r="15" spans="1:25" x14ac:dyDescent="0.3">
      <c r="L15" s="70">
        <f>SUM(L6:L14)</f>
        <v>0.44999999999999996</v>
      </c>
      <c r="M15" s="122">
        <f>SUM(M6:M14)</f>
        <v>45</v>
      </c>
      <c r="N15" s="123">
        <f>AVERAGE(N6:N14)</f>
        <v>10</v>
      </c>
    </row>
    <row r="16" spans="1:25" ht="30.75" customHeight="1" x14ac:dyDescent="0.3">
      <c r="L16" s="68" t="s">
        <v>29</v>
      </c>
      <c r="M16" s="45" t="s">
        <v>98</v>
      </c>
      <c r="N16" s="45" t="s">
        <v>137</v>
      </c>
    </row>
    <row r="17" spans="1:25" x14ac:dyDescent="0.3">
      <c r="A17" s="14" t="s">
        <v>14</v>
      </c>
    </row>
    <row r="19" spans="1:25" x14ac:dyDescent="0.3">
      <c r="A19" s="184" t="str">
        <f t="shared" ref="A19:I19" si="27">(A6)</f>
        <v>XXXX-XX-XX</v>
      </c>
      <c r="B19" s="188" t="str">
        <f t="shared" si="27"/>
        <v>XX</v>
      </c>
      <c r="C19" s="283" t="str">
        <f t="shared" si="27"/>
        <v>XXXX</v>
      </c>
      <c r="D19" s="189">
        <f t="shared" si="27"/>
        <v>1</v>
      </c>
      <c r="E19" s="190">
        <f t="shared" si="27"/>
        <v>0.78500000000000003</v>
      </c>
      <c r="F19" s="185">
        <f t="shared" si="27"/>
        <v>40</v>
      </c>
      <c r="G19" s="181">
        <f>Greitis!G6*129*(SQRT(X19*(273+F19)/(H19+I19)/Greitis!L6))</f>
        <v>4.1856303808885986</v>
      </c>
      <c r="H19" s="186">
        <f t="shared" si="27"/>
        <v>1000</v>
      </c>
      <c r="I19" s="187">
        <f t="shared" si="27"/>
        <v>1</v>
      </c>
      <c r="J19" s="238">
        <v>100</v>
      </c>
      <c r="K19" s="185">
        <f>(K6)</f>
        <v>7</v>
      </c>
      <c r="L19" s="58">
        <f>M19*N19/1000</f>
        <v>0.05</v>
      </c>
      <c r="M19" s="186">
        <f>(M6)</f>
        <v>5</v>
      </c>
      <c r="N19" s="239">
        <v>10</v>
      </c>
      <c r="O19" s="238">
        <v>10</v>
      </c>
      <c r="P19" s="187">
        <f>(P6)</f>
        <v>10</v>
      </c>
      <c r="Q19" s="187">
        <f>(Q6)</f>
        <v>4</v>
      </c>
      <c r="R19" s="184" t="str">
        <f>(R6)</f>
        <v>XX</v>
      </c>
      <c r="S19" s="54" t="s">
        <v>107</v>
      </c>
      <c r="X19" s="240">
        <f>Greitis!F6</f>
        <v>0.14000000000000001</v>
      </c>
      <c r="Y19" s="187">
        <f>Aerodinamika!K19</f>
        <v>1.0353315592396999</v>
      </c>
    </row>
    <row r="20" spans="1:25" x14ac:dyDescent="0.3">
      <c r="A20" s="37"/>
      <c r="B20" s="34"/>
      <c r="C20" s="284"/>
      <c r="D20" s="19"/>
      <c r="E20" s="20"/>
      <c r="F20" s="185">
        <f>(F6)</f>
        <v>40</v>
      </c>
      <c r="G20" s="181">
        <f>Greitis!G7*129*(SQRT(X20*(273+F20)/(H20+I20)/Greitis!L7))</f>
        <v>4.1856303808885986</v>
      </c>
      <c r="H20" s="186">
        <f>(H6)</f>
        <v>1000</v>
      </c>
      <c r="I20" s="187">
        <f>(I6)</f>
        <v>1</v>
      </c>
      <c r="J20" s="238">
        <v>100</v>
      </c>
      <c r="K20" s="185">
        <f>(K19)</f>
        <v>7</v>
      </c>
      <c r="L20" s="58">
        <f>M20*N20/1000</f>
        <v>0.05</v>
      </c>
      <c r="M20" s="186">
        <f>(M6)</f>
        <v>5</v>
      </c>
      <c r="N20" s="239">
        <v>10</v>
      </c>
      <c r="O20" s="238">
        <v>10</v>
      </c>
      <c r="P20" s="187">
        <f>(P6)</f>
        <v>10</v>
      </c>
      <c r="Q20" s="187">
        <f>(Q6)</f>
        <v>4</v>
      </c>
      <c r="R20" s="23"/>
      <c r="S20" s="51"/>
      <c r="X20" s="240">
        <f>Greitis!F7</f>
        <v>0.14000000000000001</v>
      </c>
      <c r="Y20" s="187">
        <f>Aerodinamika!K20</f>
        <v>1.0353315592396999</v>
      </c>
    </row>
    <row r="21" spans="1:25" x14ac:dyDescent="0.3">
      <c r="A21" s="37"/>
      <c r="B21" s="34"/>
      <c r="C21" s="284"/>
      <c r="D21" s="19"/>
      <c r="E21" s="20"/>
      <c r="F21" s="185">
        <f>(F6)</f>
        <v>40</v>
      </c>
      <c r="G21" s="181">
        <f>Greitis!G8*129*(SQRT(X21*(273+F21)/(H21+I21)/Greitis!L8))</f>
        <v>4.1856303808885986</v>
      </c>
      <c r="H21" s="186">
        <f>(H6)</f>
        <v>1000</v>
      </c>
      <c r="I21" s="187">
        <f>(I6)</f>
        <v>1</v>
      </c>
      <c r="J21" s="238">
        <v>100</v>
      </c>
      <c r="K21" s="185">
        <f>(K19)</f>
        <v>7</v>
      </c>
      <c r="L21" s="58">
        <f>M21*N21/1000</f>
        <v>0.05</v>
      </c>
      <c r="M21" s="186">
        <f>(M6)</f>
        <v>5</v>
      </c>
      <c r="N21" s="239">
        <v>10</v>
      </c>
      <c r="O21" s="238">
        <v>10</v>
      </c>
      <c r="P21" s="187">
        <f>(P6)</f>
        <v>10</v>
      </c>
      <c r="Q21" s="187">
        <f>(Q6)</f>
        <v>4</v>
      </c>
      <c r="R21" s="23"/>
      <c r="S21" s="51"/>
      <c r="X21" s="240">
        <f>Greitis!F8</f>
        <v>0.14000000000000001</v>
      </c>
      <c r="Y21" s="187">
        <f>Aerodinamika!K21</f>
        <v>1.0353315592396999</v>
      </c>
    </row>
    <row r="22" spans="1:25" x14ac:dyDescent="0.3">
      <c r="A22" s="49"/>
      <c r="B22" s="49"/>
      <c r="C22" s="284"/>
      <c r="D22" s="49"/>
      <c r="E22" s="49"/>
      <c r="F22" s="185">
        <f>(F6)</f>
        <v>40</v>
      </c>
      <c r="G22" s="181">
        <f>Greitis!G9*129*(SQRT(X22*(273+F22)/(H22+I22)/Greitis!L9))</f>
        <v>4.1856303808885986</v>
      </c>
      <c r="H22" s="186">
        <f>(H6)</f>
        <v>1000</v>
      </c>
      <c r="I22" s="187">
        <f>(I6)</f>
        <v>1</v>
      </c>
      <c r="J22" s="238">
        <v>100</v>
      </c>
      <c r="K22" s="185">
        <f>(K19)</f>
        <v>7</v>
      </c>
      <c r="L22" s="58">
        <f t="shared" ref="L22:L27" si="28">M22*N22/1000</f>
        <v>0.05</v>
      </c>
      <c r="M22" s="186">
        <f>(M6)</f>
        <v>5</v>
      </c>
      <c r="N22" s="239">
        <v>10</v>
      </c>
      <c r="O22" s="238">
        <v>10</v>
      </c>
      <c r="P22" s="187">
        <f>(P6)</f>
        <v>10</v>
      </c>
      <c r="Q22" s="187">
        <f>(Q6)</f>
        <v>4</v>
      </c>
      <c r="R22" s="49"/>
      <c r="S22" s="49"/>
      <c r="X22" s="240">
        <f>Greitis!F9</f>
        <v>0.14000000000000001</v>
      </c>
      <c r="Y22" s="187">
        <f>Aerodinamika!K22</f>
        <v>1.0353315592396999</v>
      </c>
    </row>
    <row r="23" spans="1:25" x14ac:dyDescent="0.3">
      <c r="A23" s="49"/>
      <c r="B23" s="49"/>
      <c r="C23" s="284"/>
      <c r="D23" s="49"/>
      <c r="E23" s="49"/>
      <c r="F23" s="185">
        <f>(F6)</f>
        <v>40</v>
      </c>
      <c r="G23" s="181">
        <f>Greitis!G10*129*(SQRT(X23*(273+F23)/(H23+I23)/Greitis!L10))</f>
        <v>4.1856303808885986</v>
      </c>
      <c r="H23" s="186">
        <f>(H6)</f>
        <v>1000</v>
      </c>
      <c r="I23" s="187">
        <f>(I6)</f>
        <v>1</v>
      </c>
      <c r="J23" s="238">
        <v>100</v>
      </c>
      <c r="K23" s="185">
        <f>(K19)</f>
        <v>7</v>
      </c>
      <c r="L23" s="58">
        <f t="shared" si="28"/>
        <v>0.05</v>
      </c>
      <c r="M23" s="186">
        <f>(M6)</f>
        <v>5</v>
      </c>
      <c r="N23" s="239">
        <v>10</v>
      </c>
      <c r="O23" s="238">
        <v>10</v>
      </c>
      <c r="P23" s="187">
        <f>(P6)</f>
        <v>10</v>
      </c>
      <c r="Q23" s="187">
        <f>(Q6)</f>
        <v>4</v>
      </c>
      <c r="R23" s="49"/>
      <c r="S23" s="49"/>
      <c r="X23" s="240">
        <f>Greitis!F10</f>
        <v>0.14000000000000001</v>
      </c>
      <c r="Y23" s="187">
        <f>Aerodinamika!K23</f>
        <v>1.0353315592396999</v>
      </c>
    </row>
    <row r="24" spans="1:25" x14ac:dyDescent="0.3">
      <c r="A24" s="49"/>
      <c r="B24" s="49"/>
      <c r="C24" s="284"/>
      <c r="D24" s="49"/>
      <c r="E24" s="49"/>
      <c r="F24" s="185">
        <f>(F6)</f>
        <v>40</v>
      </c>
      <c r="G24" s="181">
        <f>Greitis!G11*129*(SQRT(X24*(273+F24)/(H24+I24)/Greitis!L11))</f>
        <v>4.1856303808885986</v>
      </c>
      <c r="H24" s="186">
        <f>(H6)</f>
        <v>1000</v>
      </c>
      <c r="I24" s="187">
        <f>(I6)</f>
        <v>1</v>
      </c>
      <c r="J24" s="238">
        <v>100</v>
      </c>
      <c r="K24" s="185">
        <f>(K19)</f>
        <v>7</v>
      </c>
      <c r="L24" s="58">
        <f t="shared" si="28"/>
        <v>0.05</v>
      </c>
      <c r="M24" s="186">
        <f>(M6)</f>
        <v>5</v>
      </c>
      <c r="N24" s="239">
        <v>10</v>
      </c>
      <c r="O24" s="238">
        <v>10</v>
      </c>
      <c r="P24" s="187">
        <f>(P6)</f>
        <v>10</v>
      </c>
      <c r="Q24" s="187">
        <f>(Q6)</f>
        <v>4</v>
      </c>
      <c r="R24" s="49"/>
      <c r="S24" s="49"/>
      <c r="X24" s="240">
        <f>Greitis!F11</f>
        <v>0.14000000000000001</v>
      </c>
      <c r="Y24" s="187">
        <f>Aerodinamika!K24</f>
        <v>1.0353315592396999</v>
      </c>
    </row>
    <row r="25" spans="1:25" x14ac:dyDescent="0.3">
      <c r="A25" s="49"/>
      <c r="B25" s="49"/>
      <c r="C25" s="284"/>
      <c r="D25" s="49"/>
      <c r="E25" s="49"/>
      <c r="F25" s="185">
        <f>(F6)</f>
        <v>40</v>
      </c>
      <c r="G25" s="181">
        <f>Greitis!G12*129*(SQRT(X25*(273+F25)/(H25+I25)/Greitis!L12))</f>
        <v>4.1856303808885986</v>
      </c>
      <c r="H25" s="186">
        <f>(H6)</f>
        <v>1000</v>
      </c>
      <c r="I25" s="187">
        <f>(I6)</f>
        <v>1</v>
      </c>
      <c r="J25" s="238">
        <v>100</v>
      </c>
      <c r="K25" s="185">
        <f>(K19)</f>
        <v>7</v>
      </c>
      <c r="L25" s="58">
        <f t="shared" si="28"/>
        <v>0.05</v>
      </c>
      <c r="M25" s="186">
        <f>(M6)</f>
        <v>5</v>
      </c>
      <c r="N25" s="239">
        <v>10</v>
      </c>
      <c r="O25" s="238">
        <v>10</v>
      </c>
      <c r="P25" s="187">
        <f>(P6)</f>
        <v>10</v>
      </c>
      <c r="Q25" s="187">
        <f>(Q6)</f>
        <v>4</v>
      </c>
      <c r="R25" s="49"/>
      <c r="S25" s="49"/>
      <c r="X25" s="240">
        <f>Greitis!F12</f>
        <v>0.14000000000000001</v>
      </c>
      <c r="Y25" s="187">
        <f>Aerodinamika!K25</f>
        <v>1.0353315592396999</v>
      </c>
    </row>
    <row r="26" spans="1:25" x14ac:dyDescent="0.3">
      <c r="A26" s="49"/>
      <c r="B26" s="49"/>
      <c r="C26" s="284"/>
      <c r="D26" s="49"/>
      <c r="E26" s="49"/>
      <c r="F26" s="185">
        <f>(F6)</f>
        <v>40</v>
      </c>
      <c r="G26" s="181">
        <f>Greitis!G13*129*(SQRT(X26*(273+F26)/(H26+I26)/Greitis!L13))</f>
        <v>4.1856303808885986</v>
      </c>
      <c r="H26" s="186">
        <f>(H6)</f>
        <v>1000</v>
      </c>
      <c r="I26" s="187">
        <f>(I6)</f>
        <v>1</v>
      </c>
      <c r="J26" s="238">
        <v>100</v>
      </c>
      <c r="K26" s="185">
        <f>(K19)</f>
        <v>7</v>
      </c>
      <c r="L26" s="58">
        <f t="shared" si="28"/>
        <v>0.05</v>
      </c>
      <c r="M26" s="186">
        <f>(M6)</f>
        <v>5</v>
      </c>
      <c r="N26" s="239">
        <v>10</v>
      </c>
      <c r="O26" s="238">
        <v>10</v>
      </c>
      <c r="P26" s="187">
        <f>(P6)</f>
        <v>10</v>
      </c>
      <c r="Q26" s="187">
        <f>(Q6)</f>
        <v>4</v>
      </c>
      <c r="R26" s="49"/>
      <c r="S26" s="49"/>
      <c r="X26" s="240">
        <f>Greitis!F13</f>
        <v>0.14000000000000001</v>
      </c>
      <c r="Y26" s="187">
        <f>Aerodinamika!K26</f>
        <v>1.0353315592396999</v>
      </c>
    </row>
    <row r="27" spans="1:25" x14ac:dyDescent="0.3">
      <c r="A27" s="36"/>
      <c r="B27" s="36"/>
      <c r="C27" s="285"/>
      <c r="D27" s="36"/>
      <c r="E27" s="36"/>
      <c r="F27" s="185">
        <f>(F6)</f>
        <v>40</v>
      </c>
      <c r="G27" s="182">
        <f>Greitis!G14*129*(SQRT(X27*(273+F27)/(H27+I27)/Greitis!L14))</f>
        <v>4.1856303808885986</v>
      </c>
      <c r="H27" s="186">
        <f>(H6)</f>
        <v>1000</v>
      </c>
      <c r="I27" s="187">
        <f>(I6)</f>
        <v>1</v>
      </c>
      <c r="J27" s="238">
        <v>100</v>
      </c>
      <c r="K27" s="185">
        <f>(K19)</f>
        <v>7</v>
      </c>
      <c r="L27" s="69">
        <f t="shared" si="28"/>
        <v>0.05</v>
      </c>
      <c r="M27" s="186">
        <f>(M6)</f>
        <v>5</v>
      </c>
      <c r="N27" s="239">
        <v>10</v>
      </c>
      <c r="O27" s="238">
        <v>10</v>
      </c>
      <c r="P27" s="187">
        <f t="shared" ref="P27:Q27" si="29">(P6)</f>
        <v>10</v>
      </c>
      <c r="Q27" s="187">
        <f t="shared" si="29"/>
        <v>4</v>
      </c>
      <c r="R27" s="36"/>
      <c r="S27" s="36"/>
      <c r="X27" s="240">
        <f>Greitis!F14</f>
        <v>0.14000000000000001</v>
      </c>
      <c r="Y27" s="187">
        <f>Aerodinamika!K27</f>
        <v>1.0353315592396999</v>
      </c>
    </row>
    <row r="28" spans="1:25" x14ac:dyDescent="0.3">
      <c r="L28" s="70">
        <f>SUM(L19:L27)</f>
        <v>0.44999999999999996</v>
      </c>
      <c r="M28" s="122">
        <f>SUM(M19:M27)</f>
        <v>45</v>
      </c>
      <c r="N28" s="123">
        <f>AVERAGE(N19:N27)</f>
        <v>10</v>
      </c>
    </row>
    <row r="29" spans="1:25" ht="28" x14ac:dyDescent="0.3">
      <c r="L29" s="68" t="s">
        <v>29</v>
      </c>
      <c r="M29" s="45" t="s">
        <v>98</v>
      </c>
      <c r="N29" s="45" t="s">
        <v>137</v>
      </c>
    </row>
    <row r="31" spans="1:25" ht="21.75" customHeight="1" x14ac:dyDescent="0.3">
      <c r="L31" s="67"/>
      <c r="M31" s="123">
        <f>(M15+M28)</f>
        <v>90</v>
      </c>
      <c r="N31" s="123">
        <f>(N15+N28)/2</f>
        <v>10</v>
      </c>
      <c r="O31" s="96"/>
      <c r="P31" s="96"/>
      <c r="Q31" s="96"/>
    </row>
    <row r="32" spans="1:25" ht="48.75" customHeight="1" x14ac:dyDescent="0.3">
      <c r="L32" s="67"/>
      <c r="M32" s="45" t="s">
        <v>99</v>
      </c>
      <c r="N32" s="45" t="s">
        <v>138</v>
      </c>
    </row>
    <row r="41" ht="15" customHeight="1" x14ac:dyDescent="0.3"/>
    <row r="78" spans="1:2" x14ac:dyDescent="0.3">
      <c r="A78" s="25"/>
      <c r="B78" s="25"/>
    </row>
    <row r="79" spans="1:2" x14ac:dyDescent="0.3">
      <c r="A79" s="25"/>
      <c r="B79" s="25"/>
    </row>
    <row r="80" spans="1:2" x14ac:dyDescent="0.3">
      <c r="A80" s="25"/>
      <c r="B80" s="25"/>
    </row>
    <row r="81" spans="1:2" x14ac:dyDescent="0.3">
      <c r="A81" s="25"/>
      <c r="B81" s="25"/>
    </row>
  </sheetData>
  <sheetProtection algorithmName="SHA-512" hashValue="FM/hUntejLzMLG+ubXaVP/HH1wVgQZkRvz1RhUwv7PPy1CpmGaSwVe2gkmU6vk7SZ0ItSbLU7mJC3TxwYWYCdA==" saltValue="Wjc3Kw+A24ALZZqWIvLT4g==" spinCount="100000" sheet="1" formatCells="0" formatColumns="0" formatRows="0"/>
  <mergeCells count="7">
    <mergeCell ref="V10:V12"/>
    <mergeCell ref="C19:C27"/>
    <mergeCell ref="T10:T12"/>
    <mergeCell ref="U10:U12"/>
    <mergeCell ref="C1:D1"/>
    <mergeCell ref="A2:S2"/>
    <mergeCell ref="C6:C14"/>
  </mergeCells>
  <phoneticPr fontId="7" type="noConversion"/>
  <pageMargins left="0.19685039370078741" right="0" top="0.74803149606299213" bottom="0.35433070866141736" header="0.31496062992125984" footer="0.31496062992125984"/>
  <pageSetup paperSize="9" scale="66"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49A2A-108B-47BC-97F0-92A82ACD9A26}">
  <dimension ref="A1"/>
  <sheetViews>
    <sheetView workbookViewId="0"/>
  </sheetViews>
  <sheetFormatPr defaultRowHeight="12.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263"/>
  <sheetViews>
    <sheetView tabSelected="1" zoomScale="60" zoomScaleNormal="60" workbookViewId="0">
      <pane ySplit="5" topLeftCell="A6" activePane="bottomLeft" state="frozen"/>
      <selection pane="bottomLeft" activeCell="Q5" sqref="Q5"/>
    </sheetView>
  </sheetViews>
  <sheetFormatPr defaultColWidth="9.1796875" defaultRowHeight="14" outlineLevelCol="1" x14ac:dyDescent="0.3"/>
  <cols>
    <col min="1" max="1" width="11.26953125" style="14" customWidth="1"/>
    <col min="2" max="2" width="13.26953125" style="14" customWidth="1"/>
    <col min="3" max="3" width="20.81640625" style="14" customWidth="1"/>
    <col min="4" max="4" width="12.81640625" style="14" customWidth="1"/>
    <col min="5" max="5" width="13.54296875" style="14" customWidth="1"/>
    <col min="6" max="6" width="16.7265625" style="14" customWidth="1"/>
    <col min="7" max="7" width="13.54296875" style="14" customWidth="1"/>
    <col min="8" max="8" width="10.453125" style="14" customWidth="1"/>
    <col min="9" max="9" width="12.1796875" style="14" customWidth="1" outlineLevel="1"/>
    <col min="10" max="10" width="10" style="14" customWidth="1" outlineLevel="1"/>
    <col min="11" max="11" width="10.26953125" style="14" customWidth="1"/>
    <col min="12" max="12" width="11.54296875" style="14" customWidth="1"/>
    <col min="13" max="13" width="17" style="14" customWidth="1"/>
    <col min="14" max="14" width="14.81640625" style="14" customWidth="1"/>
    <col min="15" max="16384" width="9.1796875" style="14"/>
  </cols>
  <sheetData>
    <row r="1" spans="1:17" ht="30.75" customHeight="1" x14ac:dyDescent="0.3">
      <c r="C1" s="287" t="s">
        <v>19</v>
      </c>
      <c r="D1" s="287"/>
      <c r="Q1" s="16"/>
    </row>
    <row r="2" spans="1:17" ht="19.5" customHeight="1" x14ac:dyDescent="0.3">
      <c r="C2" s="289" t="s">
        <v>101</v>
      </c>
      <c r="D2" s="289"/>
      <c r="E2" s="289"/>
      <c r="F2" s="289"/>
      <c r="G2" s="289"/>
      <c r="H2" s="289"/>
      <c r="I2" s="289"/>
      <c r="J2" s="289"/>
      <c r="K2" s="289"/>
      <c r="L2" s="289"/>
      <c r="M2" s="289"/>
      <c r="Q2" s="16"/>
    </row>
    <row r="3" spans="1:17" ht="12" customHeight="1" x14ac:dyDescent="0.3">
      <c r="C3" s="24"/>
      <c r="H3" s="25"/>
      <c r="Q3" s="16"/>
    </row>
    <row r="4" spans="1:17" ht="8.25" customHeight="1" x14ac:dyDescent="0.3"/>
    <row r="5" spans="1:17" ht="126.75" customHeight="1" x14ac:dyDescent="0.3">
      <c r="A5" s="99" t="s">
        <v>8</v>
      </c>
      <c r="B5" s="99" t="s">
        <v>65</v>
      </c>
      <c r="C5" s="99" t="s">
        <v>9</v>
      </c>
      <c r="D5" s="12" t="s">
        <v>66</v>
      </c>
      <c r="E5" s="12" t="s">
        <v>67</v>
      </c>
      <c r="F5" s="12" t="s">
        <v>68</v>
      </c>
      <c r="G5" s="12" t="s">
        <v>69</v>
      </c>
      <c r="H5" s="12" t="s">
        <v>70</v>
      </c>
      <c r="I5" s="12" t="s">
        <v>71</v>
      </c>
      <c r="J5" s="12" t="s">
        <v>72</v>
      </c>
      <c r="K5" s="12" t="s">
        <v>16</v>
      </c>
      <c r="L5" s="12" t="s">
        <v>17</v>
      </c>
      <c r="M5" s="12" t="s">
        <v>12</v>
      </c>
      <c r="N5" s="52" t="s">
        <v>6</v>
      </c>
    </row>
    <row r="6" spans="1:17" ht="15" customHeight="1" x14ac:dyDescent="0.3">
      <c r="A6" s="191" t="str">
        <f>Paėmimas!A6</f>
        <v>XXXX-XX-XX</v>
      </c>
      <c r="B6" s="192" t="str">
        <f>Paėmimas!B6</f>
        <v>XX</v>
      </c>
      <c r="C6" s="283" t="str">
        <f>Paėmimas!C6</f>
        <v>XXXX</v>
      </c>
      <c r="D6" s="193">
        <f>Paėmimas!L6</f>
        <v>0.05</v>
      </c>
      <c r="E6" s="72">
        <f>D6*(273/(273+Paėmimas!O6)*(Paėmimas!H6-Paėmimas!J6)/1013)</f>
        <v>4.2852807495491474E-2</v>
      </c>
      <c r="F6" s="73">
        <f>SUM(E6:E14)</f>
        <v>0.38567526745942327</v>
      </c>
      <c r="G6" s="71">
        <f>((Paėmimas!Q6/100)*1.965)+((Paėmimas!P6/100)*1.429)+((1-(Paėmimas!Q6/100)-(Paėmimas!P6/100))*1.251)</f>
        <v>1.2973599999999998</v>
      </c>
      <c r="H6" s="193">
        <f>H2O!K7</f>
        <v>6.352173020933173</v>
      </c>
      <c r="I6" s="58">
        <f>(E6/(1-(H6/1000))*((273+Paėmimas!F6)/273)*(1013/(Paėmimas!H6+Paėmimas!I6)))</f>
        <v>5.0038450317896277E-2</v>
      </c>
      <c r="J6" s="58">
        <f>(I6/(Paėmimas!M6*60)/((3.142*((Paėmimas!K6/1000)*(Paėmimas!K6/1000))/4)))</f>
        <v>4.3335152286464513</v>
      </c>
      <c r="K6" s="74">
        <f>J6/Paėmimas!G6</f>
        <v>1.0353315592396999</v>
      </c>
      <c r="L6" s="75">
        <f>AVERAGE(K6:K14)</f>
        <v>1.0353315592396999</v>
      </c>
      <c r="M6" s="194" t="str">
        <f>Paėmimas!R6</f>
        <v>XX</v>
      </c>
      <c r="N6" s="195" t="str">
        <f>Paėmimas!S6</f>
        <v>1 linija, 1 filtras</v>
      </c>
    </row>
    <row r="7" spans="1:17" ht="15" customHeight="1" x14ac:dyDescent="0.3">
      <c r="A7" s="59"/>
      <c r="B7" s="23"/>
      <c r="C7" s="284"/>
      <c r="D7" s="193">
        <f>Paėmimas!L7</f>
        <v>0.05</v>
      </c>
      <c r="E7" s="72">
        <f>D7*(273/(273+Paėmimas!O7)*(Paėmimas!H7-Paėmimas!J7)/1013)</f>
        <v>4.2852807495491474E-2</v>
      </c>
      <c r="F7" s="60"/>
      <c r="G7" s="71">
        <f>((Paėmimas!Q7/100)*1.965)+((Paėmimas!P7/100)*1.429)+((1-(Paėmimas!Q7/100)-(Paėmimas!P7/100))*1.251)</f>
        <v>1.2973599999999998</v>
      </c>
      <c r="H7" s="193">
        <f>H2O!K7</f>
        <v>6.352173020933173</v>
      </c>
      <c r="I7" s="58">
        <f>(E7/(1-(H7/1000))*((273+Paėmimas!F7)/273)*(1013/(Paėmimas!H7+Paėmimas!I7)))</f>
        <v>5.0038450317896277E-2</v>
      </c>
      <c r="J7" s="58">
        <f>(I7/(Paėmimas!M7*60)/((3.142*((Paėmimas!K7/1000)*(Paėmimas!K7/1000))/4)))</f>
        <v>4.3335152286464513</v>
      </c>
      <c r="K7" s="74">
        <f>J7/Paėmimas!G7</f>
        <v>1.0353315592396999</v>
      </c>
      <c r="L7" s="19"/>
      <c r="M7" s="60"/>
      <c r="N7" s="34"/>
    </row>
    <row r="8" spans="1:17" ht="15" customHeight="1" x14ac:dyDescent="0.3">
      <c r="A8" s="59"/>
      <c r="B8" s="23"/>
      <c r="C8" s="284"/>
      <c r="D8" s="193">
        <f>Paėmimas!L8</f>
        <v>0.05</v>
      </c>
      <c r="E8" s="72">
        <f>D8*(273/(273+Paėmimas!O8)*(Paėmimas!H8-Paėmimas!J8)/1013)</f>
        <v>4.2852807495491474E-2</v>
      </c>
      <c r="F8" s="60"/>
      <c r="G8" s="71">
        <f>((Paėmimas!Q8/100)*1.965)+((Paėmimas!P8/100)*1.429)+((1-(Paėmimas!Q8/100)-(Paėmimas!P8/100))*1.251)</f>
        <v>1.2973599999999998</v>
      </c>
      <c r="H8" s="193">
        <f>H2O!K7</f>
        <v>6.352173020933173</v>
      </c>
      <c r="I8" s="58">
        <f>(E8/(1-(H8/1000))*((273+Paėmimas!F8)/273)*(1013/(Paėmimas!H8+Paėmimas!I8)))</f>
        <v>5.0038450317896277E-2</v>
      </c>
      <c r="J8" s="58">
        <f>(I8/(Paėmimas!M8*60)/((3.142*((Paėmimas!K8/1000)*(Paėmimas!K8/1000))/4)))</f>
        <v>4.3335152286464513</v>
      </c>
      <c r="K8" s="74">
        <f>J8/Paėmimas!G8</f>
        <v>1.0353315592396999</v>
      </c>
      <c r="L8" s="19"/>
      <c r="M8" s="60"/>
      <c r="N8" s="34"/>
    </row>
    <row r="9" spans="1:17" ht="15" customHeight="1" x14ac:dyDescent="0.3">
      <c r="A9" s="59"/>
      <c r="B9" s="23"/>
      <c r="C9" s="284"/>
      <c r="D9" s="193">
        <f>Paėmimas!L9</f>
        <v>0.05</v>
      </c>
      <c r="E9" s="72">
        <f>D9*(273/(273+Paėmimas!O9)*(Paėmimas!H9-Paėmimas!J9)/1013)</f>
        <v>4.2852807495491474E-2</v>
      </c>
      <c r="F9" s="60"/>
      <c r="G9" s="71">
        <f>((Paėmimas!Q9/100)*1.965)+((Paėmimas!P9/100)*1.429)+((1-(Paėmimas!Q9/100)-(Paėmimas!P9/100))*1.251)</f>
        <v>1.2973599999999998</v>
      </c>
      <c r="H9" s="193">
        <f>H2O!K7</f>
        <v>6.352173020933173</v>
      </c>
      <c r="I9" s="58">
        <f>(E9/(1-(H9/1000))*((273+Paėmimas!F9)/273)*(1013/(Paėmimas!H9+Paėmimas!I9)))</f>
        <v>5.0038450317896277E-2</v>
      </c>
      <c r="J9" s="58">
        <f>(I9/(Paėmimas!M9*60)/((3.142*((Paėmimas!K9/1000)*(Paėmimas!K9/1000))/4)))</f>
        <v>4.3335152286464513</v>
      </c>
      <c r="K9" s="74">
        <f>J9/Paėmimas!G9</f>
        <v>1.0353315592396999</v>
      </c>
      <c r="L9" s="19"/>
      <c r="M9" s="60"/>
      <c r="N9" s="34"/>
    </row>
    <row r="10" spans="1:17" ht="15" customHeight="1" x14ac:dyDescent="0.3">
      <c r="A10" s="59"/>
      <c r="B10" s="23"/>
      <c r="C10" s="284"/>
      <c r="D10" s="193">
        <f>Paėmimas!L10</f>
        <v>0.05</v>
      </c>
      <c r="E10" s="72">
        <f>D10*(273/(273+Paėmimas!O10)*(Paėmimas!H10-Paėmimas!J10)/1013)</f>
        <v>4.2852807495491474E-2</v>
      </c>
      <c r="F10" s="60"/>
      <c r="G10" s="71">
        <f>((Paėmimas!Q10/100)*1.965)+((Paėmimas!P10/100)*1.429)+((1-(Paėmimas!Q10/100)-(Paėmimas!P10/100))*1.251)</f>
        <v>1.2973599999999998</v>
      </c>
      <c r="H10" s="193">
        <f>H2O!K7</f>
        <v>6.352173020933173</v>
      </c>
      <c r="I10" s="58">
        <f>(E10/(1-(H10/1000))*((273+Paėmimas!F10)/273)*(1013/(Paėmimas!H10+Paėmimas!I10)))</f>
        <v>5.0038450317896277E-2</v>
      </c>
      <c r="J10" s="58">
        <f>(I10/(Paėmimas!M10*60)/((3.142*((Paėmimas!K10/1000)*(Paėmimas!K10/1000))/4)))</f>
        <v>4.3335152286464513</v>
      </c>
      <c r="K10" s="74">
        <f>J10/Paėmimas!G10</f>
        <v>1.0353315592396999</v>
      </c>
      <c r="L10" s="19"/>
      <c r="M10" s="60"/>
      <c r="N10" s="34"/>
    </row>
    <row r="11" spans="1:17" ht="15" customHeight="1" x14ac:dyDescent="0.3">
      <c r="A11" s="59"/>
      <c r="B11" s="23"/>
      <c r="C11" s="284"/>
      <c r="D11" s="193">
        <f>Paėmimas!L11</f>
        <v>0.05</v>
      </c>
      <c r="E11" s="72">
        <f>D11*(273/(273+Paėmimas!O11)*(Paėmimas!H11-Paėmimas!J11)/1013)</f>
        <v>4.2852807495491474E-2</v>
      </c>
      <c r="F11" s="60"/>
      <c r="G11" s="71">
        <f>((Paėmimas!Q11/100)*1.965)+((Paėmimas!P11/100)*1.429)+((1-(Paėmimas!Q11/100)-(Paėmimas!P11/100))*1.251)</f>
        <v>1.2973599999999998</v>
      </c>
      <c r="H11" s="193">
        <f>H2O!K7</f>
        <v>6.352173020933173</v>
      </c>
      <c r="I11" s="58">
        <f>(E11/(1-(H11/1000))*((273+Paėmimas!F11)/273)*(1013/(Paėmimas!H11+Paėmimas!I11)))</f>
        <v>5.0038450317896277E-2</v>
      </c>
      <c r="J11" s="58">
        <f>(I11/(Paėmimas!M11*60)/((3.142*((Paėmimas!K11/1000)*(Paėmimas!K11/1000))/4)))</f>
        <v>4.3335152286464513</v>
      </c>
      <c r="K11" s="74">
        <f>J11/Paėmimas!G11</f>
        <v>1.0353315592396999</v>
      </c>
      <c r="L11" s="19"/>
      <c r="M11" s="60"/>
      <c r="N11" s="34"/>
    </row>
    <row r="12" spans="1:17" ht="15" customHeight="1" thickBot="1" x14ac:dyDescent="0.35">
      <c r="A12" s="59"/>
      <c r="B12" s="23"/>
      <c r="C12" s="284"/>
      <c r="D12" s="193">
        <f>Paėmimas!L12</f>
        <v>0.05</v>
      </c>
      <c r="E12" s="72">
        <f>D12*(273/(273+Paėmimas!O12)*(Paėmimas!H12-Paėmimas!J12)/1013)</f>
        <v>4.2852807495491474E-2</v>
      </c>
      <c r="F12" s="60"/>
      <c r="G12" s="71">
        <f>((Paėmimas!Q12/100)*1.965)+((Paėmimas!P12/100)*1.429)+((1-(Paėmimas!Q12/100)-(Paėmimas!P12/100))*1.251)</f>
        <v>1.2973599999999998</v>
      </c>
      <c r="H12" s="193">
        <f>H2O!K7</f>
        <v>6.352173020933173</v>
      </c>
      <c r="I12" s="58">
        <f>(E12/(1-(H12/1000))*((273+Paėmimas!F12)/273)*(1013/(Paėmimas!H12+Paėmimas!I12)))</f>
        <v>5.0038450317896277E-2</v>
      </c>
      <c r="J12" s="58">
        <f>(I12/(Paėmimas!M12*60)/((3.142*((Paėmimas!K12/1000)*(Paėmimas!K12/1000))/4)))</f>
        <v>4.3335152286464513</v>
      </c>
      <c r="K12" s="74">
        <f>J12/Paėmimas!G12</f>
        <v>1.0353315592396999</v>
      </c>
      <c r="L12" s="19"/>
      <c r="M12" s="60"/>
      <c r="N12" s="34"/>
    </row>
    <row r="13" spans="1:17" ht="15" customHeight="1" x14ac:dyDescent="0.3">
      <c r="A13" s="59"/>
      <c r="B13" s="23"/>
      <c r="C13" s="284"/>
      <c r="D13" s="193">
        <f>Paėmimas!L13</f>
        <v>0.05</v>
      </c>
      <c r="E13" s="72">
        <f>D13*(273/(273+Paėmimas!O13)*(Paėmimas!H13-Paėmimas!J13)/1013)</f>
        <v>4.2852807495491474E-2</v>
      </c>
      <c r="F13" s="60"/>
      <c r="G13" s="71">
        <f>((Paėmimas!Q13/100)*1.965)+((Paėmimas!P13/100)*1.429)+((1-(Paėmimas!Q13/100)-(Paėmimas!P13/100))*1.251)</f>
        <v>1.2973599999999998</v>
      </c>
      <c r="H13" s="193">
        <f>H2O!K7</f>
        <v>6.352173020933173</v>
      </c>
      <c r="I13" s="58">
        <f>(E13/(1-(H13/1000))*((273+Paėmimas!F13)/273)*(1013/(Paėmimas!H13+Paėmimas!I13)))</f>
        <v>5.0038450317896277E-2</v>
      </c>
      <c r="J13" s="58">
        <f>(I13/(Paėmimas!M13*60)/((3.142*((Paėmimas!K13/1000)*(Paėmimas!K13/1000))/4)))</f>
        <v>4.3335152286464513</v>
      </c>
      <c r="K13" s="74">
        <f>J13/Paėmimas!G13</f>
        <v>1.0353315592396999</v>
      </c>
      <c r="L13" s="19"/>
      <c r="M13" s="60"/>
      <c r="N13" s="34"/>
    </row>
    <row r="14" spans="1:17" ht="15" customHeight="1" x14ac:dyDescent="0.3">
      <c r="A14" s="61"/>
      <c r="B14" s="62"/>
      <c r="C14" s="285"/>
      <c r="D14" s="193">
        <f>Paėmimas!L14</f>
        <v>0.05</v>
      </c>
      <c r="E14" s="72">
        <f>D14*(273/(273+Paėmimas!O14)*(Paėmimas!H14-Paėmimas!J14)/1013)</f>
        <v>4.2852807495491474E-2</v>
      </c>
      <c r="F14" s="63"/>
      <c r="G14" s="71">
        <f>((Paėmimas!Q14/100)*1.965)+((Paėmimas!P14/100)*1.429)+((1-(Paėmimas!Q14/100)-(Paėmimas!P14/100))*1.251)</f>
        <v>1.2973599999999998</v>
      </c>
      <c r="H14" s="193">
        <f>H2O!K7</f>
        <v>6.352173020933173</v>
      </c>
      <c r="I14" s="58">
        <f>(E14/(1-(H14/1000))*((273+Paėmimas!F14)/273)*(1013/(Paėmimas!H14+Paėmimas!I14)))</f>
        <v>5.0038450317896277E-2</v>
      </c>
      <c r="J14" s="58">
        <f>(I14/(Paėmimas!M14*60)/((3.142*((Paėmimas!K14/1000)*(Paėmimas!K14/1000))/4)))</f>
        <v>4.3335152286464513</v>
      </c>
      <c r="K14" s="74">
        <f>J14/Paėmimas!G14</f>
        <v>1.0353315592396999</v>
      </c>
      <c r="L14" s="64"/>
      <c r="M14" s="63"/>
      <c r="N14" s="22"/>
    </row>
    <row r="15" spans="1:17" ht="17.25" customHeight="1" x14ac:dyDescent="0.3">
      <c r="C15" s="78"/>
      <c r="D15" s="78"/>
      <c r="E15" s="78"/>
      <c r="F15" s="78"/>
      <c r="G15" s="74">
        <f>AVERAGE(G6:G14)</f>
        <v>1.2973599999999996</v>
      </c>
      <c r="H15" s="78"/>
      <c r="I15" s="124">
        <f>SUM(I6:I14)</f>
        <v>0.45034605286106649</v>
      </c>
      <c r="J15" s="78"/>
    </row>
    <row r="16" spans="1:17" ht="34.5" customHeight="1" x14ac:dyDescent="0.3">
      <c r="C16" s="79"/>
      <c r="D16" s="79"/>
      <c r="E16" s="79"/>
      <c r="F16" s="79"/>
      <c r="G16" s="45" t="s">
        <v>28</v>
      </c>
      <c r="H16" s="79"/>
      <c r="I16" s="45" t="s">
        <v>139</v>
      </c>
      <c r="J16" s="79"/>
    </row>
    <row r="17" spans="1:14" ht="15" customHeight="1" x14ac:dyDescent="0.3">
      <c r="C17" s="79"/>
      <c r="D17" s="79"/>
      <c r="E17" s="79"/>
      <c r="F17" s="79"/>
      <c r="G17" s="55"/>
      <c r="H17" s="79"/>
      <c r="I17" s="79"/>
      <c r="J17" s="79"/>
    </row>
    <row r="19" spans="1:14" x14ac:dyDescent="0.3">
      <c r="A19" s="191" t="str">
        <f>Paėmimas!A19</f>
        <v>XXXX-XX-XX</v>
      </c>
      <c r="B19" s="192" t="str">
        <f>Paėmimas!B19</f>
        <v>XX</v>
      </c>
      <c r="C19" s="283" t="str">
        <f>Paėmimas!C19</f>
        <v>XXXX</v>
      </c>
      <c r="D19" s="193">
        <f>Paėmimas!L19</f>
        <v>0.05</v>
      </c>
      <c r="E19" s="72">
        <f>D19*(273/(273+Paėmimas!O19)*(Paėmimas!H19-Paėmimas!J19)/1013)</f>
        <v>4.2852807495491474E-2</v>
      </c>
      <c r="F19" s="73">
        <f>SUM(E19:E27)</f>
        <v>0.38567526745942327</v>
      </c>
      <c r="G19" s="71">
        <f>((Paėmimas!Q19/100)*1.965)+((Paėmimas!P19/100)*1.429)+((1-(Paėmimas!Q19/100)-(Paėmimas!P19/100))*1.251)</f>
        <v>1.2973599999999998</v>
      </c>
      <c r="H19" s="193">
        <f>H2O!K7</f>
        <v>6.352173020933173</v>
      </c>
      <c r="I19" s="58">
        <f>(E19/(1-(H19/1000))*((273+Paėmimas!F19)/273)*(1013/(Paėmimas!H19+Paėmimas!I19)))</f>
        <v>5.0038450317896277E-2</v>
      </c>
      <c r="J19" s="58">
        <f>(I19/(Paėmimas!M19*60)/((3.142*((Paėmimas!K19/1000)*(Paėmimas!K19/1000))/4)))</f>
        <v>4.3335152286464513</v>
      </c>
      <c r="K19" s="74">
        <f>J19/Paėmimas!G19</f>
        <v>1.0353315592396999</v>
      </c>
      <c r="L19" s="75">
        <f>AVERAGE(K19:K27)</f>
        <v>1.0353315592396999</v>
      </c>
      <c r="M19" s="194" t="str">
        <f>Paėmimas!R19</f>
        <v>XX</v>
      </c>
      <c r="N19" s="195" t="str">
        <f>Paėmimas!S19</f>
        <v>2 linija, 2 filtras</v>
      </c>
    </row>
    <row r="20" spans="1:14" x14ac:dyDescent="0.3">
      <c r="A20" s="59"/>
      <c r="B20" s="23"/>
      <c r="C20" s="284"/>
      <c r="D20" s="193">
        <f>Paėmimas!L20</f>
        <v>0.05</v>
      </c>
      <c r="E20" s="72">
        <f>D20*(273/(273+Paėmimas!O20)*(Paėmimas!H20-Paėmimas!J20)/1013)</f>
        <v>4.2852807495491474E-2</v>
      </c>
      <c r="F20" s="60"/>
      <c r="G20" s="71">
        <f>((Paėmimas!Q20/100)*1.965)+((Paėmimas!P20/100)*1.429)+((1-(Paėmimas!Q20/100)-(Paėmimas!P20/100))*1.251)</f>
        <v>1.2973599999999998</v>
      </c>
      <c r="H20" s="193">
        <f>H2O!K7</f>
        <v>6.352173020933173</v>
      </c>
      <c r="I20" s="58">
        <f>(E20/(1-(H20/1000))*((273+Paėmimas!F20)/273)*(1013/(Paėmimas!H20+Paėmimas!I20)))</f>
        <v>5.0038450317896277E-2</v>
      </c>
      <c r="J20" s="58">
        <f>(I20/(Paėmimas!M20*60)/((3.142*((Paėmimas!K20/1000)*(Paėmimas!K20/1000))/4)))</f>
        <v>4.3335152286464513</v>
      </c>
      <c r="K20" s="74">
        <f>J20/Paėmimas!G20</f>
        <v>1.0353315592396999</v>
      </c>
      <c r="L20" s="19"/>
      <c r="M20" s="60"/>
      <c r="N20" s="34"/>
    </row>
    <row r="21" spans="1:14" x14ac:dyDescent="0.3">
      <c r="A21" s="59"/>
      <c r="B21" s="23"/>
      <c r="C21" s="284"/>
      <c r="D21" s="193">
        <f>Paėmimas!L21</f>
        <v>0.05</v>
      </c>
      <c r="E21" s="72">
        <f>D21*(273/(273+Paėmimas!O21)*(Paėmimas!H21-Paėmimas!J21)/1013)</f>
        <v>4.2852807495491474E-2</v>
      </c>
      <c r="F21" s="60"/>
      <c r="G21" s="71">
        <f>((Paėmimas!Q21/100)*1.965)+((Paėmimas!P21/100)*1.429)+((1-(Paėmimas!Q21/100)-(Paėmimas!P21/100))*1.251)</f>
        <v>1.2973599999999998</v>
      </c>
      <c r="H21" s="193">
        <f>H2O!K7</f>
        <v>6.352173020933173</v>
      </c>
      <c r="I21" s="58">
        <f>(E21/(1-(H21/1000))*((273+Paėmimas!F21)/273)*(1013/(Paėmimas!H21+Paėmimas!I21)))</f>
        <v>5.0038450317896277E-2</v>
      </c>
      <c r="J21" s="58">
        <f>(I21/(Paėmimas!M21*60)/((3.142*((Paėmimas!K21/1000)*(Paėmimas!K21/1000))/4)))</f>
        <v>4.3335152286464513</v>
      </c>
      <c r="K21" s="74">
        <f>J21/Paėmimas!G21</f>
        <v>1.0353315592396999</v>
      </c>
      <c r="L21" s="19"/>
      <c r="M21" s="60"/>
      <c r="N21" s="34"/>
    </row>
    <row r="22" spans="1:14" x14ac:dyDescent="0.3">
      <c r="A22" s="59"/>
      <c r="B22" s="23"/>
      <c r="C22" s="284"/>
      <c r="D22" s="193">
        <f>Paėmimas!L22</f>
        <v>0.05</v>
      </c>
      <c r="E22" s="72">
        <f>D22*(273/(273+Paėmimas!O22)*(Paėmimas!H22-Paėmimas!J22)/1013)</f>
        <v>4.2852807495491474E-2</v>
      </c>
      <c r="F22" s="60"/>
      <c r="G22" s="71">
        <f>((Paėmimas!Q22/100)*1.965)+((Paėmimas!P22/100)*1.429)+((1-(Paėmimas!Q22/100)-(Paėmimas!P22/100))*1.251)</f>
        <v>1.2973599999999998</v>
      </c>
      <c r="H22" s="193">
        <f>H2O!K7</f>
        <v>6.352173020933173</v>
      </c>
      <c r="I22" s="58">
        <f>(E22/(1-(H22/1000))*((273+Paėmimas!F22)/273)*(1013/(Paėmimas!H22+Paėmimas!I22)))</f>
        <v>5.0038450317896277E-2</v>
      </c>
      <c r="J22" s="58">
        <f>(I22/(Paėmimas!M22*60)/((3.142*((Paėmimas!K22/1000)*(Paėmimas!K22/1000))/4)))</f>
        <v>4.3335152286464513</v>
      </c>
      <c r="K22" s="74">
        <f>J22/Paėmimas!G22</f>
        <v>1.0353315592396999</v>
      </c>
      <c r="L22" s="19"/>
      <c r="M22" s="60"/>
      <c r="N22" s="34"/>
    </row>
    <row r="23" spans="1:14" x14ac:dyDescent="0.3">
      <c r="A23" s="59"/>
      <c r="B23" s="23"/>
      <c r="C23" s="284"/>
      <c r="D23" s="193">
        <f>Paėmimas!L23</f>
        <v>0.05</v>
      </c>
      <c r="E23" s="72">
        <f>D23*(273/(273+Paėmimas!O23)*(Paėmimas!H23-Paėmimas!J23)/1013)</f>
        <v>4.2852807495491474E-2</v>
      </c>
      <c r="F23" s="60"/>
      <c r="G23" s="71">
        <f>((Paėmimas!Q23/100)*1.965)+((Paėmimas!P23/100)*1.429)+((1-(Paėmimas!Q23/100)-(Paėmimas!P23/100))*1.251)</f>
        <v>1.2973599999999998</v>
      </c>
      <c r="H23" s="193">
        <f>H2O!K7</f>
        <v>6.352173020933173</v>
      </c>
      <c r="I23" s="58">
        <f>(E23/(1-(H23/1000))*((273+Paėmimas!F23)/273)*(1013/(Paėmimas!H23+Paėmimas!I23)))</f>
        <v>5.0038450317896277E-2</v>
      </c>
      <c r="J23" s="58">
        <f>(I23/(Paėmimas!M23*60)/((3.142*((Paėmimas!K23/1000)*(Paėmimas!K23/1000))/4)))</f>
        <v>4.3335152286464513</v>
      </c>
      <c r="K23" s="74">
        <f>J23/Paėmimas!G23</f>
        <v>1.0353315592396999</v>
      </c>
      <c r="L23" s="19"/>
      <c r="M23" s="60"/>
      <c r="N23" s="34"/>
    </row>
    <row r="24" spans="1:14" x14ac:dyDescent="0.3">
      <c r="A24" s="59"/>
      <c r="B24" s="23"/>
      <c r="C24" s="284"/>
      <c r="D24" s="193">
        <f>Paėmimas!L24</f>
        <v>0.05</v>
      </c>
      <c r="E24" s="72">
        <f>D24*(273/(273+Paėmimas!O24)*(Paėmimas!H24-Paėmimas!J24)/1013)</f>
        <v>4.2852807495491474E-2</v>
      </c>
      <c r="F24" s="60"/>
      <c r="G24" s="71">
        <f>((Paėmimas!Q24/100)*1.965)+((Paėmimas!P24/100)*1.429)+((1-(Paėmimas!Q24/100)-(Paėmimas!P24/100))*1.251)</f>
        <v>1.2973599999999998</v>
      </c>
      <c r="H24" s="193">
        <f>H2O!K7</f>
        <v>6.352173020933173</v>
      </c>
      <c r="I24" s="58">
        <f>(E24/(1-(H24/1000))*((273+Paėmimas!F24)/273)*(1013/(Paėmimas!H24+Paėmimas!I24)))</f>
        <v>5.0038450317896277E-2</v>
      </c>
      <c r="J24" s="58">
        <f>(I24/(Paėmimas!M24*60)/((3.142*((Paėmimas!K24/1000)*(Paėmimas!K24/1000))/4)))</f>
        <v>4.3335152286464513</v>
      </c>
      <c r="K24" s="74">
        <f>J24/Paėmimas!G24</f>
        <v>1.0353315592396999</v>
      </c>
      <c r="L24" s="19"/>
      <c r="M24" s="60"/>
      <c r="N24" s="34"/>
    </row>
    <row r="25" spans="1:14" x14ac:dyDescent="0.3">
      <c r="A25" s="59"/>
      <c r="B25" s="23"/>
      <c r="C25" s="284"/>
      <c r="D25" s="193">
        <f>Paėmimas!L25</f>
        <v>0.05</v>
      </c>
      <c r="E25" s="72">
        <f>D25*(273/(273+Paėmimas!O25)*(Paėmimas!H25-Paėmimas!J25)/1013)</f>
        <v>4.2852807495491474E-2</v>
      </c>
      <c r="F25" s="60"/>
      <c r="G25" s="71">
        <f>((Paėmimas!Q25/100)*1.965)+((Paėmimas!P25/100)*1.429)+((1-(Paėmimas!Q25/100)-(Paėmimas!P25/100))*1.251)</f>
        <v>1.2973599999999998</v>
      </c>
      <c r="H25" s="193">
        <f>H2O!K7</f>
        <v>6.352173020933173</v>
      </c>
      <c r="I25" s="58">
        <f>(E25/(1-(H25/1000))*((273+Paėmimas!F25)/273)*(1013/(Paėmimas!H25+Paėmimas!I25)))</f>
        <v>5.0038450317896277E-2</v>
      </c>
      <c r="J25" s="58">
        <f>(I25/(Paėmimas!M25*60)/((3.142*((Paėmimas!K25/1000)*(Paėmimas!K25/1000))/4)))</f>
        <v>4.3335152286464513</v>
      </c>
      <c r="K25" s="74">
        <f>J25/Paėmimas!G25</f>
        <v>1.0353315592396999</v>
      </c>
      <c r="L25" s="19"/>
      <c r="M25" s="60"/>
      <c r="N25" s="34"/>
    </row>
    <row r="26" spans="1:14" x14ac:dyDescent="0.3">
      <c r="A26" s="59"/>
      <c r="B26" s="23"/>
      <c r="C26" s="284"/>
      <c r="D26" s="193">
        <f>Paėmimas!L26</f>
        <v>0.05</v>
      </c>
      <c r="E26" s="72">
        <f>D26*(273/(273+Paėmimas!O26)*(Paėmimas!H26-Paėmimas!J26)/1013)</f>
        <v>4.2852807495491474E-2</v>
      </c>
      <c r="F26" s="60"/>
      <c r="G26" s="71">
        <f>((Paėmimas!Q26/100)*1.965)+((Paėmimas!P26/100)*1.429)+((1-(Paėmimas!Q26/100)-(Paėmimas!P26/100))*1.251)</f>
        <v>1.2973599999999998</v>
      </c>
      <c r="H26" s="193">
        <f>H2O!K7</f>
        <v>6.352173020933173</v>
      </c>
      <c r="I26" s="58">
        <f>(E26/(1-(H26/1000))*((273+Paėmimas!F26)/273)*(1013/(Paėmimas!H26+Paėmimas!I26)))</f>
        <v>5.0038450317896277E-2</v>
      </c>
      <c r="J26" s="58">
        <f>(I26/(Paėmimas!M26*60)/((3.142*((Paėmimas!K26/1000)*(Paėmimas!K26/1000))/4)))</f>
        <v>4.3335152286464513</v>
      </c>
      <c r="K26" s="74">
        <f>J26/Paėmimas!G26</f>
        <v>1.0353315592396999</v>
      </c>
      <c r="L26" s="19"/>
      <c r="M26" s="60"/>
      <c r="N26" s="34"/>
    </row>
    <row r="27" spans="1:14" x14ac:dyDescent="0.3">
      <c r="A27" s="61"/>
      <c r="B27" s="62"/>
      <c r="C27" s="285"/>
      <c r="D27" s="193">
        <f>Paėmimas!L27</f>
        <v>0.05</v>
      </c>
      <c r="E27" s="72">
        <f>D27*(273/(273+Paėmimas!O27)*(Paėmimas!H27-Paėmimas!J27)/1013)</f>
        <v>4.2852807495491474E-2</v>
      </c>
      <c r="F27" s="63"/>
      <c r="G27" s="71">
        <f>((Paėmimas!Q27/100)*1.965)+((Paėmimas!P27/100)*1.429)+((1-(Paėmimas!Q27/100)-(Paėmimas!P27/100))*1.251)</f>
        <v>1.2973599999999998</v>
      </c>
      <c r="H27" s="193">
        <f>H2O!K7</f>
        <v>6.352173020933173</v>
      </c>
      <c r="I27" s="58">
        <f>(E27/(1-(H27/1000))*((273+Paėmimas!F27)/273)*(1013/(Paėmimas!H27+Paėmimas!I27)))</f>
        <v>5.0038450317896277E-2</v>
      </c>
      <c r="J27" s="58">
        <f>(I27/(Paėmimas!M27*60)/((3.142*((Paėmimas!K27/1000)*(Paėmimas!K27/1000))/4)))</f>
        <v>4.3335152286464513</v>
      </c>
      <c r="K27" s="74">
        <f>J27/Paėmimas!G27</f>
        <v>1.0353315592396999</v>
      </c>
      <c r="L27" s="64"/>
      <c r="M27" s="63"/>
      <c r="N27" s="22"/>
    </row>
    <row r="28" spans="1:14" x14ac:dyDescent="0.3">
      <c r="C28" s="78"/>
      <c r="D28" s="78"/>
      <c r="E28" s="78"/>
      <c r="F28" s="76">
        <f>SUM(F6+F19)</f>
        <v>0.77135053491884653</v>
      </c>
      <c r="G28" s="74">
        <f>AVERAGE(G19:G27)</f>
        <v>1.2973599999999996</v>
      </c>
      <c r="H28" s="78"/>
      <c r="I28" s="124">
        <f>SUM(I19:I27)</f>
        <v>0.45034605286106649</v>
      </c>
      <c r="J28" s="78"/>
      <c r="L28" s="77">
        <f>(L6+L19)/2</f>
        <v>1.0353315592396999</v>
      </c>
    </row>
    <row r="29" spans="1:14" ht="56" x14ac:dyDescent="0.3">
      <c r="C29" s="79"/>
      <c r="D29" s="79"/>
      <c r="E29" s="79"/>
      <c r="F29" s="45" t="s">
        <v>36</v>
      </c>
      <c r="G29" s="45" t="s">
        <v>28</v>
      </c>
      <c r="H29" s="79"/>
      <c r="I29" s="45" t="s">
        <v>139</v>
      </c>
      <c r="J29" s="79"/>
      <c r="L29" s="45" t="s">
        <v>35</v>
      </c>
    </row>
    <row r="30" spans="1:14" x14ac:dyDescent="0.3">
      <c r="C30" s="80"/>
      <c r="D30" s="80"/>
      <c r="E30" s="80"/>
      <c r="F30" s="80"/>
      <c r="G30" s="80"/>
      <c r="H30" s="80"/>
      <c r="I30" s="80"/>
      <c r="J30" s="80"/>
    </row>
    <row r="31" spans="1:14" x14ac:dyDescent="0.3">
      <c r="C31" s="80"/>
      <c r="D31" s="80"/>
      <c r="E31" s="80"/>
      <c r="F31" s="80"/>
      <c r="G31" s="74">
        <f>(G15+G28)/2</f>
        <v>1.2973599999999996</v>
      </c>
      <c r="H31" s="80"/>
      <c r="I31" s="124">
        <f>SUM(I15+I28)</f>
        <v>0.90069210572213299</v>
      </c>
      <c r="J31" s="80"/>
    </row>
    <row r="32" spans="1:14" ht="55.5" customHeight="1" x14ac:dyDescent="0.3">
      <c r="C32" s="80"/>
      <c r="D32" s="80"/>
      <c r="E32" s="80"/>
      <c r="F32" s="80"/>
      <c r="G32" s="45" t="s">
        <v>34</v>
      </c>
      <c r="H32" s="80"/>
      <c r="I32" s="45" t="s">
        <v>140</v>
      </c>
      <c r="J32" s="80"/>
    </row>
    <row r="33" spans="3:10" x14ac:dyDescent="0.3">
      <c r="C33" s="80"/>
      <c r="D33" s="80"/>
      <c r="E33" s="80"/>
      <c r="F33" s="80"/>
      <c r="G33" s="80"/>
      <c r="H33" s="80"/>
      <c r="I33" s="80"/>
      <c r="J33" s="80"/>
    </row>
    <row r="34" spans="3:10" x14ac:dyDescent="0.3">
      <c r="C34" s="80"/>
      <c r="D34" s="80"/>
      <c r="E34" s="80"/>
      <c r="F34" s="80"/>
      <c r="G34" s="80"/>
      <c r="H34" s="80"/>
      <c r="I34" s="80"/>
      <c r="J34" s="80"/>
    </row>
    <row r="262" spans="3:4" x14ac:dyDescent="0.3">
      <c r="C262" s="26"/>
      <c r="D262" s="14" t="s">
        <v>10</v>
      </c>
    </row>
    <row r="263" spans="3:4" x14ac:dyDescent="0.3">
      <c r="C263" s="27"/>
      <c r="D263" s="14" t="s">
        <v>11</v>
      </c>
    </row>
  </sheetData>
  <sheetProtection formatCells="0" formatColumns="0" formatRows="0"/>
  <mergeCells count="4">
    <mergeCell ref="C2:M2"/>
    <mergeCell ref="C1:D1"/>
    <mergeCell ref="C6:C14"/>
    <mergeCell ref="C19:C27"/>
  </mergeCells>
  <phoneticPr fontId="0" type="noConversion"/>
  <pageMargins left="0.39370078740157483" right="0" top="0.74803149606299213" bottom="0.19685039370078741" header="0.31496062992125984" footer="0.31496062992125984"/>
  <pageSetup paperSize="9" scale="68"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topLeftCell="A5" zoomScale="110" zoomScaleNormal="110" workbookViewId="0">
      <selection activeCell="C12" sqref="C12"/>
    </sheetView>
  </sheetViews>
  <sheetFormatPr defaultColWidth="9.1796875" defaultRowHeight="14" x14ac:dyDescent="0.3"/>
  <cols>
    <col min="1" max="1" width="11.7265625" style="14" customWidth="1"/>
    <col min="2" max="2" width="13.453125" style="14" customWidth="1"/>
    <col min="3" max="3" width="24.54296875" style="14" customWidth="1"/>
    <col min="4" max="4" width="8.1796875" style="14" customWidth="1"/>
    <col min="5" max="5" width="11.54296875" style="14" customWidth="1"/>
    <col min="6" max="6" width="12.26953125" style="14" customWidth="1"/>
    <col min="7" max="7" width="11" style="14" customWidth="1"/>
    <col min="8" max="9" width="10.26953125" style="14" customWidth="1"/>
    <col min="10" max="10" width="11.1796875" style="14" customWidth="1"/>
    <col min="11" max="11" width="14.26953125" style="14" customWidth="1"/>
    <col min="12" max="12" width="11.26953125" style="14" customWidth="1"/>
    <col min="13" max="13" width="10.54296875" style="14" customWidth="1"/>
    <col min="14" max="14" width="17.7265625" style="14" customWidth="1"/>
    <col min="15" max="15" width="8.26953125" style="14" customWidth="1"/>
    <col min="16" max="16" width="12.7265625" style="14" customWidth="1"/>
    <col min="17" max="17" width="9.1796875" style="14"/>
    <col min="18" max="18" width="9.54296875" style="14" bestFit="1" customWidth="1"/>
    <col min="19" max="16384" width="9.1796875" style="14"/>
  </cols>
  <sheetData>
    <row r="1" spans="1:18" ht="27.75" customHeight="1" x14ac:dyDescent="0.3">
      <c r="C1" s="287" t="s">
        <v>20</v>
      </c>
      <c r="D1" s="287"/>
      <c r="R1" s="16"/>
    </row>
    <row r="2" spans="1:18" x14ac:dyDescent="0.3">
      <c r="A2" s="289" t="s">
        <v>102</v>
      </c>
      <c r="B2" s="289"/>
      <c r="C2" s="289"/>
      <c r="D2" s="289"/>
      <c r="E2" s="289"/>
      <c r="F2" s="289"/>
      <c r="G2" s="289"/>
      <c r="H2" s="289"/>
      <c r="I2" s="289"/>
      <c r="J2" s="289"/>
      <c r="K2" s="289"/>
      <c r="L2" s="289"/>
      <c r="M2" s="289"/>
      <c r="N2" s="289"/>
      <c r="O2" s="125"/>
    </row>
    <row r="3" spans="1:18" x14ac:dyDescent="0.3">
      <c r="F3" s="29"/>
      <c r="L3" s="16"/>
      <c r="M3" s="16"/>
    </row>
    <row r="4" spans="1:18" ht="12.75" customHeight="1" x14ac:dyDescent="0.3">
      <c r="L4" s="16"/>
      <c r="M4" s="16"/>
    </row>
    <row r="5" spans="1:18" ht="88.5" customHeight="1" x14ac:dyDescent="0.3">
      <c r="A5" s="99" t="s">
        <v>8</v>
      </c>
      <c r="B5" s="99" t="s">
        <v>49</v>
      </c>
      <c r="C5" s="12" t="s">
        <v>9</v>
      </c>
      <c r="D5" s="12" t="s">
        <v>7</v>
      </c>
      <c r="E5" s="115" t="s">
        <v>73</v>
      </c>
      <c r="F5" s="115" t="s">
        <v>74</v>
      </c>
      <c r="G5" s="115" t="s">
        <v>75</v>
      </c>
      <c r="H5" s="115" t="s">
        <v>76</v>
      </c>
      <c r="I5" s="115" t="s">
        <v>77</v>
      </c>
      <c r="J5" s="115" t="s">
        <v>78</v>
      </c>
      <c r="K5" s="115" t="s">
        <v>79</v>
      </c>
      <c r="L5" s="115" t="s">
        <v>80</v>
      </c>
      <c r="M5" s="249" t="s">
        <v>81</v>
      </c>
      <c r="N5" s="12" t="s">
        <v>12</v>
      </c>
      <c r="O5" s="12" t="s">
        <v>104</v>
      </c>
      <c r="P5" s="52" t="s">
        <v>6</v>
      </c>
    </row>
    <row r="6" spans="1:18" ht="17.25" customHeight="1" x14ac:dyDescent="0.3">
      <c r="A6" s="196" t="str">
        <f>Paėmimas!A6</f>
        <v>XXXX-XX-XX</v>
      </c>
      <c r="B6" s="197" t="str">
        <f>Svėrimas!A6</f>
        <v>XX</v>
      </c>
      <c r="C6" s="290" t="str">
        <f>Paėmimas!C6</f>
        <v>XXXX</v>
      </c>
      <c r="D6" s="198">
        <f>Svėrimas!C6</f>
        <v>1</v>
      </c>
      <c r="E6" s="199">
        <f>Svėrimas!G6</f>
        <v>4.0517000000000003</v>
      </c>
      <c r="F6" s="200">
        <f>Svėrimas!L6</f>
        <v>4.0567000000000002</v>
      </c>
      <c r="G6" s="200">
        <f>Svėrimas!M9</f>
        <v>1.0000000000021103E-4</v>
      </c>
      <c r="H6" s="126">
        <f>Svėrimas!M11/O6</f>
        <v>4.9999999998107114E-5</v>
      </c>
      <c r="I6" s="200">
        <f>Svėrimas!M16</f>
        <v>0</v>
      </c>
      <c r="J6" s="203">
        <f>Aerodinamika!F6</f>
        <v>0.38567526745942327</v>
      </c>
      <c r="K6" s="100">
        <f>((F6-E6-G6+H6+I6)/J6)*1000</f>
        <v>12.834631664625933</v>
      </c>
      <c r="L6" s="183">
        <f>G6/Paėmimas!L15*1000</f>
        <v>0.2222222222226912</v>
      </c>
      <c r="M6" s="101">
        <f>(((F6-E6)+H6)+((F7-E7)+H7))/G6</f>
        <v>100.99999999974688</v>
      </c>
      <c r="N6" s="205" t="str">
        <f>Svėrimas!N6</f>
        <v>XX</v>
      </c>
      <c r="O6" s="50">
        <v>2</v>
      </c>
      <c r="P6" s="206" t="str">
        <f>Paėmimas!S6</f>
        <v>1 linija, 1 filtras</v>
      </c>
    </row>
    <row r="7" spans="1:18" ht="19.5" customHeight="1" x14ac:dyDescent="0.3">
      <c r="A7" s="207"/>
      <c r="B7" s="208"/>
      <c r="C7" s="290"/>
      <c r="D7" s="201">
        <f>Svėrimas!C7</f>
        <v>2</v>
      </c>
      <c r="E7" s="199">
        <f>Svėrimas!G7</f>
        <v>4.0517000000000003</v>
      </c>
      <c r="F7" s="202">
        <f>Svėrimas!L7</f>
        <v>4.0567000000000002</v>
      </c>
      <c r="G7" s="200">
        <f>Svėrimas!M9</f>
        <v>1.0000000000021103E-4</v>
      </c>
      <c r="H7" s="126">
        <f>Svėrimas!M11/O6</f>
        <v>4.9999999998107114E-5</v>
      </c>
      <c r="I7" s="200">
        <f>Svėrimas!M16</f>
        <v>0</v>
      </c>
      <c r="J7" s="204">
        <f>Aerodinamika!F19</f>
        <v>0.38567526745942327</v>
      </c>
      <c r="K7" s="98">
        <f>((F7-E7-G7+H7+I7)/J7)*1000</f>
        <v>12.834631664625933</v>
      </c>
      <c r="L7" s="183">
        <f>G7/Paėmimas!L28*1000</f>
        <v>0.2222222222226912</v>
      </c>
      <c r="M7" s="102"/>
      <c r="N7" s="217"/>
      <c r="O7" s="34"/>
      <c r="P7" s="206" t="str">
        <f>Paėmimas!S19</f>
        <v>2 linija, 2 filtras</v>
      </c>
    </row>
    <row r="8" spans="1:18" ht="22.5" customHeight="1" x14ac:dyDescent="0.3">
      <c r="A8" s="209"/>
      <c r="B8" s="210"/>
      <c r="C8" s="291"/>
      <c r="D8" s="211"/>
      <c r="E8" s="212"/>
      <c r="F8" s="213"/>
      <c r="G8" s="213"/>
      <c r="H8" s="213"/>
      <c r="I8" s="213"/>
      <c r="J8" s="214"/>
      <c r="K8" s="215"/>
      <c r="L8" s="216"/>
      <c r="M8" s="103"/>
      <c r="N8" s="218"/>
      <c r="O8" s="22"/>
      <c r="P8" s="219"/>
    </row>
  </sheetData>
  <sheetProtection algorithmName="SHA-512" hashValue="ieqiJL1WxT84xM0k666oCEmNfoWReeXzs0vrOc8nReKwH1pTB8/U/pemJ1qa5tJCEy36XaGRMWCHclwNALw8Mw==" saltValue="sF01Xq3vGPf/99H6AuS/5g=="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P18"/>
  <sheetViews>
    <sheetView zoomScale="60" zoomScaleNormal="60" workbookViewId="0">
      <pane ySplit="5" topLeftCell="A6" activePane="bottomLeft" state="frozen"/>
      <selection pane="bottomLeft" activeCell="F9" sqref="F9"/>
    </sheetView>
  </sheetViews>
  <sheetFormatPr defaultColWidth="9.1796875" defaultRowHeight="14" x14ac:dyDescent="0.25"/>
  <cols>
    <col min="1" max="1" width="13.7265625" style="95" customWidth="1"/>
    <col min="2" max="2" width="25.1796875" style="95" customWidth="1"/>
    <col min="3" max="3" width="7.453125" style="95" customWidth="1"/>
    <col min="4" max="4" width="12.81640625" style="95" customWidth="1"/>
    <col min="5" max="5" width="11.1796875" style="95" customWidth="1"/>
    <col min="6" max="6" width="10.81640625" style="95" customWidth="1"/>
    <col min="7" max="7" width="10.453125" style="95" customWidth="1"/>
    <col min="8" max="8" width="18" style="95" customWidth="1"/>
    <col min="9" max="9" width="11.26953125" style="95" customWidth="1"/>
    <col min="10" max="10" width="10.81640625" style="95" customWidth="1"/>
    <col min="11" max="11" width="11" style="95" customWidth="1"/>
    <col min="12" max="12" width="11.1796875" style="95" customWidth="1"/>
    <col min="13" max="13" width="20.26953125" style="95" customWidth="1"/>
    <col min="14" max="14" width="16.81640625" style="95" customWidth="1"/>
    <col min="15" max="15" width="31.26953125" style="95" customWidth="1"/>
    <col min="16" max="16384" width="9.1796875" style="95"/>
  </cols>
  <sheetData>
    <row r="1" spans="1:16" ht="26.25" customHeight="1" x14ac:dyDescent="0.25">
      <c r="C1" s="287" t="s">
        <v>21</v>
      </c>
      <c r="D1" s="287"/>
      <c r="E1" s="287"/>
      <c r="F1" s="287"/>
    </row>
    <row r="2" spans="1:16" ht="19.5" customHeight="1" x14ac:dyDescent="0.25">
      <c r="A2" s="289" t="s">
        <v>103</v>
      </c>
      <c r="B2" s="289"/>
      <c r="C2" s="289"/>
      <c r="D2" s="289"/>
      <c r="E2" s="289"/>
      <c r="F2" s="289"/>
      <c r="G2" s="289"/>
      <c r="H2" s="289"/>
      <c r="I2" s="289"/>
      <c r="J2" s="289"/>
      <c r="K2" s="289"/>
      <c r="L2" s="289"/>
      <c r="M2" s="289"/>
      <c r="N2" s="289"/>
      <c r="O2" s="289"/>
    </row>
    <row r="4" spans="1:16" ht="60" customHeight="1" x14ac:dyDescent="0.25">
      <c r="A4" s="298" t="s">
        <v>82</v>
      </c>
      <c r="B4" s="298" t="s">
        <v>9</v>
      </c>
      <c r="C4" s="295" t="s">
        <v>83</v>
      </c>
      <c r="D4" s="295" t="s">
        <v>84</v>
      </c>
      <c r="E4" s="295" t="s">
        <v>85</v>
      </c>
      <c r="F4" s="295"/>
      <c r="G4" s="295"/>
      <c r="H4" s="295" t="s">
        <v>15</v>
      </c>
      <c r="I4" s="302" t="s">
        <v>86</v>
      </c>
      <c r="J4" s="297" t="s">
        <v>87</v>
      </c>
      <c r="K4" s="297"/>
      <c r="L4" s="297"/>
      <c r="M4" s="304" t="s">
        <v>88</v>
      </c>
      <c r="N4" s="297" t="s">
        <v>15</v>
      </c>
      <c r="O4" s="300" t="s">
        <v>6</v>
      </c>
    </row>
    <row r="5" spans="1:16" ht="14.25" customHeight="1" x14ac:dyDescent="0.25">
      <c r="A5" s="299"/>
      <c r="B5" s="299"/>
      <c r="C5" s="296"/>
      <c r="D5" s="295"/>
      <c r="E5" s="116">
        <v>1</v>
      </c>
      <c r="F5" s="116">
        <v>2</v>
      </c>
      <c r="G5" s="116">
        <v>3</v>
      </c>
      <c r="H5" s="295"/>
      <c r="I5" s="303"/>
      <c r="J5" s="12">
        <v>1</v>
      </c>
      <c r="K5" s="12">
        <v>2</v>
      </c>
      <c r="L5" s="12">
        <v>3</v>
      </c>
      <c r="M5" s="305"/>
      <c r="N5" s="297"/>
      <c r="O5" s="301"/>
    </row>
    <row r="6" spans="1:16" ht="15" customHeight="1" x14ac:dyDescent="0.25">
      <c r="A6" s="220" t="str">
        <f>Paėmimas!B6</f>
        <v>XX</v>
      </c>
      <c r="B6" s="292" t="str">
        <f>Paėmimas!C6</f>
        <v>XXXX</v>
      </c>
      <c r="C6" s="91">
        <v>1</v>
      </c>
      <c r="D6" s="221" t="str">
        <f>Paėmimas!A6</f>
        <v>XXXX-XX-XX</v>
      </c>
      <c r="E6" s="250">
        <v>4.0517000000000003</v>
      </c>
      <c r="F6" s="250">
        <v>4.0517000000000003</v>
      </c>
      <c r="G6" s="250">
        <v>4.0517000000000003</v>
      </c>
      <c r="H6" s="222" t="str">
        <f>Paėmimas!R6</f>
        <v>XX</v>
      </c>
      <c r="I6" s="30" t="s">
        <v>150</v>
      </c>
      <c r="J6" s="250">
        <v>4.0567000000000002</v>
      </c>
      <c r="K6" s="250">
        <v>4.0567000000000002</v>
      </c>
      <c r="L6" s="250">
        <v>4.0567000000000002</v>
      </c>
      <c r="M6" s="175">
        <f>L6-G6</f>
        <v>4.9999999999998934E-3</v>
      </c>
      <c r="N6" s="32" t="s">
        <v>146</v>
      </c>
      <c r="O6" s="220" t="str">
        <f>Paėmimas!S6</f>
        <v>1 linija, 1 filtras</v>
      </c>
    </row>
    <row r="7" spans="1:16" ht="15" customHeight="1" x14ac:dyDescent="0.25">
      <c r="A7" s="34"/>
      <c r="B7" s="293"/>
      <c r="C7" s="33">
        <v>2</v>
      </c>
      <c r="D7" s="30"/>
      <c r="E7" s="250">
        <v>4.0517000000000003</v>
      </c>
      <c r="F7" s="250">
        <v>4.0517000000000003</v>
      </c>
      <c r="G7" s="250">
        <v>4.0517000000000003</v>
      </c>
      <c r="H7" s="31"/>
      <c r="I7" s="30"/>
      <c r="J7" s="250">
        <v>4.0567000000000002</v>
      </c>
      <c r="K7" s="250">
        <v>4.0567000000000002</v>
      </c>
      <c r="L7" s="250">
        <v>4.0567000000000002</v>
      </c>
      <c r="M7" s="178">
        <f>L7-G7</f>
        <v>4.9999999999998934E-3</v>
      </c>
      <c r="N7" s="32"/>
      <c r="O7" s="223" t="str">
        <f>Paėmimas!S19</f>
        <v>2 linija, 2 filtras</v>
      </c>
    </row>
    <row r="8" spans="1:16" ht="15" customHeight="1" x14ac:dyDescent="0.25">
      <c r="A8" s="34"/>
      <c r="B8" s="293"/>
      <c r="C8" s="33"/>
      <c r="D8" s="89"/>
      <c r="E8" s="176"/>
      <c r="F8" s="176"/>
      <c r="G8" s="176"/>
      <c r="H8" s="90"/>
      <c r="I8" s="89"/>
      <c r="J8" s="176"/>
      <c r="K8" s="176"/>
      <c r="L8" s="176"/>
      <c r="M8" s="259">
        <f>L8-G8</f>
        <v>0</v>
      </c>
      <c r="N8" s="90"/>
      <c r="O8" s="224"/>
    </row>
    <row r="9" spans="1:16" ht="17" x14ac:dyDescent="0.45">
      <c r="A9" s="34"/>
      <c r="B9" s="293"/>
      <c r="C9" s="33">
        <v>3</v>
      </c>
      <c r="D9" s="89"/>
      <c r="E9" s="251">
        <v>3.7018</v>
      </c>
      <c r="F9" s="251">
        <v>3.7018</v>
      </c>
      <c r="G9" s="251">
        <v>3.7018</v>
      </c>
      <c r="H9" s="90"/>
      <c r="I9" s="89"/>
      <c r="J9" s="251">
        <v>3.7019000000000002</v>
      </c>
      <c r="K9" s="251">
        <v>3.7019000000000002</v>
      </c>
      <c r="L9" s="251">
        <v>3.7019000000000002</v>
      </c>
      <c r="M9" s="178">
        <f>L9-G9</f>
        <v>1.0000000000021103E-4</v>
      </c>
      <c r="N9" s="90"/>
      <c r="O9" s="35" t="s">
        <v>91</v>
      </c>
      <c r="P9" s="97"/>
    </row>
    <row r="10" spans="1:16" x14ac:dyDescent="0.3">
      <c r="A10" s="34"/>
      <c r="B10" s="293"/>
      <c r="C10" s="33"/>
      <c r="D10" s="89"/>
      <c r="E10" s="176"/>
      <c r="F10" s="176"/>
      <c r="G10" s="177"/>
      <c r="H10" s="90"/>
      <c r="I10" s="89"/>
      <c r="J10" s="179"/>
      <c r="K10" s="176"/>
      <c r="L10" s="177"/>
      <c r="M10" s="259"/>
      <c r="N10" s="90"/>
      <c r="O10" s="117"/>
    </row>
    <row r="11" spans="1:16" ht="17" x14ac:dyDescent="0.45">
      <c r="A11" s="34"/>
      <c r="B11" s="293"/>
      <c r="C11" s="33">
        <v>41</v>
      </c>
      <c r="D11" s="89"/>
      <c r="E11" s="251">
        <v>56.4998</v>
      </c>
      <c r="F11" s="251">
        <v>56.4998</v>
      </c>
      <c r="G11" s="252">
        <v>56.4998</v>
      </c>
      <c r="H11" s="90"/>
      <c r="I11" s="89"/>
      <c r="J11" s="256">
        <v>56.499899999999997</v>
      </c>
      <c r="K11" s="251">
        <v>56.499899999999997</v>
      </c>
      <c r="L11" s="252">
        <v>56.499899999999997</v>
      </c>
      <c r="M11" s="178">
        <f>L11-G11</f>
        <v>9.9999999996214228E-5</v>
      </c>
      <c r="N11" s="90"/>
      <c r="O11" s="94" t="s">
        <v>92</v>
      </c>
    </row>
    <row r="12" spans="1:16" ht="30.75" customHeight="1" x14ac:dyDescent="0.45">
      <c r="A12" s="34"/>
      <c r="B12" s="293"/>
      <c r="C12" s="112" t="s">
        <v>45</v>
      </c>
      <c r="D12" s="89"/>
      <c r="E12" s="253">
        <v>49.838799999999999</v>
      </c>
      <c r="F12" s="253">
        <v>49.838799999999999</v>
      </c>
      <c r="G12" s="254">
        <v>49.838799999999999</v>
      </c>
      <c r="H12" s="90"/>
      <c r="I12" s="89"/>
      <c r="J12" s="257">
        <v>49.838799999999999</v>
      </c>
      <c r="K12" s="253">
        <v>49.838799999999999</v>
      </c>
      <c r="L12" s="254">
        <v>49.838799999999999</v>
      </c>
      <c r="M12" s="178">
        <f t="shared" ref="M12:M15" si="0">L12-G12</f>
        <v>0</v>
      </c>
      <c r="N12" s="90"/>
      <c r="O12" s="118" t="s">
        <v>93</v>
      </c>
    </row>
    <row r="13" spans="1:16" ht="17" x14ac:dyDescent="0.45">
      <c r="A13" s="34"/>
      <c r="B13" s="293"/>
      <c r="C13" s="113" t="s">
        <v>46</v>
      </c>
      <c r="D13" s="89"/>
      <c r="E13" s="251">
        <v>54.789299999999997</v>
      </c>
      <c r="F13" s="251">
        <v>54.789299999999997</v>
      </c>
      <c r="G13" s="251">
        <v>54.789299999999997</v>
      </c>
      <c r="H13" s="90"/>
      <c r="I13" s="89"/>
      <c r="J13" s="251">
        <v>54.789400000000001</v>
      </c>
      <c r="K13" s="251">
        <v>54.789400000000001</v>
      </c>
      <c r="L13" s="251">
        <v>54.789400000000001</v>
      </c>
      <c r="M13" s="178">
        <f t="shared" si="0"/>
        <v>1.0000000000331966E-4</v>
      </c>
      <c r="N13" s="90"/>
      <c r="O13" s="119" t="s">
        <v>94</v>
      </c>
    </row>
    <row r="14" spans="1:16" ht="17" x14ac:dyDescent="0.45">
      <c r="A14" s="34"/>
      <c r="B14" s="293"/>
      <c r="C14" s="113" t="s">
        <v>47</v>
      </c>
      <c r="D14" s="89"/>
      <c r="E14" s="251">
        <v>57.3979</v>
      </c>
      <c r="F14" s="251">
        <v>57.3979</v>
      </c>
      <c r="G14" s="251">
        <v>57.3979</v>
      </c>
      <c r="H14" s="90"/>
      <c r="I14" s="89"/>
      <c r="J14" s="251">
        <v>57.397799999999997</v>
      </c>
      <c r="K14" s="251">
        <v>57.397799999999997</v>
      </c>
      <c r="L14" s="251">
        <v>57.397799999999997</v>
      </c>
      <c r="M14" s="178">
        <f t="shared" si="0"/>
        <v>-1.0000000000331966E-4</v>
      </c>
      <c r="N14" s="90"/>
      <c r="O14" s="120" t="s">
        <v>95</v>
      </c>
    </row>
    <row r="15" spans="1:16" ht="17" x14ac:dyDescent="0.45">
      <c r="A15" s="34"/>
      <c r="B15" s="293"/>
      <c r="C15" s="114" t="s">
        <v>48</v>
      </c>
      <c r="D15" s="89"/>
      <c r="E15" s="250">
        <v>53.927900000000001</v>
      </c>
      <c r="F15" s="250">
        <v>53.927900000000001</v>
      </c>
      <c r="G15" s="255">
        <v>53.927900000000001</v>
      </c>
      <c r="H15" s="90"/>
      <c r="I15" s="89"/>
      <c r="J15" s="258">
        <v>53.927900000000001</v>
      </c>
      <c r="K15" s="250">
        <v>53.927900000000001</v>
      </c>
      <c r="L15" s="255">
        <v>53.927900000000001</v>
      </c>
      <c r="M15" s="178">
        <f t="shared" si="0"/>
        <v>0</v>
      </c>
      <c r="N15" s="90"/>
      <c r="O15" s="120" t="s">
        <v>96</v>
      </c>
    </row>
    <row r="16" spans="1:16" ht="32.25" customHeight="1" x14ac:dyDescent="0.45">
      <c r="A16" s="22"/>
      <c r="B16" s="294"/>
      <c r="C16" s="33"/>
      <c r="D16" s="92"/>
      <c r="E16" s="21"/>
      <c r="F16" s="21"/>
      <c r="G16" s="33"/>
      <c r="H16" s="93"/>
      <c r="I16" s="92"/>
      <c r="J16" s="179"/>
      <c r="K16" s="180"/>
      <c r="L16" s="177"/>
      <c r="M16" s="178">
        <f>AVERAGE(M13:M15)+M12</f>
        <v>0</v>
      </c>
      <c r="N16" s="93"/>
      <c r="O16" s="121" t="s">
        <v>97</v>
      </c>
    </row>
    <row r="17" spans="11:11" x14ac:dyDescent="0.25">
      <c r="K17" s="96"/>
    </row>
    <row r="18" spans="11:11" x14ac:dyDescent="0.25">
      <c r="K18" s="96"/>
    </row>
  </sheetData>
  <sheetProtection algorithmName="SHA-512" hashValue="WnQNHsM7ArUDBYispT9oYR2lzpRq1JiI8mzLuUdWXzZWzwNMbHjDHu0OdLUTrB85VlMGe8IlEZp8qA+LpZROVw==" saltValue="PZDR2vTLZJuUhRb+STTKKA=="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J4:L4"/>
    <mergeCell ref="C1:F1"/>
    <mergeCell ref="A2:O2"/>
    <mergeCell ref="N4:N5"/>
    <mergeCell ref="A4:A5"/>
    <mergeCell ref="B4:B5"/>
    <mergeCell ref="O4:O5"/>
    <mergeCell ref="I4:I5"/>
    <mergeCell ref="M4:M5"/>
    <mergeCell ref="B6:B16"/>
    <mergeCell ref="C4:C5"/>
    <mergeCell ref="D4:D5"/>
    <mergeCell ref="E4:G4"/>
    <mergeCell ref="H4:H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0327-CFDD-498C-87C1-8E379F217A35}">
  <dimension ref="A3:D10"/>
  <sheetViews>
    <sheetView workbookViewId="0">
      <selection activeCell="C10" sqref="C10"/>
    </sheetView>
  </sheetViews>
  <sheetFormatPr defaultColWidth="9.1796875" defaultRowHeight="15.5" x14ac:dyDescent="0.25"/>
  <cols>
    <col min="1" max="1" width="14.7265625" style="104" customWidth="1"/>
    <col min="2" max="2" width="15.26953125" style="104" customWidth="1"/>
    <col min="3" max="3" width="13.453125" style="104" customWidth="1"/>
    <col min="4" max="4" width="21.26953125" style="104" customWidth="1"/>
    <col min="5" max="16384" width="9.1796875" style="104"/>
  </cols>
  <sheetData>
    <row r="3" spans="1:4" ht="32.25" customHeight="1" x14ac:dyDescent="0.25">
      <c r="A3" s="306" t="s">
        <v>41</v>
      </c>
      <c r="B3" s="306"/>
      <c r="C3" s="306"/>
      <c r="D3" s="306"/>
    </row>
    <row r="5" spans="1:4" ht="72.75" customHeight="1" x14ac:dyDescent="0.25">
      <c r="A5" s="105" t="s">
        <v>89</v>
      </c>
      <c r="B5" s="106" t="s">
        <v>42</v>
      </c>
      <c r="C5" s="106" t="s">
        <v>43</v>
      </c>
      <c r="D5" s="106" t="s">
        <v>44</v>
      </c>
    </row>
    <row r="6" spans="1:4" ht="20.25" customHeight="1" x14ac:dyDescent="0.25">
      <c r="A6" s="107">
        <f>(B6*C6*D6)/1000000</f>
        <v>1.944</v>
      </c>
      <c r="B6" s="108">
        <v>30</v>
      </c>
      <c r="C6" s="109">
        <v>5400</v>
      </c>
      <c r="D6" s="110">
        <v>12</v>
      </c>
    </row>
    <row r="10" spans="1:4" x14ac:dyDescent="0.25">
      <c r="C10" s="111"/>
    </row>
  </sheetData>
  <sheetProtection algorithmName="SHA-512" hashValue="4Z2E9szuFTaWWNWRU2u3opMvo03L8tMnQa/8G5MF/+ApnJN4lYB9X8CrY3qVeXgxYUwLgw4E3G31zN/33BdPHA==" saltValue="TYKCYs0aKODv8WsM9uknlw=="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Props1.xml><?xml version="1.0" encoding="utf-8"?>
<ds:datastoreItem xmlns:ds="http://schemas.openxmlformats.org/officeDocument/2006/customXml" ds:itemID="{0108C608-980F-44FC-9F17-65C384873D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e7e53-5eb2-45cf-b2ab-34c867e554b8"/>
    <ds:schemaRef ds:uri="aa0d983d-359a-438c-9953-3af1a8ac0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5DD0A7-BC00-4D8E-8AD3-26E2A9FDEA54}">
  <ds:schemaRefs>
    <ds:schemaRef ds:uri="http://schemas.microsoft.com/sharepoint/v3/contenttype/forms"/>
  </ds:schemaRefs>
</ds:datastoreItem>
</file>

<file path=customXml/itemProps3.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9</vt:i4>
      </vt:variant>
      <vt:variant>
        <vt:lpstr>Įvardytieji diapazonai</vt:lpstr>
      </vt:variant>
      <vt:variant>
        <vt:i4>8</vt:i4>
      </vt:variant>
    </vt:vector>
  </HeadingPairs>
  <TitlesOfParts>
    <vt:vector size="17" baseType="lpstr">
      <vt:lpstr>Compatibility Report</vt:lpstr>
      <vt:lpstr>Greitis</vt:lpstr>
      <vt:lpstr>H2O</vt:lpstr>
      <vt:lpstr>Paėmimas</vt:lpstr>
      <vt:lpstr>Lapas1</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Tomas Vilkickas</cp:lastModifiedBy>
  <cp:lastPrinted>2025-03-10T12:38:23Z</cp:lastPrinted>
  <dcterms:created xsi:type="dcterms:W3CDTF">2010-09-30T07:40:58Z</dcterms:created>
  <dcterms:modified xsi:type="dcterms:W3CDTF">2026-03-27T09:43:38Z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