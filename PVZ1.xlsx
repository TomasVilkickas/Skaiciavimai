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57" documentId="8_{6218F508-2438-4EC7-8B4D-5D6F3C7CDB90}" xr6:coauthVersionLast="47" xr6:coauthVersionMax="47" xr10:uidLastSave="{4B072962-9058-499D-B606-048057C949EB}"/>
  <bookViews>
    <workbookView xWindow="-110" yWindow="-110" windowWidth="19420" windowHeight="10300" tabRatio="821" firstSheet="1" activeTab="2" xr2:uid="{B097D0E3-85A4-46F7-964F-ABE00A6941B9}"/>
  </bookViews>
  <sheets>
    <sheet name="Compatibility Report" sheetId="4" state="hidden" r:id="rId1"/>
    <sheet name="Greitis" sheetId="22" r:id="rId2"/>
    <sheet name="H2O" sheetId="20" r:id="rId3"/>
    <sheet name="Paėmimas" sheetId="11" r:id="rId4"/>
    <sheet name="Lapas1" sheetId="23" r:id="rId5"/>
    <sheet name="Aerodinamika" sheetId="1" r:id="rId6"/>
    <sheet name="Koncentracija " sheetId="2" r:id="rId7"/>
    <sheet name="Svėrimas" sheetId="12" r:id="rId8"/>
    <sheet name="Koncentracijos ribinės vertės" sheetId="21" r:id="rId9"/>
  </sheets>
  <definedNames>
    <definedName name="_xlnm._FilterDatabase" localSheetId="7" hidden="1">Svėrimas!$C$4:$O$6</definedName>
    <definedName name="_xlnm.Print_Area" localSheetId="5">Aerodinamika!$C$1:$M$5</definedName>
    <definedName name="_xlnm.Print_Area" localSheetId="6">'Koncentracija '!$C$1:$N$5</definedName>
    <definedName name="_xlnm.Print_Area" localSheetId="3">Paėmimas!$A$1:$S$5</definedName>
    <definedName name="_xlnm.Print_Area" localSheetId="7">Svėrimas!$C$1:$O$11</definedName>
    <definedName name="_xlnm.Print_Titles" localSheetId="5">Aerodinamika!$1:$5</definedName>
    <definedName name="_xlnm.Print_Titles" localSheetId="6">'Koncentracija '!$2:$5</definedName>
    <definedName name="_xlnm.Print_Titles" localSheetId="3">Paėmimas!$1:$5</definedName>
    <definedName name="_xlnm.Print_Titles" localSheetId="7">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<sst xmlns="http://schemas.openxmlformats.org/spreadsheetml/2006/main" count="208" uniqueCount="151">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</sst>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0" fontId="12" fillId="0" borderId="11"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opLeftCell="A5" zoomScale="80" zoomScaleNormal="80" workbookViewId="0">
      <selection activeCell="H6" sqref="H6"/>
    </sheetView>
  </sheetViews>
  <sheetFormatPr defaultColWidth="9.1796875" defaultRowHeight="15.5" x14ac:dyDescent="0.25"/>
  <cols>
    <col min="1" max="1" width="11.26953125" style="131" customWidth="1"/>
    <col min="2" max="2" width="11.1796875" style="131" customWidth="1"/>
    <col min="3" max="3" width="12.54296875" style="131" customWidth="1"/>
    <col min="4" max="4" width="10.26953125" style="131" customWidth="1"/>
    <col min="5" max="5" width="11.1796875" style="131" customWidth="1"/>
    <col min="6" max="6" width="11.26953125" style="131" customWidth="1"/>
    <col min="7" max="7" width="10.54296875" style="131" customWidth="1"/>
    <col min="8" max="12" width="9.1796875" style="131"/>
    <col min="13" max="13" width="11.1796875" style="131" customWidth="1"/>
    <col min="14" max="14" width="11.453125" style="131" customWidth="1"/>
    <col min="15" max="15" width="9.1796875" style="131"/>
    <col min="16" max="16" width="10.54296875" style="131" customWidth="1"/>
    <col min="17" max="17" width="9.54296875" style="131" bestFit="1" customWidth="1"/>
    <col min="18" max="18" width="9.1796875" style="131"/>
    <col min="19" max="19" width="11.26953125" style="131" customWidth="1"/>
    <col min="20" max="20" width="11.7265625" style="131" customWidth="1"/>
    <col min="21" max="21" width="10" style="131" customWidth="1"/>
    <col min="22" max="22" width="11.7265625" style="131" customWidth="1"/>
    <col min="23" max="23" width="11.453125" style="131" customWidth="1"/>
    <col min="24" max="24" width="10.26953125" style="131" customWidth="1"/>
    <col min="25" max="25" width="9.54296875" style="131" customWidth="1"/>
    <col min="26" max="26" width="9.81640625" style="131" customWidth="1"/>
    <col min="27" max="16384" width="9.1796875" style="131"/>
  </cols>
  <sheetData>
    <row r="3" spans="1:28" x14ac:dyDescent="0.25">
      <c r="D3" s="267" t="s">
        <v>109</v>
      </c>
      <c r="E3" s="267"/>
      <c r="F3" s="267"/>
      <c r="G3" s="267"/>
      <c r="H3" s="267"/>
      <c r="I3" s="267"/>
      <c r="J3" s="267"/>
      <c r="K3" s="267"/>
      <c r="L3" s="267"/>
      <c r="M3" s="267"/>
      <c r="N3" s="267"/>
      <c r="O3" s="267"/>
      <c r="P3" s="267"/>
      <c r="Q3" s="267"/>
      <c r="R3" s="267"/>
      <c r="S3" s="267"/>
      <c r="T3" s="267"/>
      <c r="U3" s="267"/>
      <c r="V3" s="267"/>
      <c r="W3" s="267"/>
      <c r="X3" s="267"/>
      <c r="Y3" s="267"/>
      <c r="Z3" s="267"/>
    </row>
    <row r="5" spans="1:28" s="10" customFormat="1" ht="126" x14ac:dyDescent="0.25">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 thickBot="1" x14ac:dyDescent="0.3">
      <c r="A6" s="278" t="s">
        <v>148</v>
      </c>
      <c r="B6" s="268" t="s">
        <v>147</v>
      </c>
      <c r="C6" s="269"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70" t="s">
        <v>146</v>
      </c>
    </row>
    <row r="7" spans="1:28" x14ac:dyDescent="0.25">
      <c r="A7" s="279"/>
      <c r="B7" s="268"/>
      <c r="C7" s="269"/>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71"/>
    </row>
    <row r="8" spans="1:28" x14ac:dyDescent="0.25">
      <c r="A8" s="279"/>
      <c r="B8" s="268"/>
      <c r="C8" s="269"/>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5">
      <c r="A9" s="279"/>
      <c r="B9" s="268"/>
      <c r="C9" s="269"/>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5">
      <c r="A10" s="279"/>
      <c r="B10" s="268"/>
      <c r="C10" s="269"/>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5">
      <c r="A11" s="279"/>
      <c r="B11" s="268"/>
      <c r="C11" s="269"/>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5">
      <c r="A12" s="279"/>
      <c r="B12" s="268"/>
      <c r="C12" s="269"/>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5">
      <c r="A13" s="279"/>
      <c r="B13" s="268"/>
      <c r="C13" s="269"/>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5">
      <c r="A14" s="279"/>
      <c r="B14" s="268"/>
      <c r="C14" s="269"/>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5">
      <c r="A15" s="279"/>
      <c r="B15" s="134"/>
      <c r="C15" s="134"/>
      <c r="D15" s="134"/>
      <c r="E15" s="159"/>
      <c r="F15" s="136"/>
      <c r="G15" s="160"/>
      <c r="H15" s="134"/>
      <c r="I15" s="134"/>
      <c r="J15" s="134"/>
      <c r="K15" s="134"/>
      <c r="L15" s="134"/>
      <c r="M15" s="134"/>
      <c r="N15" s="137"/>
      <c r="O15" s="131" t="s">
        <v>131</v>
      </c>
      <c r="P15" s="131" t="s">
        <v>132</v>
      </c>
    </row>
    <row r="16" spans="1:28" x14ac:dyDescent="0.25">
      <c r="A16" s="279"/>
      <c r="B16" s="161"/>
      <c r="C16" s="161"/>
      <c r="D16" s="152" t="s">
        <v>133</v>
      </c>
      <c r="E16" s="272" t="s">
        <v>134</v>
      </c>
      <c r="F16" s="273"/>
      <c r="G16" s="273"/>
      <c r="H16" s="273"/>
      <c r="I16" s="273"/>
      <c r="J16" s="273"/>
      <c r="K16" s="273"/>
      <c r="L16" s="273"/>
      <c r="M16" s="273"/>
      <c r="N16" s="274"/>
    </row>
    <row r="17" spans="1:28" x14ac:dyDescent="0.25">
      <c r="A17" s="279"/>
      <c r="B17" s="134"/>
      <c r="C17" s="134"/>
      <c r="E17" s="162"/>
      <c r="F17" s="162"/>
      <c r="G17" s="163"/>
      <c r="N17" s="164"/>
    </row>
    <row r="18" spans="1:28" x14ac:dyDescent="0.25">
      <c r="A18" s="279"/>
      <c r="B18" s="134"/>
      <c r="C18" s="134"/>
      <c r="E18" s="162"/>
      <c r="F18" s="162"/>
      <c r="G18" s="163"/>
      <c r="N18" s="164"/>
      <c r="P18" s="131" t="s">
        <v>135</v>
      </c>
    </row>
    <row r="19" spans="1:28" x14ac:dyDescent="0.25">
      <c r="A19" s="279"/>
      <c r="B19" s="134"/>
      <c r="C19" s="134"/>
      <c r="E19" s="38"/>
      <c r="F19" s="38"/>
      <c r="N19" s="164"/>
    </row>
    <row r="20" spans="1:28" x14ac:dyDescent="0.25">
      <c r="A20" s="279"/>
      <c r="B20" s="161"/>
      <c r="C20" s="161"/>
      <c r="D20" s="281" t="s">
        <v>136</v>
      </c>
      <c r="E20" s="267"/>
      <c r="F20" s="267"/>
      <c r="G20" s="267"/>
      <c r="H20" s="267"/>
      <c r="I20" s="267"/>
      <c r="J20" s="267"/>
      <c r="K20" s="267"/>
      <c r="L20" s="267"/>
      <c r="M20" s="267"/>
      <c r="N20" s="267"/>
      <c r="O20" s="267"/>
      <c r="P20" s="267"/>
      <c r="Q20" s="267"/>
      <c r="R20" s="267"/>
      <c r="S20" s="267"/>
      <c r="T20" s="267"/>
      <c r="U20" s="267"/>
      <c r="V20" s="267"/>
      <c r="W20" s="267"/>
      <c r="X20" s="267"/>
      <c r="Y20" s="267"/>
      <c r="Z20" s="267"/>
    </row>
    <row r="21" spans="1:28" x14ac:dyDescent="0.25">
      <c r="A21" s="279"/>
      <c r="B21" s="134"/>
      <c r="C21" s="134"/>
      <c r="D21" s="165"/>
      <c r="E21" s="166"/>
      <c r="F21" s="166"/>
      <c r="G21" s="165"/>
      <c r="H21" s="165"/>
      <c r="I21" s="165"/>
      <c r="J21" s="165"/>
      <c r="K21" s="165"/>
      <c r="L21" s="165"/>
      <c r="M21" s="165"/>
      <c r="N21" s="167"/>
      <c r="O21" s="165"/>
    </row>
    <row r="22" spans="1:28" s="10" customFormat="1" ht="126" x14ac:dyDescent="0.25">
      <c r="A22" s="280"/>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 thickBot="1" x14ac:dyDescent="0.3">
      <c r="A23" s="275"/>
      <c r="B23" s="275"/>
      <c r="C23" s="275"/>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70"/>
    </row>
    <row r="24" spans="1:28" x14ac:dyDescent="0.25">
      <c r="A24" s="276"/>
      <c r="B24" s="276"/>
      <c r="C24" s="276"/>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71"/>
    </row>
    <row r="25" spans="1:28" x14ac:dyDescent="0.25">
      <c r="A25" s="276"/>
      <c r="B25" s="276"/>
      <c r="C25" s="276"/>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5">
      <c r="A26" s="276"/>
      <c r="B26" s="276"/>
      <c r="C26" s="276"/>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5">
      <c r="A27" s="276"/>
      <c r="B27" s="276"/>
      <c r="C27" s="276"/>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5">
      <c r="A28" s="276"/>
      <c r="B28" s="276"/>
      <c r="C28" s="276"/>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5">
      <c r="A29" s="276"/>
      <c r="B29" s="276"/>
      <c r="C29" s="276"/>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5">
      <c r="A30" s="276"/>
      <c r="B30" s="276"/>
      <c r="C30" s="276"/>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5">
      <c r="A31" s="277"/>
      <c r="B31" s="277"/>
      <c r="C31" s="277"/>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A23:A31"/>
    <mergeCell ref="B23:B31"/>
    <mergeCell ref="C23:C31"/>
    <mergeCell ref="A6:A22"/>
    <mergeCell ref="AB23:AB24"/>
    <mergeCell ref="D20:Z20"/>
    <mergeCell ref="D3:Z3"/>
    <mergeCell ref="B6:B14"/>
    <mergeCell ref="C6:C14"/>
    <mergeCell ref="AB6:AB7"/>
    <mergeCell ref="E16:N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tabSelected="1" zoomScale="90" zoomScaleNormal="90" workbookViewId="0">
      <selection activeCell="O7" sqref="O7"/>
    </sheetView>
  </sheetViews>
  <sheetFormatPr defaultColWidth="9.1796875" defaultRowHeight="13" x14ac:dyDescent="0.3"/>
  <cols>
    <col min="1" max="1" width="12.453125" style="39" customWidth="1"/>
    <col min="2" max="2" width="8.4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10.5429687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23.25" customHeight="1" x14ac:dyDescent="0.3">
      <c r="A3" s="282" t="s">
        <v>108</v>
      </c>
      <c r="B3" s="282"/>
      <c r="C3" s="282"/>
      <c r="D3" s="282"/>
      <c r="E3" s="282"/>
      <c r="F3" s="282"/>
      <c r="G3" s="282"/>
      <c r="H3" s="282"/>
      <c r="I3" s="282"/>
      <c r="J3" s="282"/>
    </row>
    <row r="4" spans="1:12" ht="14" x14ac:dyDescent="0.3">
      <c r="A4" s="10"/>
      <c r="B4" s="10"/>
      <c r="C4" s="10"/>
      <c r="D4" s="10"/>
      <c r="E4" s="10"/>
      <c r="F4" s="10"/>
      <c r="G4" s="10"/>
      <c r="H4" s="10"/>
      <c r="I4" s="10"/>
    </row>
    <row r="5" spans="1:12" ht="84" x14ac:dyDescent="0.3">
      <c r="A5" s="9"/>
      <c r="B5" s="9" t="s">
        <v>37</v>
      </c>
      <c r="C5" s="9" t="s">
        <v>23</v>
      </c>
      <c r="D5" s="9" t="s">
        <v>24</v>
      </c>
      <c r="E5" s="9" t="s">
        <v>22</v>
      </c>
      <c r="F5" s="9" t="s">
        <v>38</v>
      </c>
      <c r="G5" s="9" t="s">
        <v>39</v>
      </c>
      <c r="H5" s="9" t="s">
        <v>27</v>
      </c>
      <c r="I5" s="9" t="s">
        <v>26</v>
      </c>
      <c r="J5" s="45" t="s">
        <v>69</v>
      </c>
      <c r="K5" s="45" t="s">
        <v>105</v>
      </c>
      <c r="L5" s="45" t="s">
        <v>6</v>
      </c>
    </row>
    <row r="6" spans="1:12" ht="17.25" customHeight="1" x14ac:dyDescent="0.3">
      <c r="A6" s="41"/>
      <c r="B6" s="9"/>
      <c r="C6" s="9"/>
      <c r="D6" s="9"/>
      <c r="E6" s="9"/>
      <c r="F6" s="9"/>
      <c r="G6" s="9"/>
      <c r="H6" s="9"/>
      <c r="I6" s="9"/>
      <c r="J6" s="53"/>
      <c r="K6" s="46"/>
      <c r="L6" s="46"/>
    </row>
    <row r="7" spans="1:12" ht="33" customHeight="1" x14ac:dyDescent="0.3">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 x14ac:dyDescent="0.3">
      <c r="A8" s="13"/>
      <c r="B8" s="81"/>
      <c r="C8" s="82"/>
      <c r="D8" s="13"/>
      <c r="E8" s="13"/>
      <c r="F8" s="42"/>
      <c r="G8" s="83"/>
      <c r="H8" s="84"/>
      <c r="I8" s="47"/>
      <c r="J8" s="53"/>
      <c r="K8" s="46"/>
      <c r="L8" s="46"/>
    </row>
    <row r="9" spans="1:12" ht="15" x14ac:dyDescent="0.3">
      <c r="A9" s="13"/>
      <c r="B9" s="81"/>
      <c r="C9" s="82"/>
      <c r="D9" s="13"/>
      <c r="E9" s="13"/>
      <c r="F9" s="42"/>
      <c r="G9" s="83"/>
      <c r="H9" s="84"/>
      <c r="I9" s="47"/>
      <c r="J9" s="53"/>
      <c r="K9" s="46"/>
      <c r="L9" s="46"/>
    </row>
    <row r="10" spans="1:12" ht="42.75" customHeight="1" x14ac:dyDescent="0.3">
      <c r="A10" s="86"/>
      <c r="B10" s="81"/>
      <c r="C10" s="13"/>
      <c r="D10" s="13"/>
      <c r="E10" s="13"/>
      <c r="F10" s="42"/>
      <c r="G10" s="85"/>
      <c r="H10" s="87"/>
      <c r="I10" s="88"/>
      <c r="J10" s="53"/>
      <c r="K10" s="46"/>
      <c r="L10" s="46"/>
    </row>
    <row r="11" spans="1:12" ht="12.75" customHeight="1" x14ac:dyDescent="0.3">
      <c r="H11" s="283" t="s">
        <v>30</v>
      </c>
      <c r="I11" s="286" t="s">
        <v>31</v>
      </c>
    </row>
    <row r="12" spans="1:12" ht="12.75" customHeight="1" x14ac:dyDescent="0.3">
      <c r="H12" s="284"/>
      <c r="I12" s="287"/>
    </row>
    <row r="13" spans="1:12" ht="12.75" customHeight="1" x14ac:dyDescent="0.3">
      <c r="H13" s="284"/>
      <c r="I13" s="287"/>
    </row>
    <row r="14" spans="1:12" x14ac:dyDescent="0.3">
      <c r="H14" s="284"/>
      <c r="I14" s="287"/>
    </row>
    <row r="15" spans="1:12" x14ac:dyDescent="0.3">
      <c r="H15" s="284"/>
      <c r="I15" s="287"/>
    </row>
    <row r="16" spans="1:12" x14ac:dyDescent="0.3">
      <c r="H16" s="284"/>
      <c r="I16" s="287"/>
    </row>
    <row r="17" spans="8:9" x14ac:dyDescent="0.3">
      <c r="H17" s="284"/>
      <c r="I17" s="287"/>
    </row>
    <row r="18" spans="8:9" x14ac:dyDescent="0.3">
      <c r="H18" s="285"/>
      <c r="I18" s="287"/>
    </row>
    <row r="19" spans="8:9" ht="12.75" customHeight="1" x14ac:dyDescent="0.3">
      <c r="I19" s="287"/>
    </row>
    <row r="20" spans="8:9" ht="12.75" customHeight="1" x14ac:dyDescent="0.3">
      <c r="I20" s="28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zoomScale="60" zoomScaleNormal="60" workbookViewId="0">
      <pane ySplit="5" topLeftCell="A16" activePane="bottomLeft" state="frozen"/>
      <selection pane="bottomLeft" activeCell="L15" sqref="L15"/>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65" t="s">
        <v>18</v>
      </c>
      <c r="D1" s="265"/>
      <c r="E1" s="15"/>
      <c r="S1" s="16"/>
    </row>
    <row r="2" spans="1:25" ht="19.5" customHeight="1" x14ac:dyDescent="0.3">
      <c r="A2" s="266" t="s">
        <v>100</v>
      </c>
      <c r="B2" s="266"/>
      <c r="C2" s="266"/>
      <c r="D2" s="266"/>
      <c r="E2" s="266"/>
      <c r="F2" s="266"/>
      <c r="G2" s="266"/>
      <c r="H2" s="266"/>
      <c r="I2" s="266"/>
      <c r="J2" s="266"/>
      <c r="K2" s="266"/>
      <c r="L2" s="266"/>
      <c r="M2" s="266"/>
      <c r="N2" s="266"/>
      <c r="O2" s="266"/>
      <c r="P2" s="266"/>
      <c r="Q2" s="266"/>
      <c r="R2" s="266"/>
      <c r="S2" s="266"/>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5" x14ac:dyDescent="0.3">
      <c r="A6" s="184" t="str">
        <f>Greitis!A6</f>
        <v>XXXX-XX-XX</v>
      </c>
      <c r="B6" s="50" t="s">
        <v>146</v>
      </c>
      <c r="C6" s="261"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3">
      <c r="A7" s="37"/>
      <c r="B7" s="34"/>
      <c r="C7" s="262"/>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3">
      <c r="A8" s="37"/>
      <c r="B8" s="34"/>
      <c r="C8" s="262"/>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3">
      <c r="A9" s="49"/>
      <c r="B9" s="49"/>
      <c r="C9" s="262"/>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3">
      <c r="A10" s="49"/>
      <c r="B10" s="49"/>
      <c r="C10" s="262"/>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264" t="s">
        <v>32</v>
      </c>
      <c r="U10" s="264" t="s">
        <v>33</v>
      </c>
      <c r="V10" s="260" t="s">
        <v>40</v>
      </c>
      <c r="X10" s="240">
        <f>Greitis!E10</f>
        <v>0.14000000000000001</v>
      </c>
      <c r="Y10" s="187">
        <f>Aerodinamika!K10</f>
        <v>1.0353315592396999</v>
      </c>
    </row>
    <row r="11" spans="1:25" x14ac:dyDescent="0.3">
      <c r="A11" s="49"/>
      <c r="B11" s="49"/>
      <c r="C11" s="262"/>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264"/>
      <c r="U11" s="264"/>
      <c r="V11" s="260"/>
      <c r="X11" s="240">
        <f>Greitis!E11</f>
        <v>0.14000000000000001</v>
      </c>
      <c r="Y11" s="187">
        <f>Aerodinamika!K11</f>
        <v>1.0353315592396999</v>
      </c>
    </row>
    <row r="12" spans="1:25" ht="15" customHeight="1" x14ac:dyDescent="0.3">
      <c r="A12" s="49"/>
      <c r="B12" s="49"/>
      <c r="C12" s="262"/>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264"/>
      <c r="U12" s="264"/>
      <c r="V12" s="260"/>
      <c r="X12" s="240">
        <f>Greitis!E12</f>
        <v>0.14000000000000001</v>
      </c>
      <c r="Y12" s="187">
        <f>Aerodinamika!K12</f>
        <v>1.0353315592396999</v>
      </c>
    </row>
    <row r="13" spans="1:25" ht="15" customHeight="1" x14ac:dyDescent="0.3">
      <c r="A13" s="49"/>
      <c r="B13" s="49"/>
      <c r="C13" s="262"/>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3">
      <c r="A14" s="36"/>
      <c r="B14" s="36"/>
      <c r="C14" s="263"/>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3">
      <c r="L15" s="70">
        <f>SUM(L6:L14)</f>
        <v>0.44999999999999996</v>
      </c>
      <c r="M15" s="122">
        <f>SUM(M6:M14)</f>
        <v>45</v>
      </c>
      <c r="N15" s="123">
        <f>AVERAGE(N6:N14)</f>
        <v>10</v>
      </c>
    </row>
    <row r="16" spans="1:25" ht="30.75" customHeight="1" x14ac:dyDescent="0.3">
      <c r="L16" s="68" t="s">
        <v>29</v>
      </c>
      <c r="M16" s="45" t="s">
        <v>98</v>
      </c>
      <c r="N16" s="45" t="s">
        <v>137</v>
      </c>
    </row>
    <row r="17" spans="1:25" x14ac:dyDescent="0.3">
      <c r="A17" s="14" t="s">
        <v>14</v>
      </c>
    </row>
    <row r="19" spans="1:25" x14ac:dyDescent="0.3">
      <c r="A19" s="184" t="str">
        <f t="shared" ref="A19:I19" si="27">(A6)</f>
        <v>XXXX-XX-XX</v>
      </c>
      <c r="B19" s="188" t="str">
        <f t="shared" si="27"/>
        <v>XX</v>
      </c>
      <c r="C19" s="261"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3">
      <c r="A20" s="37"/>
      <c r="B20" s="34"/>
      <c r="C20" s="262"/>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3">
      <c r="A21" s="37"/>
      <c r="B21" s="34"/>
      <c r="C21" s="262"/>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3">
      <c r="A22" s="49"/>
      <c r="B22" s="49"/>
      <c r="C22" s="262"/>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3">
      <c r="A23" s="49"/>
      <c r="B23" s="49"/>
      <c r="C23" s="262"/>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3">
      <c r="A24" s="49"/>
      <c r="B24" s="49"/>
      <c r="C24" s="262"/>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3">
      <c r="A25" s="49"/>
      <c r="B25" s="49"/>
      <c r="C25" s="262"/>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3">
      <c r="A26" s="49"/>
      <c r="B26" s="49"/>
      <c r="C26" s="262"/>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3">
      <c r="A27" s="36"/>
      <c r="B27" s="36"/>
      <c r="C27" s="263"/>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3">
      <c r="L28" s="70">
        <f>SUM(L19:L27)</f>
        <v>0.44999999999999996</v>
      </c>
      <c r="M28" s="122">
        <f>SUM(M19:M27)</f>
        <v>45</v>
      </c>
      <c r="N28" s="123">
        <f>AVERAGE(N19:N27)</f>
        <v>10</v>
      </c>
    </row>
    <row r="29" spans="1:25" ht="28" x14ac:dyDescent="0.3">
      <c r="L29" s="68" t="s">
        <v>29</v>
      </c>
      <c r="M29" s="45" t="s">
        <v>98</v>
      </c>
      <c r="N29" s="45" t="s">
        <v>137</v>
      </c>
    </row>
    <row r="31" spans="1:25" ht="21.75" customHeight="1" x14ac:dyDescent="0.3">
      <c r="L31" s="67"/>
      <c r="M31" s="123">
        <f>(M15+M28)</f>
        <v>90</v>
      </c>
      <c r="N31" s="123">
        <f>(N15+N28)/2</f>
        <v>10</v>
      </c>
      <c r="O31" s="96"/>
      <c r="P31" s="96"/>
      <c r="Q31" s="96"/>
    </row>
    <row r="32" spans="1:25" ht="48.75" customHeight="1" x14ac:dyDescent="0.3">
      <c r="L32" s="67"/>
      <c r="M32" s="45" t="s">
        <v>99</v>
      </c>
      <c r="N32" s="45" t="s">
        <v>138</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49A2A-108B-47BC-97F0-92A82ACD9A26}">
  <dimension ref="A1"/>
  <sheetViews>
    <sheetView workbookViewId="0"/>
  </sheetViews>
  <sheetFormatPr defaultRowHeight="12.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60" zoomScaleNormal="60" workbookViewId="0">
      <pane ySplit="5" topLeftCell="A21" activePane="bottomLeft" state="frozen"/>
      <selection pane="bottomLeft" activeCell="G31" sqref="G31"/>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65" t="s">
        <v>19</v>
      </c>
      <c r="D1" s="265"/>
      <c r="Q1" s="16"/>
    </row>
    <row r="2" spans="1:17" ht="19.5" customHeight="1" x14ac:dyDescent="0.3">
      <c r="C2" s="289" t="s">
        <v>101</v>
      </c>
      <c r="D2" s="289"/>
      <c r="E2" s="289"/>
      <c r="F2" s="289"/>
      <c r="G2" s="289"/>
      <c r="H2" s="289"/>
      <c r="I2" s="289"/>
      <c r="J2" s="289"/>
      <c r="K2" s="289"/>
      <c r="L2" s="289"/>
      <c r="M2" s="289"/>
      <c r="Q2" s="16"/>
    </row>
    <row r="3" spans="1:17" ht="12" customHeight="1" x14ac:dyDescent="0.3">
      <c r="C3" s="24"/>
      <c r="H3" s="25"/>
      <c r="Q3" s="16"/>
    </row>
    <row r="4" spans="1:17" ht="8.25" customHeight="1" x14ac:dyDescent="0.3"/>
    <row r="5" spans="1:17" ht="126.75" customHeight="1" x14ac:dyDescent="0.3">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3">
      <c r="A6" s="191" t="str">
        <f>Paėmimas!A6</f>
        <v>XXXX-XX-XX</v>
      </c>
      <c r="B6" s="192" t="str">
        <f>Paėmimas!B6</f>
        <v>XX</v>
      </c>
      <c r="C6" s="261"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3">
      <c r="A7" s="59"/>
      <c r="B7" s="23"/>
      <c r="C7" s="262"/>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3">
      <c r="A8" s="59"/>
      <c r="B8" s="23"/>
      <c r="C8" s="262"/>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3">
      <c r="A9" s="59"/>
      <c r="B9" s="23"/>
      <c r="C9" s="262"/>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3">
      <c r="A10" s="59"/>
      <c r="B10" s="23"/>
      <c r="C10" s="262"/>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3">
      <c r="A11" s="59"/>
      <c r="B11" s="23"/>
      <c r="C11" s="262"/>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5">
      <c r="A12" s="59"/>
      <c r="B12" s="23"/>
      <c r="C12" s="262"/>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3">
      <c r="A13" s="59"/>
      <c r="B13" s="23"/>
      <c r="C13" s="262"/>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3">
      <c r="A14" s="61"/>
      <c r="B14" s="62"/>
      <c r="C14" s="263"/>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3">
      <c r="C15" s="78"/>
      <c r="D15" s="78"/>
      <c r="E15" s="78"/>
      <c r="F15" s="78"/>
      <c r="G15" s="74">
        <f>AVERAGE(G6:G14)</f>
        <v>1.2973599999999996</v>
      </c>
      <c r="H15" s="78"/>
      <c r="I15" s="124">
        <f>SUM(I6:I14)</f>
        <v>0.45034605286106649</v>
      </c>
      <c r="J15" s="78"/>
    </row>
    <row r="16" spans="1:17" ht="34.5" customHeight="1" x14ac:dyDescent="0.3">
      <c r="C16" s="79"/>
      <c r="D16" s="79"/>
      <c r="E16" s="79"/>
      <c r="F16" s="79"/>
      <c r="G16" s="45" t="s">
        <v>28</v>
      </c>
      <c r="H16" s="79"/>
      <c r="I16" s="45" t="s">
        <v>139</v>
      </c>
      <c r="J16" s="79"/>
    </row>
    <row r="17" spans="1:14" ht="15" customHeight="1" x14ac:dyDescent="0.3">
      <c r="C17" s="79"/>
      <c r="D17" s="79"/>
      <c r="E17" s="79"/>
      <c r="F17" s="79"/>
      <c r="G17" s="55"/>
      <c r="H17" s="79"/>
      <c r="I17" s="79"/>
      <c r="J17" s="79"/>
    </row>
    <row r="19" spans="1:14" x14ac:dyDescent="0.3">
      <c r="A19" s="191" t="str">
        <f>Paėmimas!A19</f>
        <v>XXXX-XX-XX</v>
      </c>
      <c r="B19" s="192" t="str">
        <f>Paėmimas!B19</f>
        <v>XX</v>
      </c>
      <c r="C19" s="261"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3">
      <c r="A20" s="59"/>
      <c r="B20" s="23"/>
      <c r="C20" s="262"/>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3">
      <c r="A21" s="59"/>
      <c r="B21" s="23"/>
      <c r="C21" s="262"/>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3">
      <c r="A22" s="59"/>
      <c r="B22" s="23"/>
      <c r="C22" s="262"/>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3">
      <c r="A23" s="59"/>
      <c r="B23" s="23"/>
      <c r="C23" s="262"/>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3">
      <c r="A24" s="59"/>
      <c r="B24" s="23"/>
      <c r="C24" s="262"/>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3">
      <c r="A25" s="59"/>
      <c r="B25" s="23"/>
      <c r="C25" s="262"/>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3">
      <c r="A26" s="59"/>
      <c r="B26" s="23"/>
      <c r="C26" s="262"/>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3">
      <c r="A27" s="61"/>
      <c r="B27" s="62"/>
      <c r="C27" s="263"/>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3">
      <c r="C28" s="78"/>
      <c r="D28" s="78"/>
      <c r="E28" s="78"/>
      <c r="F28" s="76">
        <f>SUM(F6+F19)</f>
        <v>0.77135053491884653</v>
      </c>
      <c r="G28" s="74">
        <f>AVERAGE(G19:G27)</f>
        <v>1.2973599999999996</v>
      </c>
      <c r="H28" s="78"/>
      <c r="I28" s="124">
        <f>SUM(I19:I27)</f>
        <v>0.45034605286106649</v>
      </c>
      <c r="J28" s="78"/>
      <c r="L28" s="77">
        <f>(L6+L19)/2</f>
        <v>1.0353315592396999</v>
      </c>
    </row>
    <row r="29" spans="1:14" ht="56" x14ac:dyDescent="0.3">
      <c r="C29" s="79"/>
      <c r="D29" s="79"/>
      <c r="E29" s="79"/>
      <c r="F29" s="45" t="s">
        <v>36</v>
      </c>
      <c r="G29" s="45" t="s">
        <v>28</v>
      </c>
      <c r="H29" s="79"/>
      <c r="I29" s="45" t="s">
        <v>139</v>
      </c>
      <c r="J29" s="79"/>
      <c r="L29" s="45" t="s">
        <v>35</v>
      </c>
    </row>
    <row r="30" spans="1:14" x14ac:dyDescent="0.3">
      <c r="C30" s="80"/>
      <c r="D30" s="80"/>
      <c r="E30" s="80"/>
      <c r="F30" s="80"/>
      <c r="G30" s="80"/>
      <c r="H30" s="80"/>
      <c r="I30" s="80"/>
      <c r="J30" s="80"/>
    </row>
    <row r="31" spans="1:14" x14ac:dyDescent="0.3">
      <c r="C31" s="80"/>
      <c r="D31" s="80"/>
      <c r="E31" s="80"/>
      <c r="F31" s="80"/>
      <c r="G31" s="74">
        <f>(G15+G28)/2</f>
        <v>1.2973599999999996</v>
      </c>
      <c r="H31" s="80"/>
      <c r="I31" s="124">
        <f>SUM(I15+I28)</f>
        <v>0.90069210572213299</v>
      </c>
      <c r="J31" s="80"/>
    </row>
    <row r="32" spans="1:14" ht="55.5" customHeight="1" x14ac:dyDescent="0.3">
      <c r="C32" s="80"/>
      <c r="D32" s="80"/>
      <c r="E32" s="80"/>
      <c r="F32" s="80"/>
      <c r="G32" s="45" t="s">
        <v>34</v>
      </c>
      <c r="H32" s="80"/>
      <c r="I32" s="45" t="s">
        <v>140</v>
      </c>
      <c r="J32" s="80"/>
    </row>
    <row r="33" spans="3:10" x14ac:dyDescent="0.3">
      <c r="C33" s="80"/>
      <c r="D33" s="80"/>
      <c r="E33" s="80"/>
      <c r="F33" s="80"/>
      <c r="G33" s="80"/>
      <c r="H33" s="80"/>
      <c r="I33" s="80"/>
      <c r="J33" s="80"/>
    </row>
    <row r="34" spans="3:10" x14ac:dyDescent="0.3">
      <c r="C34" s="80"/>
      <c r="D34" s="80"/>
      <c r="E34" s="80"/>
      <c r="F34" s="80"/>
      <c r="G34" s="80"/>
      <c r="H34" s="80"/>
      <c r="I34" s="80"/>
      <c r="J34" s="80"/>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topLeftCell="A5" zoomScale="110" zoomScaleNormal="110" workbookViewId="0">
      <selection activeCell="C12" sqref="C1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65" t="s">
        <v>20</v>
      </c>
      <c r="D1" s="265"/>
      <c r="R1" s="16"/>
    </row>
    <row r="2" spans="1:18" x14ac:dyDescent="0.3">
      <c r="A2" s="289" t="s">
        <v>102</v>
      </c>
      <c r="B2" s="289"/>
      <c r="C2" s="289"/>
      <c r="D2" s="289"/>
      <c r="E2" s="289"/>
      <c r="F2" s="289"/>
      <c r="G2" s="289"/>
      <c r="H2" s="289"/>
      <c r="I2" s="289"/>
      <c r="J2" s="289"/>
      <c r="K2" s="289"/>
      <c r="L2" s="289"/>
      <c r="M2" s="289"/>
      <c r="N2" s="289"/>
      <c r="O2" s="125"/>
    </row>
    <row r="3" spans="1:18" x14ac:dyDescent="0.3">
      <c r="F3" s="29"/>
      <c r="L3" s="16"/>
      <c r="M3" s="16"/>
    </row>
    <row r="4" spans="1:18" ht="12.75" customHeight="1" x14ac:dyDescent="0.3">
      <c r="L4" s="16"/>
      <c r="M4" s="16"/>
    </row>
    <row r="5" spans="1:18" ht="88.5" customHeight="1" x14ac:dyDescent="0.3">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3">
      <c r="A6" s="196" t="str">
        <f>Paėmimas!A6</f>
        <v>XXXX-XX-XX</v>
      </c>
      <c r="B6" s="197" t="str">
        <f>Svėrimas!A6</f>
        <v>XX</v>
      </c>
      <c r="C6" s="290"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3">
      <c r="A7" s="207"/>
      <c r="B7" s="208"/>
      <c r="C7" s="290"/>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3">
      <c r="A8" s="209"/>
      <c r="B8" s="210"/>
      <c r="C8" s="291"/>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60" zoomScaleNormal="60" workbookViewId="0">
      <pane ySplit="5" topLeftCell="A6" activePane="bottomLeft" state="frozen"/>
      <selection pane="bottomLeft" activeCell="F9" sqref="F9"/>
    </sheetView>
  </sheetViews>
  <sheetFormatPr defaultColWidth="9.1796875" defaultRowHeight="14" x14ac:dyDescent="0.25"/>
  <cols>
    <col min="1" max="1" width="13.7265625" style="95" customWidth="1"/>
    <col min="2" max="2" width="25.1796875" style="95" customWidth="1"/>
    <col min="3" max="3" width="7.453125" style="95" customWidth="1"/>
    <col min="4" max="4" width="12.81640625" style="95" customWidth="1"/>
    <col min="5" max="5" width="11.1796875" style="95" customWidth="1"/>
    <col min="6" max="6" width="10.81640625" style="95" customWidth="1"/>
    <col min="7" max="7" width="10.453125" style="95" customWidth="1"/>
    <col min="8" max="8" width="18" style="95" customWidth="1"/>
    <col min="9" max="9" width="11.26953125" style="95" customWidth="1"/>
    <col min="10" max="10" width="10.81640625" style="95" customWidth="1"/>
    <col min="11" max="11" width="11" style="95" customWidth="1"/>
    <col min="12" max="12" width="11.1796875" style="95" customWidth="1"/>
    <col min="13" max="13" width="20.26953125" style="95" customWidth="1"/>
    <col min="14" max="14" width="16.81640625" style="95" customWidth="1"/>
    <col min="15" max="15" width="31.26953125" style="95" customWidth="1"/>
    <col min="16" max="16384" width="9.1796875" style="95"/>
  </cols>
  <sheetData>
    <row r="1" spans="1:16" ht="26.25" customHeight="1" x14ac:dyDescent="0.25">
      <c r="C1" s="265" t="s">
        <v>21</v>
      </c>
      <c r="D1" s="265"/>
      <c r="E1" s="265"/>
      <c r="F1" s="265"/>
    </row>
    <row r="2" spans="1:16" ht="19.5" customHeight="1" x14ac:dyDescent="0.25">
      <c r="A2" s="289" t="s">
        <v>103</v>
      </c>
      <c r="B2" s="289"/>
      <c r="C2" s="289"/>
      <c r="D2" s="289"/>
      <c r="E2" s="289"/>
      <c r="F2" s="289"/>
      <c r="G2" s="289"/>
      <c r="H2" s="289"/>
      <c r="I2" s="289"/>
      <c r="J2" s="289"/>
      <c r="K2" s="289"/>
      <c r="L2" s="289"/>
      <c r="M2" s="289"/>
      <c r="N2" s="289"/>
      <c r="O2" s="289"/>
    </row>
    <row r="4" spans="1:16" ht="60" customHeight="1" x14ac:dyDescent="0.25">
      <c r="A4" s="293" t="s">
        <v>82</v>
      </c>
      <c r="B4" s="293" t="s">
        <v>9</v>
      </c>
      <c r="C4" s="304" t="s">
        <v>83</v>
      </c>
      <c r="D4" s="304" t="s">
        <v>84</v>
      </c>
      <c r="E4" s="304" t="s">
        <v>85</v>
      </c>
      <c r="F4" s="304"/>
      <c r="G4" s="304"/>
      <c r="H4" s="304" t="s">
        <v>15</v>
      </c>
      <c r="I4" s="297" t="s">
        <v>86</v>
      </c>
      <c r="J4" s="292" t="s">
        <v>87</v>
      </c>
      <c r="K4" s="292"/>
      <c r="L4" s="292"/>
      <c r="M4" s="299" t="s">
        <v>88</v>
      </c>
      <c r="N4" s="292" t="s">
        <v>15</v>
      </c>
      <c r="O4" s="295" t="s">
        <v>6</v>
      </c>
    </row>
    <row r="5" spans="1:16" ht="14.25" customHeight="1" x14ac:dyDescent="0.25">
      <c r="A5" s="294"/>
      <c r="B5" s="294"/>
      <c r="C5" s="305"/>
      <c r="D5" s="304"/>
      <c r="E5" s="116">
        <v>1</v>
      </c>
      <c r="F5" s="116">
        <v>2</v>
      </c>
      <c r="G5" s="116">
        <v>3</v>
      </c>
      <c r="H5" s="304"/>
      <c r="I5" s="298"/>
      <c r="J5" s="12">
        <v>1</v>
      </c>
      <c r="K5" s="12">
        <v>2</v>
      </c>
      <c r="L5" s="12">
        <v>3</v>
      </c>
      <c r="M5" s="300"/>
      <c r="N5" s="292"/>
      <c r="O5" s="296"/>
    </row>
    <row r="6" spans="1:16" ht="15" customHeight="1" x14ac:dyDescent="0.25">
      <c r="A6" s="220" t="str">
        <f>Paėmimas!B6</f>
        <v>XX</v>
      </c>
      <c r="B6" s="301"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5">
      <c r="A7" s="34"/>
      <c r="B7" s="302"/>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5">
      <c r="A8" s="34"/>
      <c r="B8" s="302"/>
      <c r="C8" s="33"/>
      <c r="D8" s="89"/>
      <c r="E8" s="176"/>
      <c r="F8" s="176"/>
      <c r="G8" s="176"/>
      <c r="H8" s="90"/>
      <c r="I8" s="89"/>
      <c r="J8" s="176"/>
      <c r="K8" s="176"/>
      <c r="L8" s="176"/>
      <c r="M8" s="259">
        <f>L8-G8</f>
        <v>0</v>
      </c>
      <c r="N8" s="90"/>
      <c r="O8" s="224"/>
    </row>
    <row r="9" spans="1:16" ht="17" x14ac:dyDescent="0.45">
      <c r="A9" s="34"/>
      <c r="B9" s="302"/>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3">
      <c r="A10" s="34"/>
      <c r="B10" s="302"/>
      <c r="C10" s="33"/>
      <c r="D10" s="89"/>
      <c r="E10" s="176"/>
      <c r="F10" s="176"/>
      <c r="G10" s="177"/>
      <c r="H10" s="90"/>
      <c r="I10" s="89"/>
      <c r="J10" s="179"/>
      <c r="K10" s="176"/>
      <c r="L10" s="177"/>
      <c r="M10" s="259"/>
      <c r="N10" s="90"/>
      <c r="O10" s="117"/>
    </row>
    <row r="11" spans="1:16" ht="17" x14ac:dyDescent="0.45">
      <c r="A11" s="34"/>
      <c r="B11" s="302"/>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45">
      <c r="A12" s="34"/>
      <c r="B12" s="302"/>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7" x14ac:dyDescent="0.45">
      <c r="A13" s="34"/>
      <c r="B13" s="302"/>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7" x14ac:dyDescent="0.45">
      <c r="A14" s="34"/>
      <c r="B14" s="302"/>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7" x14ac:dyDescent="0.45">
      <c r="A15" s="34"/>
      <c r="B15" s="302"/>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45">
      <c r="A16" s="22"/>
      <c r="B16" s="303"/>
      <c r="C16" s="33"/>
      <c r="D16" s="92"/>
      <c r="E16" s="21"/>
      <c r="F16" s="21"/>
      <c r="G16" s="33"/>
      <c r="H16" s="93"/>
      <c r="I16" s="92"/>
      <c r="J16" s="179"/>
      <c r="K16" s="180"/>
      <c r="L16" s="177"/>
      <c r="M16" s="178">
        <f>AVERAGE(M13:M15)+M12</f>
        <v>0</v>
      </c>
      <c r="N16" s="93"/>
      <c r="O16" s="121" t="s">
        <v>97</v>
      </c>
    </row>
    <row r="17" spans="11:11" x14ac:dyDescent="0.25">
      <c r="K17" s="96"/>
    </row>
    <row r="18" spans="11:11" x14ac:dyDescent="0.25">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4" customWidth="1"/>
    <col min="2" max="2" width="15.26953125" style="104" customWidth="1"/>
    <col min="3" max="3" width="13.453125" style="104" customWidth="1"/>
    <col min="4" max="4" width="21.26953125" style="104" customWidth="1"/>
    <col min="5" max="16384" width="9.1796875" style="104"/>
  </cols>
  <sheetData>
    <row r="3" spans="1:4" ht="32.25" customHeight="1" x14ac:dyDescent="0.25">
      <c r="A3" s="306" t="s">
        <v>41</v>
      </c>
      <c r="B3" s="306"/>
      <c r="C3" s="306"/>
      <c r="D3" s="306"/>
    </row>
    <row r="5" spans="1:4" ht="72.75" customHeight="1" x14ac:dyDescent="0.25">
      <c r="A5" s="105" t="s">
        <v>89</v>
      </c>
      <c r="B5" s="106" t="s">
        <v>42</v>
      </c>
      <c r="C5" s="106" t="s">
        <v>43</v>
      </c>
      <c r="D5" s="106" t="s">
        <v>44</v>
      </c>
    </row>
    <row r="6" spans="1:4" ht="20.25" customHeight="1" x14ac:dyDescent="0.25">
      <c r="A6" s="107">
        <f>(B6*C6*D6)/1000000</f>
        <v>1.944</v>
      </c>
      <c r="B6" s="108">
        <v>30</v>
      </c>
      <c r="C6" s="109">
        <v>5400</v>
      </c>
      <c r="D6" s="110">
        <v>12</v>
      </c>
    </row>
    <row r="10" spans="1:4" x14ac:dyDescent="0.25">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9</vt:i4>
      </vt:variant>
      <vt:variant>
        <vt:lpstr>Įvardytieji diapazonai</vt:lpstr>
      </vt:variant>
      <vt:variant>
        <vt:i4>8</vt:i4>
      </vt:variant>
    </vt:vector>
  </HeadingPairs>
  <TitlesOfParts>
    <vt:vector size="17" baseType="lpstr">
      <vt:lpstr>Compatibility Report</vt:lpstr>
      <vt:lpstr>Greitis</vt:lpstr>
      <vt:lpstr>H2O</vt:lpstr>
      <vt:lpstr>Paėmimas</vt:lpstr>
      <vt:lpstr>Lapas1</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2026-03-26T13:07:18Z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