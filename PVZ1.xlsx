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Šios_darbaknygės" defaultThemeVersion="124226"/>
  <mc:AlternateContent xmlns:mc="http://schemas.openxmlformats.org/markup-compatibility/2006">
    <mc:Choice Requires="x15">
      <x15ac:absPath xmlns:x15ac="http://schemas.microsoft.com/office/spreadsheetml/2010/11/ac" url="https://agentura2020.sharepoint.com/sites/VidurioLietuvosaplinkostyrimuskyrius/Bendrai naudojami dokumentai/EB7-014 Darbuotojų failai/Tomo/Python 3.14.3/Skaiciavimai/"/>
    </mc:Choice>
  </mc:AlternateContent>
  <xr:revisionPtr revIDLastSave="155" documentId="8_{6218F508-2438-4EC7-8B4D-5D6F3C7CDB90}" xr6:coauthVersionLast="47" xr6:coauthVersionMax="47" xr10:uidLastSave="{201A47C8-B92F-45CF-9C07-2B82262E0461}"/>
  <bookViews>
    <workbookView xWindow="-110" yWindow="-110" windowWidth="19420" windowHeight="10300" tabRatio="821" firstSheet="1" activeTab="6" xr2:uid="{B097D0E3-85A4-46F7-964F-ABE00A6941B9}"/>
  </bookViews>
  <sheets>
    <sheet name="Compatibility Report" sheetId="4" state="hidden" r:id="rId1"/>
    <sheet name="Greitis" sheetId="22" r:id="rId2"/>
    <sheet name="H2O" sheetId="20" r:id="rId3"/>
    <sheet name="Paėmimas" sheetId="11" r:id="rId4"/>
    <sheet name="Aerodinamika" sheetId="1" r:id="rId5"/>
    <sheet name="Koncentracija " sheetId="2" r:id="rId6"/>
    <sheet name="Svėrimas" sheetId="12" r:id="rId7"/>
    <sheet name="Koncentracijos ribinės vertės" sheetId="21" r:id="rId8"/>
  </sheets>
  <definedNames>
    <definedName name="_xlnm._FilterDatabase" localSheetId="6" hidden="1">Svėrimas!$C$4:$O$6</definedName>
    <definedName name="_xlnm.Print_Area" localSheetId="4">Aerodinamika!$C$1:$M$5</definedName>
    <definedName name="_xlnm.Print_Area" localSheetId="5">'Koncentracija '!$C$1:$N$5</definedName>
    <definedName name="_xlnm.Print_Area" localSheetId="3">Paėmimas!$A$1:$S$5</definedName>
    <definedName name="_xlnm.Print_Area" localSheetId="6">Svėrimas!$C$1:$O$11</definedName>
    <definedName name="_xlnm.Print_Titles" localSheetId="4">Aerodinamika!$1:$5</definedName>
    <definedName name="_xlnm.Print_Titles" localSheetId="5">'Koncentracija '!$2:$5</definedName>
    <definedName name="_xlnm.Print_Titles" localSheetId="3">Paėmimas!$1:$5</definedName>
    <definedName name="_xlnm.Print_Titles" localSheetId="6">Svėrimas!$3:$4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23" i="22" l="1"/>
  <c r="T24" i="22"/>
  <c r="T23" i="22"/>
  <c r="L7" i="2" l="1"/>
  <c r="L6" i="2"/>
  <c r="X20" i="11"/>
  <c r="X21" i="11"/>
  <c r="X22" i="11"/>
  <c r="X23" i="11"/>
  <c r="X24" i="11"/>
  <c r="X25" i="11"/>
  <c r="X26" i="11"/>
  <c r="X27" i="11"/>
  <c r="X19" i="11"/>
  <c r="X7" i="11"/>
  <c r="X8" i="11"/>
  <c r="X9" i="11"/>
  <c r="X10" i="11"/>
  <c r="X11" i="11"/>
  <c r="X12" i="11"/>
  <c r="X13" i="11"/>
  <c r="X14" i="11"/>
  <c r="X6" i="11"/>
  <c r="N15" i="11"/>
  <c r="N31" i="11" s="1"/>
  <c r="N28" i="11"/>
  <c r="K19" i="11"/>
  <c r="C6" i="11"/>
  <c r="A6" i="11"/>
  <c r="I6" i="11"/>
  <c r="H6" i="11"/>
  <c r="D7" i="20" l="1"/>
  <c r="T7" i="22"/>
  <c r="T6" i="22"/>
  <c r="L31" i="22"/>
  <c r="K31" i="22"/>
  <c r="L30" i="22"/>
  <c r="K30" i="22"/>
  <c r="L29" i="22"/>
  <c r="K29" i="22"/>
  <c r="L28" i="22"/>
  <c r="K28" i="22"/>
  <c r="L27" i="22"/>
  <c r="K27" i="22"/>
  <c r="L26" i="22"/>
  <c r="K26" i="22"/>
  <c r="L25" i="22"/>
  <c r="K25" i="22"/>
  <c r="Q24" i="22"/>
  <c r="L24" i="22"/>
  <c r="K24" i="22"/>
  <c r="Q23" i="22"/>
  <c r="O23" i="22"/>
  <c r="Z23" i="22" s="1"/>
  <c r="L23" i="22"/>
  <c r="K23" i="22"/>
  <c r="J14" i="22"/>
  <c r="I14" i="22"/>
  <c r="K14" i="22" s="1"/>
  <c r="G14" i="22"/>
  <c r="J13" i="22"/>
  <c r="I13" i="22"/>
  <c r="G13" i="22"/>
  <c r="J12" i="22"/>
  <c r="I12" i="22"/>
  <c r="K12" i="22" s="1"/>
  <c r="G12" i="22"/>
  <c r="J11" i="22"/>
  <c r="I11" i="22"/>
  <c r="G11" i="22"/>
  <c r="J10" i="22"/>
  <c r="I10" i="22"/>
  <c r="G10" i="22"/>
  <c r="J9" i="22"/>
  <c r="I9" i="22"/>
  <c r="G9" i="22"/>
  <c r="J8" i="22"/>
  <c r="I8" i="22"/>
  <c r="K8" i="22" s="1"/>
  <c r="G8" i="22"/>
  <c r="Q7" i="22"/>
  <c r="J7" i="22"/>
  <c r="I7" i="22"/>
  <c r="G7" i="22"/>
  <c r="Q6" i="22"/>
  <c r="K6" i="22"/>
  <c r="K7" i="22" l="1"/>
  <c r="K9" i="22"/>
  <c r="K11" i="22"/>
  <c r="R23" i="22"/>
  <c r="S23" i="22" s="1"/>
  <c r="Z24" i="22"/>
  <c r="K13" i="22"/>
  <c r="K10" i="22"/>
  <c r="R24" i="22"/>
  <c r="S24" i="22" s="1"/>
  <c r="A6" i="12" l="1"/>
  <c r="G7" i="20"/>
  <c r="H7" i="20" s="1"/>
  <c r="A6" i="21"/>
  <c r="M12" i="12"/>
  <c r="M13" i="12"/>
  <c r="M14" i="12"/>
  <c r="M15" i="12"/>
  <c r="W23" i="22" l="1"/>
  <c r="U23" i="22" s="1"/>
  <c r="V23" i="22" s="1"/>
  <c r="Y23" i="22" s="1"/>
  <c r="W24" i="22"/>
  <c r="U24" i="22" s="1"/>
  <c r="V24" i="22" s="1"/>
  <c r="Y24" i="22" s="1"/>
  <c r="W7" i="22"/>
  <c r="U7" i="22" s="1"/>
  <c r="W6" i="22"/>
  <c r="U6" i="22" s="1"/>
  <c r="M16" i="12"/>
  <c r="K27" i="11"/>
  <c r="K26" i="11"/>
  <c r="K25" i="11"/>
  <c r="K24" i="11"/>
  <c r="K23" i="11"/>
  <c r="K22" i="11"/>
  <c r="K21" i="11"/>
  <c r="K20" i="11"/>
  <c r="V9" i="11"/>
  <c r="F6" i="11" l="1"/>
  <c r="H6" i="22"/>
  <c r="I7" i="2"/>
  <c r="I6" i="2"/>
  <c r="H9" i="22" l="1"/>
  <c r="H13" i="22"/>
  <c r="H8" i="22"/>
  <c r="H7" i="22"/>
  <c r="H11" i="22"/>
  <c r="H14" i="22"/>
  <c r="H10" i="22"/>
  <c r="H12" i="22"/>
  <c r="R19" i="11"/>
  <c r="M27" i="11"/>
  <c r="M26" i="11"/>
  <c r="M25" i="11"/>
  <c r="M24" i="11"/>
  <c r="M23" i="11"/>
  <c r="M22" i="11"/>
  <c r="M21" i="11"/>
  <c r="M20" i="11"/>
  <c r="M19" i="11"/>
  <c r="I27" i="11"/>
  <c r="H27" i="11"/>
  <c r="I26" i="11"/>
  <c r="H26" i="11"/>
  <c r="I25" i="11"/>
  <c r="H25" i="11"/>
  <c r="I24" i="11"/>
  <c r="H24" i="11"/>
  <c r="I23" i="11"/>
  <c r="H23" i="11"/>
  <c r="I22" i="11"/>
  <c r="H22" i="11"/>
  <c r="I21" i="11"/>
  <c r="H21" i="11"/>
  <c r="I20" i="11"/>
  <c r="H20" i="11"/>
  <c r="I19" i="11"/>
  <c r="H19" i="11"/>
  <c r="F27" i="11"/>
  <c r="F26" i="11"/>
  <c r="F25" i="11"/>
  <c r="F24" i="11"/>
  <c r="F23" i="11"/>
  <c r="F22" i="11"/>
  <c r="F21" i="11"/>
  <c r="F20" i="11"/>
  <c r="F19" i="11"/>
  <c r="M14" i="11"/>
  <c r="M13" i="11"/>
  <c r="M12" i="11"/>
  <c r="M11" i="11"/>
  <c r="M10" i="11"/>
  <c r="M9" i="11"/>
  <c r="M8" i="11"/>
  <c r="M7" i="11"/>
  <c r="K14" i="11"/>
  <c r="I14" i="11"/>
  <c r="K13" i="11"/>
  <c r="I13" i="11"/>
  <c r="K12" i="11"/>
  <c r="I12" i="11"/>
  <c r="K11" i="11"/>
  <c r="I11" i="11"/>
  <c r="K10" i="11"/>
  <c r="I10" i="11"/>
  <c r="K9" i="11"/>
  <c r="I9" i="11"/>
  <c r="K8" i="11"/>
  <c r="I8" i="11"/>
  <c r="K7" i="11"/>
  <c r="I7" i="11"/>
  <c r="H14" i="11"/>
  <c r="H13" i="11"/>
  <c r="H12" i="11"/>
  <c r="H11" i="11"/>
  <c r="H10" i="11"/>
  <c r="H9" i="11"/>
  <c r="H8" i="11"/>
  <c r="H7" i="11"/>
  <c r="F14" i="11"/>
  <c r="F13" i="11"/>
  <c r="F12" i="11"/>
  <c r="F11" i="11"/>
  <c r="F10" i="11"/>
  <c r="F9" i="11"/>
  <c r="F8" i="11"/>
  <c r="M15" i="11" l="1"/>
  <c r="M28" i="11"/>
  <c r="F7" i="11"/>
  <c r="E19" i="11"/>
  <c r="D19" i="11"/>
  <c r="C19" i="11"/>
  <c r="B19" i="11"/>
  <c r="A19" i="11"/>
  <c r="U9" i="11"/>
  <c r="Q6" i="11" s="1"/>
  <c r="T9" i="11"/>
  <c r="P6" i="11" s="1"/>
  <c r="C6" i="2"/>
  <c r="O7" i="12"/>
  <c r="M31" i="11" l="1"/>
  <c r="P26" i="11"/>
  <c r="P24" i="11"/>
  <c r="P22" i="11"/>
  <c r="P20" i="11"/>
  <c r="P14" i="11"/>
  <c r="P12" i="11"/>
  <c r="P10" i="11"/>
  <c r="P8" i="11"/>
  <c r="P27" i="11"/>
  <c r="P25" i="11"/>
  <c r="P23" i="11"/>
  <c r="P21" i="11"/>
  <c r="P19" i="11"/>
  <c r="P13" i="11"/>
  <c r="P11" i="11"/>
  <c r="P9" i="11"/>
  <c r="P7" i="11"/>
  <c r="Q27" i="11"/>
  <c r="Q25" i="11"/>
  <c r="Q23" i="11"/>
  <c r="Q21" i="11"/>
  <c r="Q19" i="11"/>
  <c r="Q13" i="11"/>
  <c r="Q11" i="11"/>
  <c r="Q9" i="11"/>
  <c r="Q7" i="11"/>
  <c r="Q26" i="11"/>
  <c r="Q24" i="11"/>
  <c r="Q22" i="11"/>
  <c r="Q20" i="11"/>
  <c r="Q14" i="11"/>
  <c r="Q12" i="11"/>
  <c r="Q10" i="11"/>
  <c r="Q8" i="11"/>
  <c r="P7" i="2"/>
  <c r="G27" i="1" l="1"/>
  <c r="G26" i="1"/>
  <c r="G25" i="1"/>
  <c r="G24" i="1"/>
  <c r="G23" i="1"/>
  <c r="G22" i="1"/>
  <c r="G21" i="1"/>
  <c r="G20" i="1"/>
  <c r="N19" i="1"/>
  <c r="M19" i="1"/>
  <c r="G19" i="1"/>
  <c r="C19" i="1"/>
  <c r="B19" i="1"/>
  <c r="A19" i="1"/>
  <c r="G28" i="1" l="1"/>
  <c r="L27" i="11" l="1"/>
  <c r="D27" i="1" s="1"/>
  <c r="E27" i="1" s="1"/>
  <c r="L26" i="11"/>
  <c r="D26" i="1" s="1"/>
  <c r="E26" i="1" s="1"/>
  <c r="L25" i="11"/>
  <c r="D25" i="1" s="1"/>
  <c r="E25" i="1" s="1"/>
  <c r="L24" i="11"/>
  <c r="D24" i="1" s="1"/>
  <c r="E24" i="1" s="1"/>
  <c r="L23" i="11"/>
  <c r="D23" i="1" s="1"/>
  <c r="E23" i="1" s="1"/>
  <c r="L22" i="11"/>
  <c r="D22" i="1" s="1"/>
  <c r="E22" i="1" s="1"/>
  <c r="L21" i="11"/>
  <c r="D21" i="1" s="1"/>
  <c r="E21" i="1" s="1"/>
  <c r="L20" i="11"/>
  <c r="D20" i="1" s="1"/>
  <c r="E20" i="1" s="1"/>
  <c r="L19" i="11"/>
  <c r="D19" i="1" s="1"/>
  <c r="L13" i="11"/>
  <c r="D13" i="1" s="1"/>
  <c r="E13" i="1" s="1"/>
  <c r="L14" i="11"/>
  <c r="D14" i="1" s="1"/>
  <c r="E14" i="1" s="1"/>
  <c r="G13" i="1"/>
  <c r="G14" i="1"/>
  <c r="E19" i="1" l="1"/>
  <c r="L28" i="11"/>
  <c r="F19" i="1" l="1"/>
  <c r="J7" i="2" s="1"/>
  <c r="G9" i="1"/>
  <c r="G10" i="1"/>
  <c r="G11" i="1"/>
  <c r="G12" i="1"/>
  <c r="O6" i="12" l="1"/>
  <c r="P6" i="2"/>
  <c r="N6" i="1"/>
  <c r="L9" i="11" l="1"/>
  <c r="D9" i="1" s="1"/>
  <c r="E9" i="1" s="1"/>
  <c r="L10" i="11"/>
  <c r="D10" i="1" s="1"/>
  <c r="E10" i="1" s="1"/>
  <c r="L11" i="11"/>
  <c r="D11" i="1" s="1"/>
  <c r="E11" i="1" s="1"/>
  <c r="L12" i="11"/>
  <c r="D12" i="1" s="1"/>
  <c r="E12" i="1" s="1"/>
  <c r="G7" i="1" l="1"/>
  <c r="G8" i="1"/>
  <c r="G6" i="1" l="1"/>
  <c r="G15" i="1" s="1"/>
  <c r="G31" i="1" s="1"/>
  <c r="A6" i="1"/>
  <c r="B6" i="1"/>
  <c r="C6" i="1"/>
  <c r="B6" i="12"/>
  <c r="H6" i="12"/>
  <c r="D6" i="12"/>
  <c r="J7" i="20" l="1"/>
  <c r="K7" i="20" s="1"/>
  <c r="AA6" i="22"/>
  <c r="B6" i="2"/>
  <c r="N6" i="2"/>
  <c r="M9" i="12"/>
  <c r="G7" i="2" s="1"/>
  <c r="M6" i="1"/>
  <c r="A6" i="2"/>
  <c r="M11" i="12"/>
  <c r="M8" i="12"/>
  <c r="M7" i="12"/>
  <c r="M6" i="12"/>
  <c r="F7" i="2"/>
  <c r="F6" i="2"/>
  <c r="E7" i="2"/>
  <c r="E6" i="2"/>
  <c r="D6" i="2"/>
  <c r="D7" i="2"/>
  <c r="L7" i="11"/>
  <c r="D7" i="1" s="1"/>
  <c r="E7" i="1" s="1"/>
  <c r="L8" i="11"/>
  <c r="D8" i="1" s="1"/>
  <c r="E8" i="1" s="1"/>
  <c r="L6" i="11"/>
  <c r="L12" i="22" l="1"/>
  <c r="L6" i="22"/>
  <c r="L7" i="22"/>
  <c r="L13" i="22"/>
  <c r="L10" i="22"/>
  <c r="L14" i="22"/>
  <c r="L8" i="22"/>
  <c r="L11" i="22"/>
  <c r="L9" i="22"/>
  <c r="H6" i="1"/>
  <c r="H13" i="1"/>
  <c r="I13" i="1" s="1"/>
  <c r="J13" i="1" s="1"/>
  <c r="H23" i="1"/>
  <c r="I23" i="1" s="1"/>
  <c r="J23" i="1" s="1"/>
  <c r="H26" i="1"/>
  <c r="I26" i="1" s="1"/>
  <c r="J26" i="1" s="1"/>
  <c r="H7" i="1"/>
  <c r="H10" i="1"/>
  <c r="I10" i="1" s="1"/>
  <c r="J10" i="1" s="1"/>
  <c r="H11" i="1"/>
  <c r="I11" i="1" s="1"/>
  <c r="J11" i="1" s="1"/>
  <c r="H25" i="1"/>
  <c r="I25" i="1" s="1"/>
  <c r="J25" i="1" s="1"/>
  <c r="H24" i="1"/>
  <c r="I24" i="1" s="1"/>
  <c r="J24" i="1" s="1"/>
  <c r="H20" i="1"/>
  <c r="I20" i="1" s="1"/>
  <c r="J20" i="1" s="1"/>
  <c r="H22" i="1"/>
  <c r="I22" i="1" s="1"/>
  <c r="J22" i="1" s="1"/>
  <c r="H19" i="1"/>
  <c r="I19" i="1" s="1"/>
  <c r="H14" i="1"/>
  <c r="I14" i="1" s="1"/>
  <c r="J14" i="1" s="1"/>
  <c r="H12" i="1"/>
  <c r="I12" i="1" s="1"/>
  <c r="J12" i="1" s="1"/>
  <c r="H27" i="1"/>
  <c r="I27" i="1" s="1"/>
  <c r="J27" i="1" s="1"/>
  <c r="H21" i="1"/>
  <c r="I21" i="1" s="1"/>
  <c r="J21" i="1" s="1"/>
  <c r="H8" i="1"/>
  <c r="I8" i="1" s="1"/>
  <c r="J8" i="1" s="1"/>
  <c r="H9" i="1"/>
  <c r="I9" i="1" s="1"/>
  <c r="J9" i="1" s="1"/>
  <c r="H7" i="2"/>
  <c r="K7" i="2" s="1"/>
  <c r="H6" i="2"/>
  <c r="G6" i="2"/>
  <c r="L15" i="11"/>
  <c r="I7" i="1"/>
  <c r="J7" i="1" s="1"/>
  <c r="D6" i="1"/>
  <c r="G27" i="11" l="1"/>
  <c r="K27" i="1" s="1"/>
  <c r="Y27" i="11" s="1"/>
  <c r="G14" i="11"/>
  <c r="G23" i="11"/>
  <c r="K23" i="1" s="1"/>
  <c r="Y23" i="11" s="1"/>
  <c r="G10" i="11"/>
  <c r="G26" i="11"/>
  <c r="K26" i="1" s="1"/>
  <c r="Y26" i="11" s="1"/>
  <c r="G13" i="11"/>
  <c r="G22" i="11"/>
  <c r="G9" i="11"/>
  <c r="G20" i="11"/>
  <c r="G7" i="11"/>
  <c r="G24" i="11"/>
  <c r="K24" i="1" s="1"/>
  <c r="Y24" i="11" s="1"/>
  <c r="G11" i="11"/>
  <c r="K11" i="1" s="1"/>
  <c r="Y11" i="11" s="1"/>
  <c r="G6" i="11"/>
  <c r="G19" i="11"/>
  <c r="G21" i="11"/>
  <c r="G8" i="11"/>
  <c r="K8" i="1" s="1"/>
  <c r="Y8" i="11" s="1"/>
  <c r="G25" i="11"/>
  <c r="G12" i="11"/>
  <c r="K12" i="1" s="1"/>
  <c r="Y12" i="11" s="1"/>
  <c r="N14" i="22"/>
  <c r="M14" i="22"/>
  <c r="N10" i="22"/>
  <c r="M10" i="22"/>
  <c r="I28" i="1"/>
  <c r="J19" i="1"/>
  <c r="M13" i="22"/>
  <c r="N13" i="22"/>
  <c r="M9" i="22"/>
  <c r="K9" i="1" s="1"/>
  <c r="Y9" i="11" s="1"/>
  <c r="N9" i="22"/>
  <c r="N7" i="22"/>
  <c r="K20" i="1" s="1"/>
  <c r="Y20" i="11" s="1"/>
  <c r="M7" i="22"/>
  <c r="K7" i="1" s="1"/>
  <c r="Y7" i="11" s="1"/>
  <c r="M11" i="22"/>
  <c r="N11" i="22"/>
  <c r="N6" i="22"/>
  <c r="M6" i="22"/>
  <c r="K10" i="1"/>
  <c r="Y10" i="11" s="1"/>
  <c r="N8" i="22"/>
  <c r="K21" i="1" s="1"/>
  <c r="Y21" i="11" s="1"/>
  <c r="M8" i="22"/>
  <c r="M12" i="22"/>
  <c r="N12" i="22"/>
  <c r="M6" i="2"/>
  <c r="E6" i="1"/>
  <c r="K22" i="1" l="1"/>
  <c r="Y22" i="11" s="1"/>
  <c r="K25" i="1"/>
  <c r="Y25" i="11" s="1"/>
  <c r="K13" i="1"/>
  <c r="Y13" i="11" s="1"/>
  <c r="K14" i="1"/>
  <c r="Y14" i="11" s="1"/>
  <c r="K19" i="1"/>
  <c r="O6" i="22"/>
  <c r="F6" i="1"/>
  <c r="L19" i="1" l="1"/>
  <c r="Y19" i="11"/>
  <c r="R6" i="22"/>
  <c r="S6" i="22" s="1"/>
  <c r="V6" i="22" s="1"/>
  <c r="Y6" i="22" s="1"/>
  <c r="Z7" i="22"/>
  <c r="Z6" i="22"/>
  <c r="R7" i="22"/>
  <c r="S7" i="22" s="1"/>
  <c r="V7" i="22" s="1"/>
  <c r="Y7" i="22" s="1"/>
  <c r="J6" i="2"/>
  <c r="K6" i="2" s="1"/>
  <c r="F28" i="1"/>
  <c r="I6" i="1"/>
  <c r="J6" i="1" l="1"/>
  <c r="K6" i="1" s="1"/>
  <c r="I15" i="1"/>
  <c r="I31" i="1" s="1"/>
  <c r="L6" i="1" l="1"/>
  <c r="L28" i="1" s="1"/>
  <c r="Y6" i="11"/>
</calcChain>
</file>

<file path=xl/sharedStrings.xml><?xml version="1.0" encoding="utf-8"?>
<sst xmlns="http://schemas.openxmlformats.org/spreadsheetml/2006/main" count="208" uniqueCount="151">
  <si>
    <t>Compatibility Report for Izo dulkes.xls</t>
  </si>
  <si>
    <t>Run on 2010.09.30 22:52</t>
  </si>
  <si>
    <t>The following features in this workbook are not supported by earlier versions of Excel. These features may be lost or degraded when you save this workbook in an earlier file format.</t>
  </si>
  <si>
    <t>Minor loss of fidelity</t>
  </si>
  <si>
    <t># of occurrences</t>
  </si>
  <si>
    <t>Some cells or styles in this workbook contain formatting that is not supported by the selected file format. These formats will be converted to the closest format available.</t>
  </si>
  <si>
    <t>Pastabos</t>
  </si>
  <si>
    <t xml:space="preserve">Filtro Nr. </t>
  </si>
  <si>
    <t>Matavimo data</t>
  </si>
  <si>
    <t>Objekto pavadinimas, adresas, taršos šaltinio Nr.</t>
  </si>
  <si>
    <t>Įvestiniai duomenys</t>
  </si>
  <si>
    <t>Suskaičiuoti duomenys</t>
  </si>
  <si>
    <t>Skaičiavimus atlikusio asmens inicialai, data</t>
  </si>
  <si>
    <t>Darbuotojo inicialai, data</t>
  </si>
  <si>
    <t xml:space="preserve"> </t>
  </si>
  <si>
    <t>Atsakingo asmens inicialai, data</t>
  </si>
  <si>
    <t>Izokine-tiškumas (0,95-1,15)</t>
  </si>
  <si>
    <t xml:space="preserve"> Izokine-tiškumo vidurkis  (0,95-1,15)</t>
  </si>
  <si>
    <t>EFSVPATD/3-3-1
AAA Aplinkos tyrimų departamentas</t>
  </si>
  <si>
    <t>EFSVPATD/3-3-2
AAA Aplinkos tyrimų departamentas</t>
  </si>
  <si>
    <t>EFSVPATD/3-3-3
AAA Aplinkos tyrimų departamentas</t>
  </si>
  <si>
    <t>FSVPATD/3-3-4
AAA Aplinkos tyrimų departamentas</t>
  </si>
  <si>
    <t>Išretėjimas, -hPa</t>
  </si>
  <si>
    <t>Paėmimo greitis, l/min</t>
  </si>
  <si>
    <t>Atmosf. Slėgis, hPa</t>
  </si>
  <si>
    <t>TŠ 001   H2O</t>
  </si>
  <si>
    <t>Vandens kondensato masė m H2O, kg</t>
  </si>
  <si>
    <t>Prasiurbtas dujų tūris normaliosiomis sąlygomis Vmn, Nm3</t>
  </si>
  <si>
    <t>Vidurkis qn, (kg/m3)</t>
  </si>
  <si>
    <t>Suma Vm, m3</t>
  </si>
  <si>
    <t>Pratraukto dujų tūrio suma H2O, Nm3. Įrašyti į "Dujų tūris pagal ISO" W stulpelį</t>
  </si>
  <si>
    <t>Išmatuotas vandens kiekis 10ltr*10 min.  Įrašyti iš "Dujų tūris pagal ISO" T stulpelio</t>
  </si>
  <si>
    <t>O2iš, (%) vidurkis</t>
  </si>
  <si>
    <t>CO2iš, (%) vidurkis</t>
  </si>
  <si>
    <t>Vidurkių vidurkis qn, (kg/m3)</t>
  </si>
  <si>
    <t xml:space="preserve"> Izokine-tiškumo vidurkių vidurkis</t>
  </si>
  <si>
    <t>Viso suma Vmn(sum), Nm3.</t>
  </si>
  <si>
    <t xml:space="preserve"> Ėminių ėmimo laikas t, min.</t>
  </si>
  <si>
    <t>Temp. prie aspirato-riaus, Vtr oC</t>
  </si>
  <si>
    <t>Dujų tūris normaliom sąlygom, Vn   l.</t>
  </si>
  <si>
    <t xml:space="preserve"> tor vidurkis, °C</t>
  </si>
  <si>
    <t>Patikrinimas, ar planuojamas surinkti dulkių kiekis suderinamas su tuščiojo ėminio verte ir ar filtras nebus per daug apkrautas</t>
  </si>
  <si>
    <t>Mažiausia ėminio ėmimo trukmė t, 30 min</t>
  </si>
  <si>
    <t>Tikėtina dulkių koncentracija cexs, mg/Nm3;</t>
  </si>
  <si>
    <t>Planuojamas dujų tūrio siurbimo greitis matavimo metu ortakio sąlygomis Vo, l/min.</t>
  </si>
  <si>
    <t>00</t>
  </si>
  <si>
    <t>01</t>
  </si>
  <si>
    <t>02</t>
  </si>
  <si>
    <t>03</t>
  </si>
  <si>
    <t>Ėminių   registracijos Nr. T-107-2026-E-</t>
  </si>
  <si>
    <t>Ortakio skersmuo d (m)</t>
  </si>
  <si>
    <r>
      <t>Temperatūra ortakyje t</t>
    </r>
    <r>
      <rPr>
        <b/>
        <vertAlign val="subscript"/>
        <sz val="11"/>
        <rFont val="Times New Roman"/>
        <family val="1"/>
        <charset val="186"/>
      </rPr>
      <t>or</t>
    </r>
    <r>
      <rPr>
        <b/>
        <sz val="11"/>
        <rFont val="Times New Roman"/>
        <family val="1"/>
        <charset val="186"/>
      </rPr>
      <t xml:space="preserve"> (°C)</t>
    </r>
  </si>
  <si>
    <t>Atmosfe-rinis slėgis  P (hPa)</t>
  </si>
  <si>
    <r>
      <t>Statinis slėgis ortakyje  ΔP</t>
    </r>
    <r>
      <rPr>
        <b/>
        <vertAlign val="subscript"/>
        <sz val="11"/>
        <rFont val="Times New Roman"/>
        <family val="1"/>
        <charset val="186"/>
      </rPr>
      <t>or</t>
    </r>
    <r>
      <rPr>
        <b/>
        <sz val="11"/>
        <rFont val="Times New Roman"/>
        <family val="1"/>
        <charset val="186"/>
      </rPr>
      <t xml:space="preserve"> (hPa)</t>
    </r>
  </si>
  <si>
    <r>
      <t>Slėgis prieš rotametrą ΔP</t>
    </r>
    <r>
      <rPr>
        <b/>
        <vertAlign val="subscript"/>
        <sz val="11"/>
        <rFont val="Times New Roman"/>
        <family val="1"/>
        <charset val="186"/>
      </rPr>
      <t>r</t>
    </r>
    <r>
      <rPr>
        <b/>
        <sz val="11"/>
        <rFont val="Times New Roman"/>
        <family val="1"/>
        <charset val="186"/>
      </rPr>
      <t xml:space="preserve"> (±hPa)</t>
    </r>
  </si>
  <si>
    <r>
      <t>Antgalio diametras d</t>
    </r>
    <r>
      <rPr>
        <b/>
        <vertAlign val="subscript"/>
        <sz val="11"/>
        <rFont val="Times New Roman"/>
        <family val="1"/>
        <charset val="186"/>
      </rPr>
      <t>a</t>
    </r>
    <r>
      <rPr>
        <b/>
        <sz val="11"/>
        <rFont val="Times New Roman"/>
        <family val="1"/>
        <charset val="186"/>
      </rPr>
      <t xml:space="preserve"> (mm)</t>
    </r>
  </si>
  <si>
    <r>
      <t>Prasiurbtas  dujų tūris V</t>
    </r>
    <r>
      <rPr>
        <b/>
        <vertAlign val="subscript"/>
        <sz val="11"/>
        <rFont val="Times New Roman"/>
        <family val="1"/>
        <charset val="186"/>
      </rPr>
      <t>m</t>
    </r>
    <r>
      <rPr>
        <b/>
        <sz val="11"/>
        <rFont val="Times New Roman"/>
        <family val="1"/>
        <charset val="186"/>
      </rPr>
      <t xml:space="preserve"> (m3)</t>
    </r>
  </si>
  <si>
    <t xml:space="preserve">Siurbimo laikas t (min) </t>
  </si>
  <si>
    <t xml:space="preserve">Siurbimo greitis Vo (l/min) </t>
  </si>
  <si>
    <r>
      <t>Siurbiamų dujų temperatūra prieš rotametrą t</t>
    </r>
    <r>
      <rPr>
        <b/>
        <vertAlign val="subscript"/>
        <sz val="11"/>
        <rFont val="Times New Roman"/>
        <family val="1"/>
        <charset val="186"/>
      </rPr>
      <t>r</t>
    </r>
    <r>
      <rPr>
        <b/>
        <sz val="11"/>
        <rFont val="Times New Roman"/>
        <family val="1"/>
        <charset val="186"/>
      </rPr>
      <t xml:space="preserve"> (°C)</t>
    </r>
  </si>
  <si>
    <r>
      <t>O</t>
    </r>
    <r>
      <rPr>
        <b/>
        <vertAlign val="subscript"/>
        <sz val="11"/>
        <rFont val="Times New Roman"/>
        <family val="1"/>
        <charset val="186"/>
      </rPr>
      <t>2iš</t>
    </r>
    <r>
      <rPr>
        <b/>
        <sz val="11"/>
        <rFont val="Times New Roman"/>
        <family val="1"/>
        <charset val="186"/>
      </rPr>
      <t xml:space="preserve"> (%) (ore 21 %)</t>
    </r>
  </si>
  <si>
    <r>
      <t>CO</t>
    </r>
    <r>
      <rPr>
        <b/>
        <vertAlign val="subscript"/>
        <sz val="11"/>
        <rFont val="Times New Roman"/>
        <family val="1"/>
        <charset val="186"/>
      </rPr>
      <t>2iš</t>
    </r>
    <r>
      <rPr>
        <b/>
        <sz val="11"/>
        <rFont val="Times New Roman"/>
        <family val="1"/>
        <charset val="186"/>
      </rPr>
      <t xml:space="preserve"> (%) (ore 0,04 %)</t>
    </r>
  </si>
  <si>
    <t>Išmatuota O2 koncentracija (%)</t>
  </si>
  <si>
    <t>Išmatuota CO2 koncentracija (%)</t>
  </si>
  <si>
    <t>Temperatūra ortakyje tor (°C)</t>
  </si>
  <si>
    <t>Ėminių  registracijos Nr. T-107-2026-E-</t>
  </si>
  <si>
    <t>Prasiurbtas  dujų tūris Vm (m3)</t>
  </si>
  <si>
    <t>Prasiurbtas dujų tūris normaliosiomis sąlygomis Vmn (Nm3)</t>
  </si>
  <si>
    <t>Prasiurbto dujų tūrio normaliosiomis sąlygomis suma Vmn(sum) (Nm3)</t>
  </si>
  <si>
    <t>Sausų dujų tankis normaliosioms sąlygomis qn (kg/m3)</t>
  </si>
  <si>
    <t>Drėgmės kiekis X (%)</t>
  </si>
  <si>
    <r>
      <t>Pratrauktas drėgnų dujų tūris realiomis sąlygomis V</t>
    </r>
    <r>
      <rPr>
        <b/>
        <vertAlign val="subscript"/>
        <sz val="11"/>
        <rFont val="Times New Roman"/>
        <family val="1"/>
        <charset val="186"/>
      </rPr>
      <t xml:space="preserve">mk </t>
    </r>
    <r>
      <rPr>
        <b/>
        <sz val="11"/>
        <rFont val="Times New Roman"/>
        <family val="1"/>
        <charset val="186"/>
      </rPr>
      <t>(m</t>
    </r>
    <r>
      <rPr>
        <b/>
        <vertAlign val="superscript"/>
        <sz val="11"/>
        <rFont val="Times New Roman"/>
        <family val="1"/>
        <charset val="186"/>
      </rPr>
      <t>3</t>
    </r>
    <r>
      <rPr>
        <b/>
        <sz val="11"/>
        <rFont val="Times New Roman"/>
        <family val="1"/>
        <charset val="186"/>
      </rPr>
      <t>)</t>
    </r>
  </si>
  <si>
    <r>
      <t xml:space="preserve">Dujų srauto greitis antgalyje v </t>
    </r>
    <r>
      <rPr>
        <b/>
        <vertAlign val="subscript"/>
        <sz val="11"/>
        <rFont val="Times New Roman"/>
        <family val="1"/>
        <charset val="186"/>
      </rPr>
      <t>antg.</t>
    </r>
    <r>
      <rPr>
        <b/>
        <sz val="11"/>
        <rFont val="Times New Roman"/>
        <family val="1"/>
        <charset val="186"/>
      </rPr>
      <t xml:space="preserve"> (m/s)</t>
    </r>
  </si>
  <si>
    <r>
      <t>Filtro svoris prieš KD ėmimą m</t>
    </r>
    <r>
      <rPr>
        <b/>
        <vertAlign val="subscript"/>
        <sz val="10"/>
        <rFont val="Times New Roman"/>
        <family val="1"/>
        <charset val="186"/>
      </rPr>
      <t>pr</t>
    </r>
    <r>
      <rPr>
        <b/>
        <sz val="10"/>
        <rFont val="Times New Roman"/>
        <family val="1"/>
        <charset val="186"/>
      </rPr>
      <t xml:space="preserve"> (g)</t>
    </r>
  </si>
  <si>
    <r>
      <t xml:space="preserve"> Filtro svoris po KD ėmimo m</t>
    </r>
    <r>
      <rPr>
        <b/>
        <vertAlign val="subscript"/>
        <sz val="10"/>
        <rFont val="Times New Roman"/>
        <family val="1"/>
        <charset val="186"/>
      </rPr>
      <t>po</t>
    </r>
    <r>
      <rPr>
        <b/>
        <sz val="10"/>
        <rFont val="Times New Roman"/>
        <family val="1"/>
        <charset val="186"/>
      </rPr>
      <t xml:space="preserve"> (g)</t>
    </r>
  </si>
  <si>
    <r>
      <t>Tuščiojo ėminio KD svoris m</t>
    </r>
    <r>
      <rPr>
        <b/>
        <vertAlign val="subscript"/>
        <sz val="10"/>
        <rFont val="Times New Roman"/>
        <family val="1"/>
        <charset val="186"/>
      </rPr>
      <t>t</t>
    </r>
    <r>
      <rPr>
        <b/>
        <sz val="10"/>
        <rFont val="Times New Roman"/>
        <family val="1"/>
        <charset val="186"/>
      </rPr>
      <t xml:space="preserve"> (g)</t>
    </r>
  </si>
  <si>
    <r>
      <t>Nuosėdų kiekis m</t>
    </r>
    <r>
      <rPr>
        <b/>
        <vertAlign val="subscript"/>
        <sz val="10"/>
        <rFont val="Times New Roman"/>
        <family val="1"/>
        <charset val="186"/>
      </rPr>
      <t>n</t>
    </r>
    <r>
      <rPr>
        <b/>
        <sz val="10"/>
        <rFont val="Times New Roman"/>
        <family val="1"/>
        <charset val="186"/>
      </rPr>
      <t xml:space="preserve"> (g)</t>
    </r>
  </si>
  <si>
    <r>
      <t>Indų svorių pokytis m</t>
    </r>
    <r>
      <rPr>
        <b/>
        <vertAlign val="subscript"/>
        <sz val="10"/>
        <rFont val="Times New Roman"/>
        <family val="1"/>
        <charset val="186"/>
      </rPr>
      <t>It</t>
    </r>
    <r>
      <rPr>
        <b/>
        <sz val="10"/>
        <rFont val="Times New Roman"/>
        <family val="1"/>
        <charset val="186"/>
      </rPr>
      <t xml:space="preserve"> (g)</t>
    </r>
  </si>
  <si>
    <r>
      <t>Sausų dujų tūris n.s. Vmn</t>
    </r>
    <r>
      <rPr>
        <b/>
        <vertAlign val="subscript"/>
        <sz val="10"/>
        <rFont val="Times New Roman"/>
        <family val="1"/>
        <charset val="186"/>
      </rPr>
      <t xml:space="preserve"> </t>
    </r>
    <r>
      <rPr>
        <b/>
        <sz val="10"/>
        <rFont val="Times New Roman"/>
        <family val="1"/>
        <charset val="186"/>
      </rPr>
      <t>(Nm</t>
    </r>
    <r>
      <rPr>
        <b/>
        <vertAlign val="superscript"/>
        <sz val="10"/>
        <rFont val="Times New Roman"/>
        <family val="1"/>
        <charset val="186"/>
      </rPr>
      <t>3</t>
    </r>
    <r>
      <rPr>
        <b/>
        <sz val="10"/>
        <rFont val="Times New Roman"/>
        <family val="1"/>
        <charset val="186"/>
      </rPr>
      <t>)</t>
    </r>
  </si>
  <si>
    <r>
      <t>Kietų dalelių koncentracija c</t>
    </r>
    <r>
      <rPr>
        <b/>
        <vertAlign val="subscript"/>
        <sz val="10"/>
        <rFont val="Times New Roman"/>
        <family val="1"/>
        <charset val="186"/>
      </rPr>
      <t>1</t>
    </r>
    <r>
      <rPr>
        <b/>
        <sz val="10"/>
        <rFont val="Times New Roman"/>
        <family val="1"/>
        <charset val="186"/>
      </rPr>
      <t xml:space="preserve">  (neįvert. O2</t>
    </r>
    <r>
      <rPr>
        <b/>
        <vertAlign val="subscript"/>
        <sz val="10"/>
        <rFont val="Times New Roman"/>
        <family val="1"/>
        <charset val="186"/>
      </rPr>
      <t xml:space="preserve">) </t>
    </r>
    <r>
      <rPr>
        <b/>
        <sz val="10"/>
        <rFont val="Times New Roman"/>
        <family val="1"/>
        <charset val="186"/>
      </rPr>
      <t>(mg/Nm</t>
    </r>
    <r>
      <rPr>
        <b/>
        <vertAlign val="superscript"/>
        <sz val="10"/>
        <rFont val="Times New Roman"/>
        <family val="1"/>
        <charset val="186"/>
      </rPr>
      <t>3</t>
    </r>
    <r>
      <rPr>
        <b/>
        <sz val="10"/>
        <rFont val="Times New Roman"/>
        <family val="1"/>
        <charset val="186"/>
      </rPr>
      <t>)</t>
    </r>
  </si>
  <si>
    <r>
      <t>Tuščiojo filtro vertė m</t>
    </r>
    <r>
      <rPr>
        <b/>
        <i/>
        <sz val="10"/>
        <rFont val="Times New Roman"/>
        <family val="1"/>
        <charset val="186"/>
      </rPr>
      <t>ft</t>
    </r>
    <r>
      <rPr>
        <b/>
        <sz val="10"/>
        <rFont val="Times New Roman"/>
        <family val="1"/>
        <charset val="186"/>
      </rPr>
      <t xml:space="preserve"> (mg/m3) (</t>
    </r>
    <r>
      <rPr>
        <b/>
        <sz val="10"/>
        <color rgb="FFFF0000"/>
        <rFont val="Times New Roman"/>
        <family val="1"/>
        <charset val="186"/>
      </rPr>
      <t>&lt; 2 mg/m3</t>
    </r>
    <r>
      <rPr>
        <b/>
        <sz val="10"/>
        <rFont val="Times New Roman"/>
        <family val="1"/>
        <charset val="186"/>
      </rPr>
      <t>)</t>
    </r>
  </si>
  <si>
    <r>
      <t>Surinktų dulkių ir tuščiojo ėminio santykis mFtk (</t>
    </r>
    <r>
      <rPr>
        <b/>
        <sz val="10"/>
        <color rgb="FFFF0000"/>
        <rFont val="Times New Roman"/>
        <family val="1"/>
        <charset val="186"/>
      </rPr>
      <t>&gt;5</t>
    </r>
    <r>
      <rPr>
        <b/>
        <sz val="10"/>
        <rFont val="Times New Roman"/>
        <family val="1"/>
        <charset val="186"/>
      </rPr>
      <t>)</t>
    </r>
  </si>
  <si>
    <t>Ėminių registracijos Nr. T-107-2026-E-</t>
  </si>
  <si>
    <t xml:space="preserve">Filtro/ indo Nr. </t>
  </si>
  <si>
    <t>Tuščio filtro/indo svėrimo data</t>
  </si>
  <si>
    <r>
      <t>Filtro/indo svoris prieš KD ėmimą m</t>
    </r>
    <r>
      <rPr>
        <b/>
        <vertAlign val="subscript"/>
        <sz val="11"/>
        <rFont val="Times New Roman"/>
        <family val="1"/>
      </rPr>
      <t>pr</t>
    </r>
    <r>
      <rPr>
        <b/>
        <sz val="11"/>
        <rFont val="Times New Roman"/>
        <family val="1"/>
        <charset val="186"/>
      </rPr>
      <t xml:space="preserve"> (g)</t>
    </r>
  </si>
  <si>
    <t xml:space="preserve"> Filtro/indo su ėminiu svėrimo data</t>
  </si>
  <si>
    <r>
      <t xml:space="preserve"> Filtro/indo svoris po KD ėmimo m</t>
    </r>
    <r>
      <rPr>
        <b/>
        <vertAlign val="subscript"/>
        <sz val="11"/>
        <rFont val="Times New Roman"/>
        <family val="1"/>
      </rPr>
      <t>po</t>
    </r>
    <r>
      <rPr>
        <b/>
        <sz val="11"/>
        <rFont val="Times New Roman"/>
        <family val="1"/>
        <charset val="186"/>
      </rPr>
      <t xml:space="preserve"> (g)</t>
    </r>
  </si>
  <si>
    <r>
      <t>Kietųjų dalelių svoris  m</t>
    </r>
    <r>
      <rPr>
        <b/>
        <vertAlign val="subscript"/>
        <sz val="11"/>
        <rFont val="Times New Roman"/>
        <family val="1"/>
      </rPr>
      <t>f</t>
    </r>
    <r>
      <rPr>
        <b/>
        <sz val="11"/>
        <rFont val="Times New Roman"/>
        <family val="1"/>
      </rPr>
      <t>/Svorių pokytis (g) (</t>
    </r>
    <r>
      <rPr>
        <b/>
        <sz val="11"/>
        <color rgb="FFFF0000"/>
        <rFont val="Times New Roman"/>
        <family val="1"/>
        <charset val="186"/>
      </rPr>
      <t>&lt;2,20 g</t>
    </r>
    <r>
      <rPr>
        <b/>
        <sz val="11"/>
        <rFont val="Times New Roman"/>
        <family val="1"/>
      </rPr>
      <t xml:space="preserve"> </t>
    </r>
    <r>
      <rPr>
        <b/>
        <sz val="10"/>
        <rFont val="Times New Roman"/>
        <family val="1"/>
      </rPr>
      <t>filtro talpumas)</t>
    </r>
  </si>
  <si>
    <r>
      <t>Planuojama surinkti dulkių masė m, g (</t>
    </r>
    <r>
      <rPr>
        <sz val="12"/>
        <color rgb="FFFF0000"/>
        <rFont val="Times New Roman"/>
        <family val="1"/>
        <charset val="186"/>
      </rPr>
      <t>&lt;2,20 g</t>
    </r>
    <r>
      <rPr>
        <sz val="12"/>
        <rFont val="Times New Roman"/>
        <family val="1"/>
        <charset val="186"/>
      </rPr>
      <t>)</t>
    </r>
  </si>
  <si>
    <t>Skerspjūvio plotas A  (m2)</t>
  </si>
  <si>
    <r>
      <t>Tuščiasis ėminys (m</t>
    </r>
    <r>
      <rPr>
        <vertAlign val="subscript"/>
        <sz val="11"/>
        <rFont val="Times New Roman"/>
        <family val="1"/>
      </rPr>
      <t>t)</t>
    </r>
  </si>
  <si>
    <r>
      <t>Išplautos nuosėdos (m</t>
    </r>
    <r>
      <rPr>
        <vertAlign val="subscript"/>
        <sz val="11"/>
        <rFont val="Times New Roman"/>
        <family val="1"/>
      </rPr>
      <t>n)</t>
    </r>
  </si>
  <si>
    <r>
      <t>Išvalytos ėminių sistemos tuščiasis ėminys (m</t>
    </r>
    <r>
      <rPr>
        <vertAlign val="subscript"/>
        <sz val="11"/>
        <rFont val="Times New Roman"/>
        <family val="1"/>
      </rPr>
      <t>It)</t>
    </r>
  </si>
  <si>
    <r>
      <t>Tušti indai svorio kontrolei (m</t>
    </r>
    <r>
      <rPr>
        <vertAlign val="subscript"/>
        <sz val="11"/>
        <rFont val="Times New Roman"/>
        <family val="1"/>
      </rPr>
      <t>It1)</t>
    </r>
  </si>
  <si>
    <r>
      <t>Tušti indai svorio kontrolei (m</t>
    </r>
    <r>
      <rPr>
        <vertAlign val="subscript"/>
        <sz val="11"/>
        <rFont val="Times New Roman"/>
        <family val="1"/>
      </rPr>
      <t>It2)</t>
    </r>
  </si>
  <si>
    <r>
      <t>Tušti indai svorio kontrolei (m</t>
    </r>
    <r>
      <rPr>
        <vertAlign val="subscript"/>
        <sz val="11"/>
        <rFont val="Times New Roman"/>
        <family val="1"/>
      </rPr>
      <t>It3)</t>
    </r>
  </si>
  <si>
    <r>
      <t>Tuščių indų ir išvalytos ėminių sistemos tuščiojo ėminio svorio pokytis (m</t>
    </r>
    <r>
      <rPr>
        <vertAlign val="subscript"/>
        <sz val="11"/>
        <rFont val="Times New Roman"/>
        <family val="1"/>
      </rPr>
      <t>Itp)</t>
    </r>
  </si>
  <si>
    <t>Suma t, min</t>
  </si>
  <si>
    <t>Viso suma t, min</t>
  </si>
  <si>
    <t>Skaičiuoklė kietųjų dalelių koncentracijai nustatyti. Pradinių duomenų nustatymas</t>
  </si>
  <si>
    <t>Skaičiuoklė kietųjų dalelių koncentracijai nustatyti. Izokinetiškumo nustatymas</t>
  </si>
  <si>
    <t>Skaičiuoklė kietųjų dalelių koncentracijai nustatyti. Kietųjų dalelių koncentracijos nustatymas</t>
  </si>
  <si>
    <t>Skaičiuoklė kietųjų dalelių koncentracijai nustatyti. Svėrimas</t>
  </si>
  <si>
    <t>Filtrų skaičius Fsk (vnt.)</t>
  </si>
  <si>
    <t>Drėgmės kiekis X (%) (izokinetinei sistemai)</t>
  </si>
  <si>
    <t>1 linija, 1 filtras</t>
  </si>
  <si>
    <t>2 linija, 2 filtras</t>
  </si>
  <si>
    <t>Skaičiuoklė kietųjų dalelių koncentracijai nustatyti. H2O skaičiavimas</t>
  </si>
  <si>
    <t>Debitas pagal matuotą diferencinį slėgį</t>
  </si>
  <si>
    <t>Matavimo taškai ortakyje nuo vidinės sienelės, cm</t>
  </si>
  <si>
    <t>Pito vamzdelio koeficientas, K</t>
  </si>
  <si>
    <t>Temperatūra ortakyje t, oC</t>
  </si>
  <si>
    <t>Atmosferinis slėgis P,  hPa</t>
  </si>
  <si>
    <t>Statinis slėgis ortakyje ± ΔP, hPa</t>
  </si>
  <si>
    <t>Dujų slėgis kamine Pk= P+ ΔP, hPa</t>
  </si>
  <si>
    <t>Dujų mol. masė Ms= qn *22.4, kg/
kmol</t>
  </si>
  <si>
    <t>Dujų srauto greitis matavimo taškuose, 1 linija, wi = K*129 *√t *√Pdi/ √Pk/√Ms,  m/s</t>
  </si>
  <si>
    <t>Dujų srauto greitis matavimo taškuose, 2 linija wi = K*129 *√t *√Pdi/ √Pk/√Ms,  m/s</t>
  </si>
  <si>
    <t>Vidutinis dujų srauto greitis ortakyje w, m/s</t>
  </si>
  <si>
    <t>Ortakio diametras, matmenys,  m</t>
  </si>
  <si>
    <t>Ortakio skerspjūvio plotas F, m2</t>
  </si>
  <si>
    <t>Dujų tūrio debitas realiomis sąlygomis Vk = wvid × F, m3/s</t>
  </si>
  <si>
    <t>Dujų tūrio debitas normaliosiomis sąlygomis Vdr n.s =Vk *0,269*(P±ΔP)/(273+t), m3/s</t>
  </si>
  <si>
    <t xml:space="preserve">Vandens garų konc. dujose    x=mH2O/Vmn*qn, kg/kg                                                                                                                                                                                                         
                                                                                                                                                      </t>
  </si>
  <si>
    <t>Sausų dujų tūrio debitas normaliosiomis sąlygomis Vn= Vdr n.s *((1/(1+(x*qn/0.8038)))</t>
  </si>
  <si>
    <t>Išplėstinė neapibrėžtis (dujų tūrio debitas) Uv</t>
  </si>
  <si>
    <t>Išplėstinė neapibrėžtis (dujų srauto greitis) Uw</t>
  </si>
  <si>
    <t>Sausų dujų tankis normaliosioms sąlygomis qn, (kg/m3)</t>
  </si>
  <si>
    <t xml:space="preserve">Skaičiavimus atliko (inicialai, data) </t>
  </si>
  <si>
    <t>Iš Aerodinamika</t>
  </si>
  <si>
    <t xml:space="preserve">   </t>
  </si>
  <si>
    <t xml:space="preserve">                                                                                                                                                                                                                                                                                                                                                                                                                                                                                                                                                                                                                                                                                                                                                                                                                                                                                                                                                                                                                                                                                                                                                                                                                                                                                                                                                        </t>
  </si>
  <si>
    <t>RPU**</t>
  </si>
  <si>
    <t>Kai bus 2 linijos, RPU** yra 2 linijos vidurinis taškas.</t>
  </si>
  <si>
    <t xml:space="preserve">                     </t>
  </si>
  <si>
    <t>Debitas pagal matuotą dujų greitį</t>
  </si>
  <si>
    <t xml:space="preserve">Vidurkis Vo (l/min) </t>
  </si>
  <si>
    <t xml:space="preserve">Vidurkių vidurkis Vo vid (l/min) </t>
  </si>
  <si>
    <t>Suma Vmk (m3)</t>
  </si>
  <si>
    <t>Viso suma Vmk(sum), m3.</t>
  </si>
  <si>
    <t>Išmatuotas diferencinis slėgis taškuose    1 linija, Pdi, hPa</t>
  </si>
  <si>
    <t>Išmatuotas diferencinis slėgis  taškuose    2 linija, Pdi, hPa</t>
  </si>
  <si>
    <t>Išplėstinės neapibrėžties koef. A</t>
  </si>
  <si>
    <t>Srauto greitis ortakyje wor (m/s)</t>
  </si>
  <si>
    <t>Išmatuotas diferencinis slėgis taškuose, Pdi, hPa</t>
  </si>
  <si>
    <t>XX</t>
  </si>
  <si>
    <t>X</t>
  </si>
  <si>
    <t>XXXX-XX-XX</t>
  </si>
  <si>
    <t>XXXX</t>
  </si>
  <si>
    <t>XXXX-XX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</si>
</sst>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0000"/>
    <numFmt numFmtId="165" formatCode="0.0000"/>
    <numFmt numFmtId="166" formatCode="0.000"/>
    <numFmt numFmtId="167" formatCode="0.0"/>
    <numFmt numFmtId="168" formatCode="0.000000"/>
    <numFmt numFmtId="169" formatCode="0.0;[Red]0.0"/>
    <numFmt numFmtId="170" formatCode="yyyy\-mm\-dd;@"/>
    <numFmt numFmtId="171" formatCode="0;[Red]0"/>
    <numFmt numFmtId="172" formatCode="yyyy\-mm\-dd"/>
  </numFmts>
  <fonts count="31" x14ac:knownFonts="1">
    <font>
      <sz val="10"/>
      <name val="Arial"/>
      <charset val="186"/>
    </font>
    <font>
      <sz val="10"/>
      <name val="Arial"/>
      <family val="2"/>
      <charset val="186"/>
    </font>
    <font>
      <b/>
      <sz val="10"/>
      <name val="Arial"/>
      <family val="2"/>
      <charset val="186"/>
    </font>
    <font>
      <sz val="10"/>
      <name val="Times New Roman"/>
      <family val="1"/>
      <charset val="186"/>
    </font>
    <font>
      <sz val="11"/>
      <name val="Times New Roman"/>
      <family val="1"/>
      <charset val="186"/>
    </font>
    <font>
      <sz val="10"/>
      <name val="Arial"/>
      <family val="2"/>
      <charset val="186"/>
    </font>
    <font>
      <sz val="8"/>
      <name val="Arial"/>
      <family val="2"/>
      <charset val="186"/>
    </font>
    <font>
      <sz val="8"/>
      <name val="Arial"/>
      <family val="2"/>
      <charset val="186"/>
    </font>
    <font>
      <b/>
      <sz val="11"/>
      <name val="Times New Roman"/>
      <family val="1"/>
      <charset val="186"/>
    </font>
    <font>
      <b/>
      <sz val="12"/>
      <name val="Times New Roman"/>
      <family val="1"/>
      <charset val="186"/>
    </font>
    <font>
      <sz val="11"/>
      <color theme="1"/>
      <name val="Times New Roman"/>
      <family val="1"/>
      <charset val="186"/>
    </font>
    <font>
      <b/>
      <sz val="11"/>
      <color theme="1"/>
      <name val="Times New Roman"/>
      <family val="1"/>
      <charset val="186"/>
    </font>
    <font>
      <b/>
      <sz val="12"/>
      <color theme="1"/>
      <name val="Times New Roman"/>
      <family val="1"/>
      <charset val="186"/>
    </font>
    <font>
      <b/>
      <sz val="10"/>
      <name val="Times New Roman"/>
      <family val="1"/>
      <charset val="186"/>
    </font>
    <font>
      <b/>
      <i/>
      <sz val="10"/>
      <name val="Times New Roman"/>
      <family val="1"/>
      <charset val="186"/>
    </font>
    <font>
      <b/>
      <sz val="10"/>
      <color rgb="FFFF0000"/>
      <name val="Times New Roman"/>
      <family val="1"/>
      <charset val="186"/>
    </font>
    <font>
      <sz val="12"/>
      <name val="Times New Roman"/>
      <family val="1"/>
      <charset val="186"/>
    </font>
    <font>
      <sz val="12"/>
      <color rgb="FFFF0000"/>
      <name val="Times New Roman"/>
      <family val="1"/>
      <charset val="186"/>
    </font>
    <font>
      <sz val="12"/>
      <name val="Times New Roman"/>
      <family val="2"/>
      <charset val="186"/>
    </font>
    <font>
      <b/>
      <sz val="11"/>
      <color rgb="FFFF0000"/>
      <name val="Times New Roman"/>
      <family val="1"/>
      <charset val="186"/>
    </font>
    <font>
      <b/>
      <vertAlign val="subscript"/>
      <sz val="11"/>
      <name val="Times New Roman"/>
      <family val="1"/>
      <charset val="186"/>
    </font>
    <font>
      <b/>
      <vertAlign val="superscript"/>
      <sz val="11"/>
      <name val="Times New Roman"/>
      <family val="1"/>
      <charset val="186"/>
    </font>
    <font>
      <b/>
      <vertAlign val="subscript"/>
      <sz val="10"/>
      <name val="Times New Roman"/>
      <family val="1"/>
      <charset val="186"/>
    </font>
    <font>
      <b/>
      <vertAlign val="superscript"/>
      <sz val="10"/>
      <name val="Times New Roman"/>
      <family val="1"/>
      <charset val="186"/>
    </font>
    <font>
      <b/>
      <vertAlign val="subscript"/>
      <sz val="11"/>
      <name val="Times New Roman"/>
      <family val="1"/>
    </font>
    <font>
      <b/>
      <sz val="11"/>
      <name val="Times New Roman"/>
      <family val="1"/>
    </font>
    <font>
      <b/>
      <sz val="10"/>
      <name val="Times New Roman"/>
      <family val="1"/>
    </font>
    <font>
      <vertAlign val="subscript"/>
      <sz val="11"/>
      <name val="Times New Roman"/>
      <family val="1"/>
    </font>
    <font>
      <sz val="11"/>
      <name val="Times New Roman"/>
      <family val="1"/>
    </font>
    <font>
      <sz val="12"/>
      <color theme="1"/>
      <name val="Times New Roman"/>
      <family val="1"/>
      <charset val="186"/>
    </font>
    <font>
      <sz val="12"/>
      <name val="Times New Roman"/>
      <family val="1"/>
    </font>
  </fonts>
  <fills count="12">
    <fill>
      <patternFill patternType="none"/>
    </fill>
    <fill>
      <patternFill patternType="gray125"/>
    </fill>
    <fill>
      <patternFill patternType="solid">
        <fgColor rgb="FFFFFF00"/>
        <bgColor indexed="64"/>
      </patternFill>
    </fill>
    <fill>
      <patternFill patternType="solid">
        <fgColor theme="6" tint="0.79998168889431442"/>
        <bgColor indexed="64"/>
      </patternFill>
    </fill>
    <fill>
      <patternFill patternType="solid">
        <fgColor theme="9" tint="0.79998168889431442"/>
        <bgColor indexed="64"/>
      </patternFill>
    </fill>
    <fill>
      <patternFill patternType="solid">
        <fgColor rgb="FF92D050"/>
        <bgColor indexed="64"/>
      </patternFill>
    </fill>
    <fill>
      <patternFill patternType="solid">
        <fgColor theme="0" tint="-0.14999847407452621"/>
        <bgColor indexed="64"/>
      </patternFill>
    </fill>
    <fill>
      <patternFill patternType="solid">
        <fgColor rgb="FFFFFF00"/>
        <bgColor rgb="FF000000"/>
      </patternFill>
    </fill>
    <fill>
      <patternFill patternType="solid">
        <fgColor rgb="FF00B050"/>
        <bgColor indexed="64"/>
      </patternFill>
    </fill>
    <fill>
      <patternFill patternType="solid">
        <fgColor theme="0"/>
        <bgColor indexed="64"/>
      </patternFill>
    </fill>
    <fill>
      <patternFill patternType="solid">
        <fgColor rgb="FFFFC000"/>
        <bgColor indexed="64"/>
      </patternFill>
    </fill>
    <fill>
      <patternFill patternType="solid">
        <fgColor rgb="FF00B0F0"/>
        <bgColor indexed="64"/>
      </patternFill>
    </fill>
  </fills>
  <borders count="20">
    <border>
      <left/>
      <right/>
      <top/>
      <bottom/>
      <diagonal/>
    </border>
    <border>
      <left style="medium">
        <color indexed="8"/>
      </left>
      <right/>
      <top style="medium">
        <color indexed="8"/>
      </top>
      <bottom style="medium">
        <color indexed="8"/>
      </bottom>
      <diagonal/>
    </border>
    <border>
      <left/>
      <right/>
      <top style="medium">
        <color indexed="8"/>
      </top>
      <bottom style="medium">
        <color indexed="8"/>
      </bottom>
      <diagonal/>
    </border>
    <border>
      <left/>
      <right style="medium">
        <color indexed="8"/>
      </right>
      <top style="medium">
        <color indexed="8"/>
      </top>
      <bottom style="medium">
        <color indexed="8"/>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top/>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indexed="64"/>
      </top>
      <bottom/>
      <diagonal/>
    </border>
    <border>
      <left/>
      <right/>
      <top/>
      <bottom style="thin">
        <color indexed="64"/>
      </bottom>
      <diagonal/>
    </border>
    <border>
      <left/>
      <right/>
      <top style="thin">
        <color indexed="64"/>
      </top>
      <bottom/>
      <diagonal/>
    </border>
    <border>
      <left/>
      <right style="thin">
        <color indexed="64"/>
      </right>
      <top style="thin">
        <color indexed="64"/>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diagonal/>
    </border>
  </borders>
  <cellStyleXfs count="4">
    <xf numFmtId="0" fontId="0" fillId="0" borderId="0"/>
    <xf numFmtId="0" fontId="1" fillId="0" borderId="0"/>
    <xf numFmtId="9" fontId="5" fillId="0" borderId="0" applyFont="0" applyFill="0" applyBorder="0" applyAlignment="0" applyProtection="0"/>
    <xf numFmtId="9" fontId="1" fillId="0" borderId="0" applyFont="0" applyFill="0" applyBorder="0" applyAlignment="0" applyProtection="0"/>
  </cellStyleXfs>
  <cellXfs count="307">
    <xf numFmtId="0" fontId="0" fillId="0" borderId="0" xfId="0"/>
    <xf numFmtId="0" fontId="2" fillId="0" borderId="0" xfId="0" applyFont="1" applyAlignment="1">
      <alignment vertical="top" wrapText="1"/>
    </xf>
    <xf numFmtId="0" fontId="0" fillId="0" borderId="0" xfId="0" applyAlignment="1">
      <alignment vertical="top" wrapText="1"/>
    </xf>
    <xf numFmtId="0" fontId="0" fillId="0" borderId="1" xfId="0" applyBorder="1" applyAlignment="1">
      <alignment vertical="top" wrapText="1"/>
    </xf>
    <xf numFmtId="0" fontId="0" fillId="0" borderId="2" xfId="0" applyBorder="1" applyAlignment="1">
      <alignment vertical="top" wrapText="1"/>
    </xf>
    <xf numFmtId="0" fontId="2" fillId="0" borderId="0" xfId="0" applyFont="1" applyAlignment="1">
      <alignment horizontal="center" vertical="top" wrapText="1"/>
    </xf>
    <xf numFmtId="0" fontId="0" fillId="0" borderId="0" xfId="0" applyAlignment="1">
      <alignment horizontal="center" vertical="top" wrapText="1"/>
    </xf>
    <xf numFmtId="0" fontId="0" fillId="0" borderId="2" xfId="0" applyBorder="1" applyAlignment="1">
      <alignment horizontal="center" vertical="top" wrapText="1"/>
    </xf>
    <xf numFmtId="0" fontId="0" fillId="0" borderId="3" xfId="0" applyBorder="1" applyAlignment="1">
      <alignment horizontal="center" vertical="top" wrapText="1"/>
    </xf>
    <xf numFmtId="0" fontId="10" fillId="0" borderId="4" xfId="0" applyFont="1" applyBorder="1" applyAlignment="1" applyProtection="1">
      <alignment horizontal="center" vertical="center" wrapText="1"/>
      <protection locked="0"/>
    </xf>
    <xf numFmtId="0" fontId="10" fillId="0" borderId="0" xfId="0" applyFont="1" applyAlignment="1" applyProtection="1">
      <alignment horizontal="center" vertical="center"/>
      <protection locked="0"/>
    </xf>
    <xf numFmtId="0" fontId="8" fillId="0" borderId="5" xfId="1" applyFont="1" applyBorder="1" applyAlignment="1" applyProtection="1">
      <alignment horizontal="center" vertical="center" wrapText="1"/>
      <protection locked="0"/>
    </xf>
    <xf numFmtId="0" fontId="8" fillId="0" borderId="4" xfId="0" applyFont="1" applyBorder="1" applyAlignment="1" applyProtection="1">
      <alignment horizontal="center" vertical="center" wrapText="1"/>
      <protection locked="0"/>
    </xf>
    <xf numFmtId="0" fontId="9" fillId="0" borderId="4" xfId="0" applyFont="1" applyBorder="1" applyAlignment="1" applyProtection="1">
      <alignment horizontal="center" vertical="center"/>
      <protection locked="0"/>
    </xf>
    <xf numFmtId="0" fontId="4" fillId="0" borderId="0" xfId="0" applyFont="1" applyProtection="1">
      <protection locked="0"/>
    </xf>
    <xf numFmtId="0" fontId="10" fillId="0" borderId="0" xfId="0" applyFont="1" applyAlignment="1" applyProtection="1">
      <alignment horizontal="center" vertical="center" wrapText="1"/>
      <protection locked="0"/>
    </xf>
    <xf numFmtId="0" fontId="4" fillId="0" borderId="0" xfId="0" applyFont="1" applyAlignment="1" applyProtection="1">
      <alignment horizontal="right"/>
      <protection locked="0"/>
    </xf>
    <xf numFmtId="0" fontId="8" fillId="0" borderId="0" xfId="0" applyFont="1" applyAlignment="1" applyProtection="1">
      <alignment horizontal="center"/>
      <protection locked="0"/>
    </xf>
    <xf numFmtId="0" fontId="4" fillId="0" borderId="0" xfId="0" applyFont="1" applyAlignment="1" applyProtection="1">
      <alignment horizontal="center"/>
      <protection locked="0"/>
    </xf>
    <xf numFmtId="2" fontId="4" fillId="0" borderId="10" xfId="0" applyNumberFormat="1" applyFont="1" applyBorder="1" applyAlignment="1" applyProtection="1">
      <alignment horizontal="center" vertical="center"/>
      <protection locked="0"/>
    </xf>
    <xf numFmtId="165" fontId="4" fillId="0" borderId="10" xfId="0" applyNumberFormat="1" applyFont="1" applyBorder="1" applyAlignment="1" applyProtection="1">
      <alignment horizontal="center" vertical="center"/>
      <protection locked="0"/>
    </xf>
    <xf numFmtId="0" fontId="4" fillId="0" borderId="4" xfId="0" applyFont="1" applyBorder="1" applyAlignment="1" applyProtection="1">
      <alignment horizontal="center" vertical="center"/>
      <protection locked="0"/>
    </xf>
    <xf numFmtId="0" fontId="4" fillId="0" borderId="8" xfId="0" applyFont="1" applyBorder="1" applyAlignment="1" applyProtection="1">
      <alignment horizontal="center" vertical="center"/>
      <protection locked="0"/>
    </xf>
    <xf numFmtId="0" fontId="4" fillId="0" borderId="10" xfId="0" applyFont="1" applyBorder="1" applyAlignment="1" applyProtection="1">
      <alignment horizontal="center" vertical="center" wrapText="1"/>
      <protection locked="0"/>
    </xf>
    <xf numFmtId="0" fontId="10" fillId="0" borderId="0" xfId="0" applyFont="1" applyAlignment="1" applyProtection="1">
      <alignment horizontal="center" wrapText="1"/>
      <protection locked="0"/>
    </xf>
    <xf numFmtId="0" fontId="4" fillId="0" borderId="0" xfId="1" applyFont="1" applyProtection="1">
      <protection locked="0"/>
    </xf>
    <xf numFmtId="0" fontId="4" fillId="3" borderId="0" xfId="0" applyFont="1" applyFill="1" applyProtection="1">
      <protection locked="0"/>
    </xf>
    <xf numFmtId="0" fontId="4" fillId="4" borderId="0" xfId="0" applyFont="1" applyFill="1" applyProtection="1">
      <protection locked="0"/>
    </xf>
    <xf numFmtId="2" fontId="4" fillId="0" borderId="0" xfId="0" applyNumberFormat="1" applyFont="1" applyAlignment="1" applyProtection="1">
      <alignment vertical="center"/>
      <protection locked="0"/>
    </xf>
    <xf numFmtId="0" fontId="8" fillId="0" borderId="0" xfId="0" applyFont="1" applyProtection="1">
      <protection locked="0"/>
    </xf>
    <xf numFmtId="172" fontId="4" fillId="0" borderId="10" xfId="0" applyNumberFormat="1" applyFont="1" applyBorder="1" applyAlignment="1" applyProtection="1">
      <alignment horizontal="center" vertical="center"/>
      <protection locked="0"/>
    </xf>
    <xf numFmtId="164" fontId="4" fillId="0" borderId="11" xfId="0" applyNumberFormat="1" applyFont="1" applyBorder="1" applyAlignment="1" applyProtection="1">
      <alignment horizontal="center" vertical="center"/>
      <protection locked="0"/>
    </xf>
    <xf numFmtId="164" fontId="4" fillId="0" borderId="10" xfId="0" applyNumberFormat="1" applyFont="1" applyBorder="1" applyAlignment="1" applyProtection="1">
      <alignment horizontal="center" vertical="center"/>
      <protection locked="0"/>
    </xf>
    <xf numFmtId="0" fontId="4" fillId="0" borderId="6" xfId="0" applyFont="1" applyBorder="1" applyAlignment="1" applyProtection="1">
      <alignment horizontal="center" vertical="center"/>
      <protection locked="0"/>
    </xf>
    <xf numFmtId="0" fontId="4" fillId="0" borderId="10" xfId="0" applyFont="1" applyBorder="1" applyAlignment="1" applyProtection="1">
      <alignment horizontal="center" vertical="center"/>
      <protection locked="0"/>
    </xf>
    <xf numFmtId="0" fontId="4" fillId="0" borderId="7" xfId="0" applyFont="1" applyBorder="1" applyProtection="1">
      <protection locked="0"/>
    </xf>
    <xf numFmtId="0" fontId="4" fillId="0" borderId="8" xfId="0" applyFont="1" applyBorder="1" applyProtection="1">
      <protection locked="0"/>
    </xf>
    <xf numFmtId="170" fontId="4" fillId="0" borderId="10" xfId="0" applyNumberFormat="1" applyFont="1" applyBorder="1" applyAlignment="1" applyProtection="1">
      <alignment horizontal="center" vertical="center"/>
      <protection locked="0"/>
    </xf>
    <xf numFmtId="0" fontId="9" fillId="0" borderId="0" xfId="0" applyFont="1" applyAlignment="1" applyProtection="1">
      <alignment horizontal="center" vertical="center"/>
      <protection locked="0"/>
    </xf>
    <xf numFmtId="0" fontId="3" fillId="0" borderId="0" xfId="0" applyFont="1" applyProtection="1">
      <protection locked="0"/>
    </xf>
    <xf numFmtId="49" fontId="9" fillId="0" borderId="0" xfId="0" applyNumberFormat="1" applyFont="1" applyAlignment="1" applyProtection="1">
      <alignment horizontal="center" vertical="center"/>
      <protection locked="0"/>
    </xf>
    <xf numFmtId="0" fontId="11" fillId="0" borderId="4" xfId="0" applyFont="1" applyBorder="1" applyAlignment="1" applyProtection="1">
      <alignment horizontal="center" vertical="center" wrapText="1"/>
      <protection locked="0"/>
    </xf>
    <xf numFmtId="167" fontId="9" fillId="0" borderId="4" xfId="0" applyNumberFormat="1" applyFont="1" applyBorder="1" applyAlignment="1" applyProtection="1">
      <alignment horizontal="center" vertical="center"/>
      <protection locked="0"/>
    </xf>
    <xf numFmtId="0" fontId="4" fillId="0" borderId="5" xfId="0" applyFont="1" applyBorder="1" applyAlignment="1" applyProtection="1">
      <alignment horizontal="center" vertical="center" wrapText="1"/>
      <protection locked="0"/>
    </xf>
    <xf numFmtId="167" fontId="4" fillId="0" borderId="5" xfId="0" applyNumberFormat="1" applyFont="1" applyBorder="1" applyAlignment="1" applyProtection="1">
      <alignment horizontal="center"/>
      <protection locked="0"/>
    </xf>
    <xf numFmtId="0" fontId="4" fillId="0" borderId="4" xfId="0" applyFont="1" applyBorder="1" applyAlignment="1" applyProtection="1">
      <alignment horizontal="center" vertical="center" wrapText="1"/>
      <protection locked="0"/>
    </xf>
    <xf numFmtId="0" fontId="3" fillId="0" borderId="4" xfId="0" applyFont="1" applyBorder="1" applyProtection="1">
      <protection locked="0"/>
    </xf>
    <xf numFmtId="166" fontId="12" fillId="0" borderId="4" xfId="0" applyNumberFormat="1" applyFont="1" applyBorder="1" applyAlignment="1" applyProtection="1">
      <alignment horizontal="center" vertical="center"/>
      <protection locked="0"/>
    </xf>
    <xf numFmtId="0" fontId="8" fillId="0" borderId="5" xfId="0" applyFont="1" applyBorder="1" applyAlignment="1" applyProtection="1">
      <alignment horizontal="center" vertical="center" wrapText="1"/>
      <protection locked="0"/>
    </xf>
    <xf numFmtId="0" fontId="4" fillId="0" borderId="10" xfId="0" applyFont="1" applyBorder="1" applyProtection="1">
      <protection locked="0"/>
    </xf>
    <xf numFmtId="0" fontId="4" fillId="0" borderId="5" xfId="0" applyFont="1" applyBorder="1" applyAlignment="1" applyProtection="1">
      <alignment horizontal="center" vertical="center"/>
      <protection locked="0"/>
    </xf>
    <xf numFmtId="167" fontId="4" fillId="0" borderId="10" xfId="0" applyNumberFormat="1" applyFont="1" applyBorder="1" applyAlignment="1" applyProtection="1">
      <alignment horizontal="center"/>
      <protection locked="0"/>
    </xf>
    <xf numFmtId="0" fontId="8" fillId="0" borderId="4" xfId="0" applyFont="1" applyBorder="1" applyAlignment="1" applyProtection="1">
      <alignment horizontal="center" vertical="center"/>
      <protection locked="0"/>
    </xf>
    <xf numFmtId="0" fontId="3" fillId="0" borderId="4" xfId="0" applyFont="1" applyBorder="1" applyAlignment="1" applyProtection="1">
      <alignment horizontal="center" vertical="center"/>
      <protection locked="0"/>
    </xf>
    <xf numFmtId="167" fontId="4" fillId="0" borderId="5" xfId="0" applyNumberFormat="1" applyFont="1" applyBorder="1" applyAlignment="1" applyProtection="1">
      <alignment horizontal="center" vertical="center"/>
      <protection locked="0"/>
    </xf>
    <xf numFmtId="0" fontId="4" fillId="0" borderId="0" xfId="0" applyFont="1" applyAlignment="1" applyProtection="1">
      <alignment horizontal="center" vertical="center" wrapText="1"/>
      <protection locked="0"/>
    </xf>
    <xf numFmtId="0" fontId="10" fillId="0" borderId="0" xfId="0" applyFont="1" applyAlignment="1" applyProtection="1">
      <alignment vertical="top" wrapText="1"/>
      <protection locked="0"/>
    </xf>
    <xf numFmtId="0" fontId="10" fillId="0" borderId="0" xfId="0" applyFont="1" applyAlignment="1" applyProtection="1">
      <alignment horizontal="center" vertical="top" wrapText="1"/>
      <protection locked="0"/>
    </xf>
    <xf numFmtId="166" fontId="4" fillId="2" borderId="4" xfId="0" applyNumberFormat="1" applyFont="1" applyFill="1" applyBorder="1" applyAlignment="1">
      <alignment horizontal="center" vertical="center"/>
    </xf>
    <xf numFmtId="170" fontId="4" fillId="0" borderId="10" xfId="0" applyNumberFormat="1" applyFont="1" applyBorder="1" applyAlignment="1" applyProtection="1">
      <alignment vertical="center"/>
      <protection locked="0"/>
    </xf>
    <xf numFmtId="166" fontId="4" fillId="0" borderId="10" xfId="0" applyNumberFormat="1" applyFont="1" applyBorder="1" applyAlignment="1" applyProtection="1">
      <alignment horizontal="center" vertical="center"/>
      <protection locked="0"/>
    </xf>
    <xf numFmtId="170" fontId="4" fillId="0" borderId="8" xfId="0" applyNumberFormat="1" applyFont="1" applyBorder="1" applyAlignment="1" applyProtection="1">
      <alignment vertical="center"/>
      <protection locked="0"/>
    </xf>
    <xf numFmtId="0" fontId="4" fillId="0" borderId="8" xfId="0" applyFont="1" applyBorder="1" applyAlignment="1" applyProtection="1">
      <alignment horizontal="center" vertical="center" wrapText="1"/>
      <protection locked="0"/>
    </xf>
    <xf numFmtId="166" fontId="4" fillId="0" borderId="8" xfId="0" applyNumberFormat="1" applyFont="1" applyBorder="1" applyAlignment="1" applyProtection="1">
      <alignment horizontal="center" vertical="center"/>
      <protection locked="0"/>
    </xf>
    <xf numFmtId="2" fontId="4" fillId="0" borderId="8" xfId="0" applyNumberFormat="1" applyFont="1" applyBorder="1" applyAlignment="1" applyProtection="1">
      <alignment horizontal="center" vertical="center"/>
      <protection locked="0"/>
    </xf>
    <xf numFmtId="2" fontId="9" fillId="2" borderId="4" xfId="0" applyNumberFormat="1" applyFont="1" applyFill="1" applyBorder="1" applyAlignment="1">
      <alignment horizontal="center" vertical="center"/>
    </xf>
    <xf numFmtId="168" fontId="9" fillId="2" borderId="4" xfId="0" applyNumberFormat="1" applyFont="1" applyFill="1" applyBorder="1" applyAlignment="1">
      <alignment horizontal="center" vertical="center"/>
    </xf>
    <xf numFmtId="166" fontId="4" fillId="0" borderId="0" xfId="0" applyNumberFormat="1" applyFont="1" applyAlignment="1" applyProtection="1">
      <alignment horizontal="center" vertical="top" wrapText="1"/>
      <protection locked="0"/>
    </xf>
    <xf numFmtId="166" fontId="4" fillId="0" borderId="4" xfId="0" applyNumberFormat="1" applyFont="1" applyBorder="1" applyAlignment="1" applyProtection="1">
      <alignment horizontal="center" vertical="top" wrapText="1"/>
      <protection locked="0"/>
    </xf>
    <xf numFmtId="166" fontId="4" fillId="2" borderId="5" xfId="0" applyNumberFormat="1" applyFont="1" applyFill="1" applyBorder="1" applyAlignment="1">
      <alignment horizontal="center" vertical="center"/>
    </xf>
    <xf numFmtId="166" fontId="8" fillId="2" borderId="4" xfId="0" applyNumberFormat="1" applyFont="1" applyFill="1" applyBorder="1" applyAlignment="1">
      <alignment horizontal="center" vertical="top"/>
    </xf>
    <xf numFmtId="2" fontId="4" fillId="2" borderId="4" xfId="0" applyNumberFormat="1" applyFont="1" applyFill="1" applyBorder="1" applyAlignment="1">
      <alignment horizontal="center" vertical="center"/>
    </xf>
    <xf numFmtId="168" fontId="4" fillId="2" borderId="4" xfId="0" applyNumberFormat="1" applyFont="1" applyFill="1" applyBorder="1" applyAlignment="1">
      <alignment horizontal="center" vertical="center"/>
    </xf>
    <xf numFmtId="168" fontId="8" fillId="2" borderId="5" xfId="0" applyNumberFormat="1" applyFont="1" applyFill="1" applyBorder="1" applyAlignment="1">
      <alignment horizontal="center" vertical="center"/>
    </xf>
    <xf numFmtId="2" fontId="8" fillId="2" borderId="4" xfId="0" applyNumberFormat="1" applyFont="1" applyFill="1" applyBorder="1" applyAlignment="1">
      <alignment horizontal="center" vertical="center"/>
    </xf>
    <xf numFmtId="2" fontId="8" fillId="2" borderId="5" xfId="0" applyNumberFormat="1" applyFont="1" applyFill="1" applyBorder="1" applyAlignment="1">
      <alignment horizontal="center" vertical="center"/>
    </xf>
    <xf numFmtId="168" fontId="8" fillId="2" borderId="15" xfId="0" applyNumberFormat="1" applyFont="1" applyFill="1" applyBorder="1" applyAlignment="1">
      <alignment horizontal="center" vertical="center"/>
    </xf>
    <xf numFmtId="2" fontId="8" fillId="2" borderId="4" xfId="0" applyNumberFormat="1" applyFont="1" applyFill="1" applyBorder="1" applyAlignment="1" applyProtection="1">
      <alignment horizontal="center" vertical="center"/>
      <protection locked="0"/>
    </xf>
    <xf numFmtId="166" fontId="8" fillId="0" borderId="16" xfId="0" applyNumberFormat="1" applyFont="1" applyBorder="1" applyAlignment="1">
      <alignment vertical="center"/>
    </xf>
    <xf numFmtId="166" fontId="8" fillId="0" borderId="0" xfId="0" applyNumberFormat="1" applyFont="1" applyAlignment="1">
      <alignment vertical="center"/>
    </xf>
    <xf numFmtId="168" fontId="8" fillId="0" borderId="0" xfId="0" applyNumberFormat="1" applyFont="1" applyAlignment="1">
      <alignment vertical="center"/>
    </xf>
    <xf numFmtId="0" fontId="9" fillId="0" borderId="4" xfId="0" applyFont="1" applyBorder="1" applyAlignment="1">
      <alignment horizontal="center" vertical="center"/>
    </xf>
    <xf numFmtId="166" fontId="9" fillId="0" borderId="4" xfId="0" applyNumberFormat="1" applyFont="1" applyBorder="1" applyAlignment="1" applyProtection="1">
      <alignment horizontal="center" vertical="center"/>
      <protection locked="0"/>
    </xf>
    <xf numFmtId="2" fontId="9" fillId="0" borderId="4" xfId="0" applyNumberFormat="1" applyFont="1" applyBorder="1" applyAlignment="1">
      <alignment horizontal="center" vertical="center"/>
    </xf>
    <xf numFmtId="168" fontId="9" fillId="0" borderId="4" xfId="0" applyNumberFormat="1" applyFont="1" applyBorder="1" applyAlignment="1">
      <alignment horizontal="center" vertical="center"/>
    </xf>
    <xf numFmtId="165" fontId="9" fillId="0" borderId="4" xfId="0" applyNumberFormat="1" applyFont="1" applyBorder="1" applyAlignment="1">
      <alignment horizontal="center" vertical="center"/>
    </xf>
    <xf numFmtId="0" fontId="9" fillId="0" borderId="4" xfId="0" applyFont="1" applyBorder="1" applyAlignment="1" applyProtection="1">
      <alignment horizontal="center" vertical="center" wrapText="1"/>
      <protection locked="0"/>
    </xf>
    <xf numFmtId="168" fontId="12" fillId="0" borderId="4" xfId="0" applyNumberFormat="1" applyFont="1" applyBorder="1" applyAlignment="1">
      <alignment horizontal="center" vertical="center"/>
    </xf>
    <xf numFmtId="166" fontId="12" fillId="0" borderId="4" xfId="0" applyNumberFormat="1" applyFont="1" applyBorder="1" applyAlignment="1">
      <alignment horizontal="center" vertical="center"/>
    </xf>
    <xf numFmtId="172" fontId="4" fillId="0" borderId="10" xfId="0" applyNumberFormat="1" applyFont="1" applyBorder="1" applyAlignment="1" applyProtection="1">
      <alignment vertical="center"/>
      <protection locked="0"/>
    </xf>
    <xf numFmtId="164" fontId="4" fillId="0" borderId="10" xfId="0" applyNumberFormat="1" applyFont="1" applyBorder="1" applyAlignment="1" applyProtection="1">
      <alignment vertical="center"/>
      <protection locked="0"/>
    </xf>
    <xf numFmtId="0" fontId="4" fillId="0" borderId="9" xfId="0" applyFont="1" applyBorder="1" applyAlignment="1" applyProtection="1">
      <alignment horizontal="center" vertical="center"/>
      <protection locked="0"/>
    </xf>
    <xf numFmtId="172" fontId="4" fillId="0" borderId="8" xfId="0" applyNumberFormat="1" applyFont="1" applyBorder="1" applyAlignment="1" applyProtection="1">
      <alignment vertical="center"/>
      <protection locked="0"/>
    </xf>
    <xf numFmtId="164" fontId="4" fillId="0" borderId="8" xfId="0" applyNumberFormat="1" applyFont="1" applyBorder="1" applyAlignment="1" applyProtection="1">
      <alignment vertical="center"/>
      <protection locked="0"/>
    </xf>
    <xf numFmtId="0" fontId="4" fillId="0" borderId="13" xfId="0" applyFont="1" applyBorder="1" applyProtection="1">
      <protection locked="0"/>
    </xf>
    <xf numFmtId="0" fontId="4" fillId="0" borderId="0" xfId="0" applyFont="1" applyAlignment="1" applyProtection="1">
      <alignment horizontal="center" vertical="center"/>
      <protection locked="0"/>
    </xf>
    <xf numFmtId="0" fontId="4" fillId="0" borderId="0" xfId="0" applyFont="1" applyAlignment="1" applyProtection="1">
      <alignment vertical="center"/>
      <protection locked="0"/>
    </xf>
    <xf numFmtId="0" fontId="4" fillId="0" borderId="11" xfId="0" applyFont="1" applyBorder="1" applyAlignment="1" applyProtection="1">
      <alignment horizontal="center" vertical="center"/>
      <protection locked="0"/>
    </xf>
    <xf numFmtId="167" fontId="8" fillId="2" borderId="11" xfId="0" applyNumberFormat="1" applyFont="1" applyFill="1" applyBorder="1" applyAlignment="1">
      <alignment horizontal="center" vertical="center"/>
    </xf>
    <xf numFmtId="0" fontId="8" fillId="0" borderId="4" xfId="1" applyFont="1" applyBorder="1" applyAlignment="1" applyProtection="1">
      <alignment horizontal="center" vertical="center" wrapText="1"/>
      <protection locked="0"/>
    </xf>
    <xf numFmtId="167" fontId="8" fillId="2" borderId="4" xfId="0" applyNumberFormat="1" applyFont="1" applyFill="1" applyBorder="1" applyAlignment="1">
      <alignment horizontal="center" vertical="center"/>
    </xf>
    <xf numFmtId="167" fontId="8" fillId="2" borderId="5" xfId="0" applyNumberFormat="1" applyFont="1" applyFill="1" applyBorder="1" applyAlignment="1">
      <alignment horizontal="center" vertical="center"/>
    </xf>
    <xf numFmtId="167" fontId="8" fillId="2" borderId="10" xfId="0" applyNumberFormat="1" applyFont="1" applyFill="1" applyBorder="1" applyAlignment="1">
      <alignment horizontal="center" vertical="center"/>
    </xf>
    <xf numFmtId="167" fontId="8" fillId="2" borderId="8" xfId="0" applyNumberFormat="1" applyFont="1" applyFill="1" applyBorder="1" applyAlignment="1">
      <alignment horizontal="center" vertical="center"/>
    </xf>
    <xf numFmtId="0" fontId="16" fillId="0" borderId="0" xfId="0" applyFont="1" applyAlignment="1" applyProtection="1">
      <alignment horizontal="center" vertical="center"/>
      <protection locked="0"/>
    </xf>
    <xf numFmtId="0" fontId="16" fillId="8" borderId="4" xfId="0" applyFont="1" applyFill="1" applyBorder="1" applyAlignment="1" applyProtection="1">
      <alignment horizontal="center" vertical="center" wrapText="1"/>
      <protection locked="0"/>
    </xf>
    <xf numFmtId="0" fontId="16" fillId="0" borderId="4" xfId="0" applyFont="1" applyBorder="1" applyAlignment="1" applyProtection="1">
      <alignment horizontal="center" vertical="center" wrapText="1"/>
      <protection locked="0"/>
    </xf>
    <xf numFmtId="2" fontId="16" fillId="2" borderId="4" xfId="0" applyNumberFormat="1" applyFont="1" applyFill="1" applyBorder="1" applyAlignment="1">
      <alignment horizontal="center" vertical="center"/>
    </xf>
    <xf numFmtId="0" fontId="16" fillId="0" borderId="4" xfId="0" applyFont="1" applyBorder="1" applyAlignment="1" applyProtection="1">
      <alignment horizontal="center" vertical="center"/>
      <protection locked="0"/>
    </xf>
    <xf numFmtId="0" fontId="17" fillId="0" borderId="4" xfId="0" applyFont="1" applyBorder="1" applyAlignment="1" applyProtection="1">
      <alignment horizontal="center" vertical="center"/>
      <protection locked="0"/>
    </xf>
    <xf numFmtId="1" fontId="17" fillId="0" borderId="4" xfId="0" applyNumberFormat="1" applyFont="1" applyBorder="1" applyAlignment="1" applyProtection="1">
      <alignment horizontal="center" vertical="center"/>
      <protection locked="0"/>
    </xf>
    <xf numFmtId="0" fontId="18" fillId="0" borderId="0" xfId="0" applyFont="1" applyAlignment="1" applyProtection="1">
      <alignment horizontal="center" vertical="center"/>
      <protection locked="0"/>
    </xf>
    <xf numFmtId="49" fontId="4" fillId="0" borderId="14" xfId="0" applyNumberFormat="1" applyFont="1" applyBorder="1" applyAlignment="1" applyProtection="1">
      <alignment horizontal="center" vertical="center"/>
      <protection locked="0"/>
    </xf>
    <xf numFmtId="49" fontId="4" fillId="0" borderId="4" xfId="0" applyNumberFormat="1" applyFont="1" applyBorder="1" applyAlignment="1" applyProtection="1">
      <alignment horizontal="center" vertical="center"/>
      <protection locked="0"/>
    </xf>
    <xf numFmtId="49" fontId="4" fillId="0" borderId="9" xfId="0" applyNumberFormat="1" applyFont="1" applyBorder="1" applyAlignment="1" applyProtection="1">
      <alignment horizontal="center" vertical="center"/>
      <protection locked="0"/>
    </xf>
    <xf numFmtId="0" fontId="13" fillId="0" borderId="4" xfId="0" applyFont="1" applyBorder="1" applyAlignment="1" applyProtection="1">
      <alignment horizontal="center" vertical="center" wrapText="1"/>
      <protection locked="0"/>
    </xf>
    <xf numFmtId="0" fontId="8" fillId="9" borderId="4" xfId="0" applyFont="1" applyFill="1" applyBorder="1" applyAlignment="1" applyProtection="1">
      <alignment horizontal="center" vertical="center" wrapText="1"/>
      <protection locked="0"/>
    </xf>
    <xf numFmtId="0" fontId="4" fillId="0" borderId="4" xfId="0" applyFont="1" applyBorder="1" applyProtection="1">
      <protection locked="0"/>
    </xf>
    <xf numFmtId="0" fontId="28" fillId="0" borderId="17" xfId="0" applyFont="1" applyBorder="1" applyAlignment="1" applyProtection="1">
      <alignment wrapText="1"/>
      <protection locked="0"/>
    </xf>
    <xf numFmtId="0" fontId="28" fillId="0" borderId="7" xfId="0" applyFont="1" applyBorder="1" applyProtection="1">
      <protection locked="0"/>
    </xf>
    <xf numFmtId="0" fontId="28" fillId="0" borderId="13" xfId="0" applyFont="1" applyBorder="1" applyProtection="1">
      <protection locked="0"/>
    </xf>
    <xf numFmtId="0" fontId="28" fillId="0" borderId="13" xfId="0" applyFont="1" applyBorder="1" applyAlignment="1" applyProtection="1">
      <alignment wrapText="1"/>
      <protection locked="0"/>
    </xf>
    <xf numFmtId="1" fontId="8" fillId="2" borderId="4" xfId="0" applyNumberFormat="1" applyFont="1" applyFill="1" applyBorder="1" applyAlignment="1">
      <alignment horizontal="center" vertical="top"/>
    </xf>
    <xf numFmtId="1" fontId="8" fillId="2" borderId="4" xfId="0" applyNumberFormat="1" applyFont="1" applyFill="1" applyBorder="1" applyAlignment="1">
      <alignment horizontal="center" vertical="center"/>
    </xf>
    <xf numFmtId="166" fontId="8" fillId="2" borderId="4" xfId="0" applyNumberFormat="1" applyFont="1" applyFill="1" applyBorder="1" applyAlignment="1">
      <alignment horizontal="center" vertical="center"/>
    </xf>
    <xf numFmtId="0" fontId="8" fillId="0" borderId="0" xfId="0" applyFont="1" applyAlignment="1" applyProtection="1">
      <alignment horizontal="center" vertical="center"/>
      <protection locked="0"/>
    </xf>
    <xf numFmtId="164" fontId="4" fillId="2" borderId="8" xfId="0" applyNumberFormat="1" applyFont="1" applyFill="1" applyBorder="1" applyAlignment="1">
      <alignment horizontal="center" vertical="center"/>
    </xf>
    <xf numFmtId="1" fontId="9" fillId="5" borderId="4" xfId="0" applyNumberFormat="1" applyFont="1" applyFill="1" applyBorder="1" applyAlignment="1" applyProtection="1">
      <alignment horizontal="center" vertical="center"/>
      <protection locked="0"/>
    </xf>
    <xf numFmtId="0" fontId="9" fillId="5" borderId="4" xfId="0" applyFont="1" applyFill="1" applyBorder="1" applyAlignment="1" applyProtection="1">
      <alignment horizontal="center" vertical="center"/>
      <protection locked="0"/>
    </xf>
    <xf numFmtId="2" fontId="8" fillId="0" borderId="4" xfId="0" applyNumberFormat="1" applyFont="1" applyBorder="1" applyAlignment="1" applyProtection="1">
      <alignment horizontal="center" vertical="center" wrapText="1"/>
      <protection locked="0"/>
    </xf>
    <xf numFmtId="167" fontId="8" fillId="7" borderId="4" xfId="0" applyNumberFormat="1" applyFont="1" applyFill="1" applyBorder="1" applyAlignment="1">
      <alignment horizontal="center" vertical="center"/>
    </xf>
    <xf numFmtId="0" fontId="29" fillId="0" borderId="0" xfId="0" applyFont="1" applyAlignment="1" applyProtection="1">
      <alignment horizontal="center" vertical="center"/>
      <protection locked="0"/>
    </xf>
    <xf numFmtId="0" fontId="12" fillId="0" borderId="0" xfId="0" applyFont="1" applyAlignment="1" applyProtection="1">
      <alignment horizontal="center" vertical="center"/>
      <protection locked="0"/>
    </xf>
    <xf numFmtId="49" fontId="10" fillId="0" borderId="4" xfId="0" applyNumberFormat="1" applyFont="1" applyBorder="1" applyAlignment="1" applyProtection="1">
      <alignment horizontal="center" vertical="center" wrapText="1"/>
      <protection locked="0"/>
    </xf>
    <xf numFmtId="0" fontId="29" fillId="0" borderId="4" xfId="0" applyFont="1" applyBorder="1" applyAlignment="1" applyProtection="1">
      <alignment horizontal="center" vertical="center"/>
      <protection locked="0"/>
    </xf>
    <xf numFmtId="0" fontId="12" fillId="0" borderId="4" xfId="0" applyFont="1" applyBorder="1" applyAlignment="1" applyProtection="1">
      <alignment horizontal="center" vertical="center"/>
      <protection locked="0"/>
    </xf>
    <xf numFmtId="2" fontId="9" fillId="0" borderId="4" xfId="0" applyNumberFormat="1" applyFont="1" applyBorder="1" applyAlignment="1" applyProtection="1">
      <alignment horizontal="center" vertical="center" wrapText="1"/>
      <protection locked="0"/>
    </xf>
    <xf numFmtId="2" fontId="9" fillId="0" borderId="4" xfId="0" applyNumberFormat="1" applyFont="1" applyBorder="1" applyAlignment="1" applyProtection="1">
      <alignment horizontal="center" vertical="center"/>
      <protection locked="0"/>
    </xf>
    <xf numFmtId="167" fontId="9" fillId="2" borderId="4" xfId="0" applyNumberFormat="1" applyFont="1" applyFill="1" applyBorder="1" applyAlignment="1">
      <alignment horizontal="center" vertical="center"/>
    </xf>
    <xf numFmtId="0" fontId="9" fillId="2" borderId="4" xfId="0" applyFont="1" applyFill="1" applyBorder="1" applyAlignment="1">
      <alignment horizontal="center" vertical="center"/>
    </xf>
    <xf numFmtId="165" fontId="9" fillId="2" borderId="4" xfId="0" applyNumberFormat="1" applyFont="1" applyFill="1" applyBorder="1" applyAlignment="1">
      <alignment horizontal="center" vertical="center"/>
    </xf>
    <xf numFmtId="166" fontId="9" fillId="2" borderId="4" xfId="0" applyNumberFormat="1" applyFont="1" applyFill="1" applyBorder="1" applyAlignment="1">
      <alignment horizontal="center" vertical="center"/>
    </xf>
    <xf numFmtId="165" fontId="12" fillId="2" borderId="4" xfId="0" applyNumberFormat="1" applyFont="1" applyFill="1" applyBorder="1" applyAlignment="1">
      <alignment horizontal="center" vertical="center" wrapText="1"/>
    </xf>
    <xf numFmtId="166" fontId="12" fillId="2" borderId="4" xfId="0" applyNumberFormat="1" applyFont="1" applyFill="1" applyBorder="1" applyAlignment="1">
      <alignment horizontal="center" vertical="center"/>
    </xf>
    <xf numFmtId="166" fontId="12" fillId="2" borderId="4" xfId="0" applyNumberFormat="1" applyFont="1" applyFill="1" applyBorder="1" applyAlignment="1">
      <alignment horizontal="center" vertical="center" wrapText="1"/>
    </xf>
    <xf numFmtId="2" fontId="12" fillId="2" borderId="4" xfId="0" applyNumberFormat="1" applyFont="1" applyFill="1" applyBorder="1" applyAlignment="1">
      <alignment horizontal="center" vertical="center"/>
    </xf>
    <xf numFmtId="166" fontId="9" fillId="10" borderId="4" xfId="0" applyNumberFormat="1" applyFont="1" applyFill="1" applyBorder="1" applyAlignment="1">
      <alignment horizontal="center" vertical="center"/>
    </xf>
    <xf numFmtId="167" fontId="9" fillId="10" borderId="4" xfId="0" applyNumberFormat="1" applyFont="1" applyFill="1" applyBorder="1" applyAlignment="1">
      <alignment horizontal="center" vertical="center"/>
    </xf>
    <xf numFmtId="1" fontId="9" fillId="10" borderId="4" xfId="0" applyNumberFormat="1" applyFont="1" applyFill="1" applyBorder="1" applyAlignment="1">
      <alignment horizontal="center" vertical="center"/>
    </xf>
    <xf numFmtId="2" fontId="9" fillId="10" borderId="4" xfId="0" applyNumberFormat="1" applyFont="1" applyFill="1" applyBorder="1" applyAlignment="1">
      <alignment horizontal="center" vertical="center"/>
    </xf>
    <xf numFmtId="0" fontId="9" fillId="0" borderId="6" xfId="0" applyFont="1" applyBorder="1" applyAlignment="1" applyProtection="1">
      <alignment horizontal="center" vertical="center"/>
      <protection locked="0"/>
    </xf>
    <xf numFmtId="165" fontId="9" fillId="2" borderId="7" xfId="0" applyNumberFormat="1" applyFont="1" applyFill="1" applyBorder="1" applyAlignment="1">
      <alignment horizontal="center" vertical="center"/>
    </xf>
    <xf numFmtId="0" fontId="12" fillId="0" borderId="5" xfId="0" applyFont="1" applyBorder="1" applyAlignment="1" applyProtection="1">
      <alignment horizontal="center" vertical="center"/>
      <protection locked="0"/>
    </xf>
    <xf numFmtId="167" fontId="9" fillId="2" borderId="5" xfId="0" applyNumberFormat="1" applyFont="1" applyFill="1" applyBorder="1" applyAlignment="1">
      <alignment horizontal="center" vertical="center"/>
    </xf>
    <xf numFmtId="2" fontId="9" fillId="2" borderId="5" xfId="0" applyNumberFormat="1" applyFont="1" applyFill="1" applyBorder="1" applyAlignment="1">
      <alignment horizontal="center" vertical="center"/>
    </xf>
    <xf numFmtId="0" fontId="29" fillId="0" borderId="14" xfId="0" applyFont="1" applyBorder="1" applyAlignment="1" applyProtection="1">
      <alignment horizontal="center" vertical="center"/>
      <protection locked="0"/>
    </xf>
    <xf numFmtId="0" fontId="29" fillId="0" borderId="17" xfId="0" applyFont="1" applyBorder="1" applyAlignment="1" applyProtection="1">
      <alignment horizontal="center" vertical="center"/>
      <protection locked="0"/>
    </xf>
    <xf numFmtId="0" fontId="29" fillId="0" borderId="5" xfId="0" applyFont="1" applyBorder="1" applyAlignment="1" applyProtection="1">
      <alignment horizontal="center" vertical="center"/>
      <protection locked="0"/>
    </xf>
    <xf numFmtId="0" fontId="17" fillId="0" borderId="0" xfId="0" applyFont="1" applyAlignment="1" applyProtection="1">
      <alignment horizontal="center" vertical="center"/>
      <protection locked="0"/>
    </xf>
    <xf numFmtId="166" fontId="9" fillId="0" borderId="4" xfId="0" applyNumberFormat="1" applyFont="1" applyBorder="1" applyAlignment="1" applyProtection="1">
      <alignment horizontal="center" vertical="center" wrapText="1"/>
      <protection locked="0"/>
    </xf>
    <xf numFmtId="166" fontId="29" fillId="0" borderId="4" xfId="0" applyNumberFormat="1" applyFont="1" applyBorder="1" applyAlignment="1" applyProtection="1">
      <alignment horizontal="center" vertical="center"/>
      <protection locked="0"/>
    </xf>
    <xf numFmtId="0" fontId="29" fillId="0" borderId="4" xfId="0" applyFont="1" applyBorder="1" applyAlignment="1" applyProtection="1">
      <alignment horizontal="center" vertical="center" wrapText="1"/>
      <protection locked="0"/>
    </xf>
    <xf numFmtId="166" fontId="9" fillId="0" borderId="0" xfId="0" applyNumberFormat="1" applyFont="1" applyAlignment="1" applyProtection="1">
      <alignment horizontal="center" vertical="center"/>
      <protection locked="0"/>
    </xf>
    <xf numFmtId="166" fontId="29" fillId="0" borderId="0" xfId="0" applyNumberFormat="1" applyFont="1" applyAlignment="1" applyProtection="1">
      <alignment horizontal="center" vertical="center"/>
      <protection locked="0"/>
    </xf>
    <xf numFmtId="2" fontId="9" fillId="0" borderId="0" xfId="0" applyNumberFormat="1" applyFont="1" applyAlignment="1" applyProtection="1">
      <alignment horizontal="center" vertical="center"/>
      <protection locked="0"/>
    </xf>
    <xf numFmtId="0" fontId="29" fillId="0" borderId="15" xfId="0" applyFont="1" applyBorder="1" applyAlignment="1" applyProtection="1">
      <alignment horizontal="center" vertical="center"/>
      <protection locked="0"/>
    </xf>
    <xf numFmtId="0" fontId="9" fillId="0" borderId="15" xfId="0" applyFont="1" applyBorder="1" applyAlignment="1" applyProtection="1">
      <alignment horizontal="center" vertical="center"/>
      <protection locked="0"/>
    </xf>
    <xf numFmtId="2" fontId="9" fillId="0" borderId="15" xfId="0" applyNumberFormat="1" applyFont="1" applyBorder="1" applyAlignment="1" applyProtection="1">
      <alignment horizontal="center" vertical="center"/>
      <protection locked="0"/>
    </xf>
    <xf numFmtId="0" fontId="10" fillId="0" borderId="8" xfId="0" applyFont="1" applyBorder="1" applyAlignment="1" applyProtection="1">
      <alignment horizontal="center" vertical="center" wrapText="1"/>
      <protection locked="0"/>
    </xf>
    <xf numFmtId="166" fontId="9" fillId="0" borderId="5" xfId="0" applyNumberFormat="1" applyFont="1" applyBorder="1" applyAlignment="1" applyProtection="1">
      <alignment horizontal="center" vertical="center" wrapText="1"/>
      <protection locked="0"/>
    </xf>
    <xf numFmtId="166" fontId="9" fillId="0" borderId="5" xfId="0" applyNumberFormat="1" applyFont="1" applyBorder="1" applyAlignment="1" applyProtection="1">
      <alignment horizontal="center" vertical="center"/>
      <protection locked="0"/>
    </xf>
    <xf numFmtId="166" fontId="12" fillId="10" borderId="4" xfId="0" applyNumberFormat="1" applyFont="1" applyFill="1" applyBorder="1" applyAlignment="1">
      <alignment horizontal="center" vertical="center"/>
    </xf>
    <xf numFmtId="168" fontId="12" fillId="10" borderId="4" xfId="0" applyNumberFormat="1" applyFont="1" applyFill="1" applyBorder="1" applyAlignment="1">
      <alignment horizontal="center" vertical="center"/>
    </xf>
    <xf numFmtId="2" fontId="12" fillId="10" borderId="4" xfId="0" applyNumberFormat="1" applyFont="1" applyFill="1" applyBorder="1" applyAlignment="1">
      <alignment horizontal="center" vertical="center"/>
    </xf>
    <xf numFmtId="0" fontId="9" fillId="10" borderId="4" xfId="0" applyFont="1" applyFill="1" applyBorder="1" applyAlignment="1">
      <alignment horizontal="center" vertical="center"/>
    </xf>
    <xf numFmtId="165" fontId="4" fillId="2" borderId="9" xfId="0" applyNumberFormat="1" applyFont="1" applyFill="1" applyBorder="1" applyAlignment="1">
      <alignment horizontal="center" vertical="center"/>
    </xf>
    <xf numFmtId="165" fontId="4" fillId="0" borderId="4" xfId="0" applyNumberFormat="1" applyFont="1" applyBorder="1" applyAlignment="1" applyProtection="1">
      <alignment horizontal="center" vertical="center"/>
      <protection locked="0"/>
    </xf>
    <xf numFmtId="165" fontId="4" fillId="0" borderId="6" xfId="0" applyNumberFormat="1" applyFont="1" applyBorder="1" applyAlignment="1" applyProtection="1">
      <alignment horizontal="center" vertical="center"/>
      <protection locked="0"/>
    </xf>
    <xf numFmtId="165" fontId="4" fillId="2" borderId="6" xfId="0" applyNumberFormat="1" applyFont="1" applyFill="1" applyBorder="1" applyAlignment="1">
      <alignment horizontal="center" vertical="center"/>
    </xf>
    <xf numFmtId="165" fontId="4" fillId="0" borderId="7" xfId="0" applyNumberFormat="1" applyFont="1" applyBorder="1" applyAlignment="1" applyProtection="1">
      <alignment horizontal="center" vertical="center"/>
      <protection locked="0"/>
    </xf>
    <xf numFmtId="165" fontId="4" fillId="0" borderId="4" xfId="0" applyNumberFormat="1" applyFont="1" applyBorder="1" applyAlignment="1" applyProtection="1">
      <alignment vertical="center"/>
      <protection locked="0"/>
    </xf>
    <xf numFmtId="2" fontId="8" fillId="2" borderId="5" xfId="0" applyNumberFormat="1" applyFont="1" applyFill="1" applyBorder="1" applyAlignment="1">
      <alignment horizontal="center" vertical="center" wrapText="1"/>
    </xf>
    <xf numFmtId="2" fontId="8" fillId="2" borderId="4" xfId="0" applyNumberFormat="1" applyFont="1" applyFill="1" applyBorder="1" applyAlignment="1">
      <alignment horizontal="center" vertical="center" wrapText="1"/>
    </xf>
    <xf numFmtId="164" fontId="8" fillId="2" borderId="4" xfId="0" applyNumberFormat="1" applyFont="1" applyFill="1" applyBorder="1" applyAlignment="1">
      <alignment horizontal="center" vertical="center"/>
    </xf>
    <xf numFmtId="170" fontId="4" fillId="10" borderId="5" xfId="0" applyNumberFormat="1" applyFont="1" applyFill="1" applyBorder="1" applyAlignment="1">
      <alignment horizontal="center" vertical="center"/>
    </xf>
    <xf numFmtId="167" fontId="4" fillId="10" borderId="4" xfId="0" applyNumberFormat="1" applyFont="1" applyFill="1" applyBorder="1" applyAlignment="1">
      <alignment horizontal="center" vertical="center"/>
    </xf>
    <xf numFmtId="1" fontId="4" fillId="10" borderId="4" xfId="0" applyNumberFormat="1" applyFont="1" applyFill="1" applyBorder="1" applyAlignment="1">
      <alignment horizontal="center" vertical="center"/>
    </xf>
    <xf numFmtId="2" fontId="4" fillId="10" borderId="4" xfId="0" applyNumberFormat="1" applyFont="1" applyFill="1" applyBorder="1" applyAlignment="1">
      <alignment horizontal="center" vertical="center"/>
    </xf>
    <xf numFmtId="0" fontId="4" fillId="10" borderId="5" xfId="0" applyFont="1" applyFill="1" applyBorder="1" applyAlignment="1">
      <alignment horizontal="center" vertical="center"/>
    </xf>
    <xf numFmtId="2" fontId="4" fillId="10" borderId="5" xfId="0" applyNumberFormat="1" applyFont="1" applyFill="1" applyBorder="1" applyAlignment="1">
      <alignment horizontal="center" vertical="center"/>
    </xf>
    <xf numFmtId="165" fontId="4" fillId="10" borderId="5" xfId="0" applyNumberFormat="1" applyFont="1" applyFill="1" applyBorder="1" applyAlignment="1">
      <alignment horizontal="center" vertical="center"/>
    </xf>
    <xf numFmtId="170" fontId="4" fillId="10" borderId="5" xfId="0" applyNumberFormat="1" applyFont="1" applyFill="1" applyBorder="1" applyAlignment="1">
      <alignment vertical="center"/>
    </xf>
    <xf numFmtId="0" fontId="4" fillId="10" borderId="5" xfId="0" applyFont="1" applyFill="1" applyBorder="1" applyAlignment="1">
      <alignment horizontal="center" vertical="center" wrapText="1"/>
    </xf>
    <xf numFmtId="166" fontId="4" fillId="10" borderId="4" xfId="0" applyNumberFormat="1" applyFont="1" applyFill="1" applyBorder="1" applyAlignment="1">
      <alignment horizontal="center" vertical="center"/>
    </xf>
    <xf numFmtId="166" fontId="4" fillId="10" borderId="5" xfId="0" applyNumberFormat="1" applyFont="1" applyFill="1" applyBorder="1" applyAlignment="1">
      <alignment horizontal="center" vertical="center"/>
    </xf>
    <xf numFmtId="1" fontId="4" fillId="10" borderId="5" xfId="0" applyNumberFormat="1" applyFont="1" applyFill="1" applyBorder="1" applyAlignment="1">
      <alignment horizontal="center" vertical="center"/>
    </xf>
    <xf numFmtId="14" fontId="4" fillId="10" borderId="10" xfId="0" applyNumberFormat="1" applyFont="1" applyFill="1" applyBorder="1" applyAlignment="1">
      <alignment vertical="center"/>
    </xf>
    <xf numFmtId="0" fontId="4" fillId="10" borderId="10" xfId="0" applyFont="1" applyFill="1" applyBorder="1" applyAlignment="1">
      <alignment horizontal="center" vertical="center" wrapText="1"/>
    </xf>
    <xf numFmtId="171" fontId="4" fillId="10" borderId="10" xfId="0" applyNumberFormat="1" applyFont="1" applyFill="1" applyBorder="1" applyAlignment="1">
      <alignment horizontal="center" vertical="center" wrapText="1"/>
    </xf>
    <xf numFmtId="165" fontId="4" fillId="10" borderId="9" xfId="0" applyNumberFormat="1" applyFont="1" applyFill="1" applyBorder="1" applyAlignment="1">
      <alignment horizontal="center" vertical="center"/>
    </xf>
    <xf numFmtId="165" fontId="4" fillId="10" borderId="8" xfId="0" applyNumberFormat="1" applyFont="1" applyFill="1" applyBorder="1" applyAlignment="1">
      <alignment horizontal="center" vertical="center"/>
    </xf>
    <xf numFmtId="171" fontId="4" fillId="10" borderId="4" xfId="0" applyNumberFormat="1" applyFont="1" applyFill="1" applyBorder="1" applyAlignment="1">
      <alignment horizontal="center" vertical="center" wrapText="1"/>
    </xf>
    <xf numFmtId="165" fontId="4" fillId="10" borderId="4" xfId="0" applyNumberFormat="1" applyFont="1" applyFill="1" applyBorder="1" applyAlignment="1">
      <alignment horizontal="center" vertical="center"/>
    </xf>
    <xf numFmtId="168" fontId="4" fillId="10" borderId="10" xfId="0" applyNumberFormat="1" applyFont="1" applyFill="1" applyBorder="1" applyAlignment="1">
      <alignment horizontal="center" vertical="center"/>
    </xf>
    <xf numFmtId="168" fontId="4" fillId="10" borderId="4" xfId="0" applyNumberFormat="1" applyFont="1" applyFill="1" applyBorder="1" applyAlignment="1">
      <alignment horizontal="center" vertical="center"/>
    </xf>
    <xf numFmtId="166" fontId="4" fillId="10" borderId="12" xfId="0" applyNumberFormat="1" applyFont="1" applyFill="1" applyBorder="1" applyAlignment="1">
      <alignment horizontal="center" vertical="center"/>
    </xf>
    <xf numFmtId="0" fontId="4" fillId="10" borderId="8" xfId="0" applyFont="1" applyFill="1" applyBorder="1" applyAlignment="1">
      <alignment horizontal="center" vertical="center"/>
    </xf>
    <xf numFmtId="14" fontId="4" fillId="0" borderId="10" xfId="0" applyNumberFormat="1" applyFont="1" applyBorder="1" applyAlignment="1">
      <alignment vertical="center"/>
    </xf>
    <xf numFmtId="0" fontId="4" fillId="0" borderId="10" xfId="0" applyFont="1" applyBorder="1" applyAlignment="1">
      <alignment horizontal="center" vertical="center" wrapText="1"/>
    </xf>
    <xf numFmtId="14" fontId="4" fillId="0" borderId="8" xfId="0" applyNumberFormat="1" applyFont="1" applyBorder="1" applyAlignment="1">
      <alignment vertical="center"/>
    </xf>
    <xf numFmtId="0" fontId="4" fillId="0" borderId="8" xfId="0" applyFont="1" applyBorder="1" applyAlignment="1">
      <alignment horizontal="center" vertical="center"/>
    </xf>
    <xf numFmtId="171" fontId="4" fillId="0" borderId="4" xfId="0" applyNumberFormat="1" applyFont="1" applyBorder="1" applyAlignment="1">
      <alignment horizontal="center" vertical="center" wrapText="1"/>
    </xf>
    <xf numFmtId="164" fontId="4" fillId="0" borderId="9" xfId="0" applyNumberFormat="1" applyFont="1" applyBorder="1" applyAlignment="1">
      <alignment horizontal="center" vertical="center"/>
    </xf>
    <xf numFmtId="164" fontId="4" fillId="0" borderId="4" xfId="0" applyNumberFormat="1" applyFont="1" applyBorder="1" applyAlignment="1">
      <alignment horizontal="center" vertical="center"/>
    </xf>
    <xf numFmtId="168" fontId="4" fillId="0" borderId="4" xfId="0" applyNumberFormat="1" applyFont="1" applyBorder="1" applyAlignment="1">
      <alignment horizontal="center" vertical="center"/>
    </xf>
    <xf numFmtId="167" fontId="4" fillId="0" borderId="6" xfId="0" applyNumberFormat="1" applyFont="1" applyBorder="1" applyAlignment="1">
      <alignment horizontal="center" vertical="center"/>
    </xf>
    <xf numFmtId="164" fontId="8" fillId="0" borderId="4" xfId="0" applyNumberFormat="1" applyFont="1" applyBorder="1" applyAlignment="1">
      <alignment vertical="center"/>
    </xf>
    <xf numFmtId="166" fontId="4" fillId="0" borderId="12" xfId="0" applyNumberFormat="1" applyFont="1" applyBorder="1" applyAlignment="1">
      <alignment horizontal="center" vertical="center"/>
    </xf>
    <xf numFmtId="166" fontId="4" fillId="0" borderId="13" xfId="0" applyNumberFormat="1" applyFont="1" applyBorder="1" applyAlignment="1">
      <alignment horizontal="center" vertical="center"/>
    </xf>
    <xf numFmtId="0" fontId="4" fillId="0" borderId="4" xfId="0" applyFont="1" applyBorder="1" applyAlignment="1">
      <alignment horizontal="center" vertical="center"/>
    </xf>
    <xf numFmtId="0" fontId="4" fillId="10" borderId="12" xfId="0" applyFont="1" applyFill="1" applyBorder="1" applyAlignment="1">
      <alignment horizontal="center" vertical="center"/>
    </xf>
    <xf numFmtId="172" fontId="4" fillId="10" borderId="10" xfId="0" applyNumberFormat="1" applyFont="1" applyFill="1" applyBorder="1" applyAlignment="1">
      <alignment horizontal="center" vertical="center"/>
    </xf>
    <xf numFmtId="164" fontId="4" fillId="10" borderId="11" xfId="0" applyNumberFormat="1" applyFont="1" applyFill="1" applyBorder="1" applyAlignment="1">
      <alignment horizontal="center" vertical="center"/>
    </xf>
    <xf numFmtId="0" fontId="4" fillId="10" borderId="7" xfId="0" applyFont="1" applyFill="1" applyBorder="1" applyAlignment="1">
      <alignment horizontal="center" vertical="center"/>
    </xf>
    <xf numFmtId="0" fontId="4" fillId="0" borderId="13" xfId="0" applyFont="1" applyBorder="1" applyAlignment="1">
      <alignment horizontal="center" vertical="center"/>
    </xf>
    <xf numFmtId="0" fontId="10" fillId="0" borderId="4" xfId="0" applyFont="1" applyBorder="1" applyAlignment="1">
      <alignment horizontal="center" vertical="center" wrapText="1"/>
    </xf>
    <xf numFmtId="0" fontId="16" fillId="10" borderId="4" xfId="0" applyFont="1" applyFill="1" applyBorder="1" applyAlignment="1">
      <alignment horizontal="center" vertical="center"/>
    </xf>
    <xf numFmtId="2" fontId="16" fillId="10" borderId="4" xfId="0" applyNumberFormat="1" applyFont="1" applyFill="1" applyBorder="1" applyAlignment="1">
      <alignment horizontal="center" vertical="center"/>
    </xf>
    <xf numFmtId="2" fontId="9" fillId="5" borderId="4" xfId="0" applyNumberFormat="1" applyFont="1" applyFill="1" applyBorder="1" applyAlignment="1" applyProtection="1">
      <alignment horizontal="center" vertical="center" wrapText="1"/>
      <protection locked="0"/>
    </xf>
    <xf numFmtId="2" fontId="9" fillId="5" borderId="5" xfId="0" applyNumberFormat="1" applyFont="1" applyFill="1" applyBorder="1" applyAlignment="1" applyProtection="1">
      <alignment horizontal="center" vertical="center" wrapText="1"/>
      <protection locked="0"/>
    </xf>
    <xf numFmtId="2" fontId="9" fillId="5" borderId="5" xfId="0" applyNumberFormat="1" applyFont="1" applyFill="1" applyBorder="1" applyAlignment="1" applyProtection="1">
      <alignment horizontal="center" vertical="center"/>
      <protection locked="0"/>
    </xf>
    <xf numFmtId="2" fontId="9" fillId="5" borderId="18" xfId="0" applyNumberFormat="1" applyFont="1" applyFill="1" applyBorder="1" applyAlignment="1" applyProtection="1">
      <alignment horizontal="center" vertical="center"/>
      <protection locked="0"/>
    </xf>
    <xf numFmtId="2" fontId="9" fillId="5" borderId="19" xfId="0" applyNumberFormat="1" applyFont="1" applyFill="1" applyBorder="1" applyAlignment="1" applyProtection="1">
      <alignment horizontal="center" vertical="center"/>
      <protection locked="0"/>
    </xf>
    <xf numFmtId="166" fontId="12" fillId="5" borderId="4" xfId="0" applyNumberFormat="1" applyFont="1" applyFill="1" applyBorder="1" applyAlignment="1" applyProtection="1">
      <alignment horizontal="center" vertical="center" wrapText="1"/>
      <protection locked="0"/>
    </xf>
    <xf numFmtId="2" fontId="8" fillId="5" borderId="5" xfId="0" applyNumberFormat="1" applyFont="1" applyFill="1" applyBorder="1" applyAlignment="1" applyProtection="1">
      <alignment horizontal="center" vertical="center"/>
      <protection locked="0"/>
    </xf>
    <xf numFmtId="165" fontId="8" fillId="5" borderId="5" xfId="0" applyNumberFormat="1" applyFont="1" applyFill="1" applyBorder="1" applyAlignment="1" applyProtection="1">
      <alignment horizontal="center" vertical="center"/>
      <protection locked="0"/>
    </xf>
    <xf numFmtId="0" fontId="8" fillId="5" borderId="4" xfId="0" applyFont="1" applyFill="1" applyBorder="1" applyAlignment="1" applyProtection="1">
      <alignment horizontal="center" vertical="center"/>
      <protection locked="0"/>
    </xf>
    <xf numFmtId="167" fontId="8" fillId="5" borderId="4" xfId="0" applyNumberFormat="1" applyFont="1" applyFill="1" applyBorder="1" applyAlignment="1" applyProtection="1">
      <alignment horizontal="center" vertical="center"/>
      <protection locked="0"/>
    </xf>
    <xf numFmtId="167" fontId="28" fillId="5" borderId="4" xfId="0" applyNumberFormat="1" applyFont="1" applyFill="1" applyBorder="1" applyAlignment="1" applyProtection="1">
      <alignment horizontal="center" vertical="center"/>
      <protection locked="0"/>
    </xf>
    <xf numFmtId="1" fontId="28" fillId="5" borderId="4" xfId="0" applyNumberFormat="1" applyFont="1" applyFill="1" applyBorder="1" applyAlignment="1" applyProtection="1">
      <alignment horizontal="center" vertical="center"/>
      <protection locked="0"/>
    </xf>
    <xf numFmtId="2" fontId="28" fillId="11" borderId="4" xfId="0" applyNumberFormat="1" applyFont="1" applyFill="1" applyBorder="1" applyAlignment="1" applyProtection="1">
      <alignment horizontal="center" vertical="center"/>
      <protection locked="0"/>
    </xf>
    <xf numFmtId="167" fontId="9" fillId="5" borderId="4" xfId="0" applyNumberFormat="1" applyFont="1" applyFill="1" applyBorder="1" applyAlignment="1" applyProtection="1">
      <alignment horizontal="center" vertical="center"/>
      <protection locked="0"/>
    </xf>
    <xf numFmtId="0" fontId="30" fillId="5" borderId="4" xfId="0" applyFont="1" applyFill="1" applyBorder="1" applyAlignment="1" applyProtection="1">
      <alignment horizontal="center" vertical="center"/>
      <protection locked="0"/>
    </xf>
    <xf numFmtId="167" fontId="30" fillId="5" borderId="4" xfId="0" applyNumberFormat="1" applyFont="1" applyFill="1" applyBorder="1" applyAlignment="1" applyProtection="1">
      <alignment horizontal="center" vertical="center"/>
      <protection locked="0"/>
    </xf>
    <xf numFmtId="166" fontId="9" fillId="5" borderId="4" xfId="0" applyNumberFormat="1" applyFont="1" applyFill="1" applyBorder="1" applyAlignment="1" applyProtection="1">
      <alignment horizontal="center" vertical="center"/>
      <protection locked="0"/>
    </xf>
    <xf numFmtId="166" fontId="30" fillId="5" borderId="4" xfId="0" applyNumberFormat="1" applyFont="1" applyFill="1" applyBorder="1" applyAlignment="1" applyProtection="1">
      <alignment horizontal="center" vertical="center"/>
      <protection locked="0"/>
    </xf>
    <xf numFmtId="2" fontId="28" fillId="5" borderId="4" xfId="0" applyNumberFormat="1" applyFont="1" applyFill="1" applyBorder="1" applyAlignment="1" applyProtection="1">
      <alignment horizontal="center" vertical="center"/>
      <protection locked="0"/>
    </xf>
    <xf numFmtId="2" fontId="9" fillId="5" borderId="4" xfId="0" applyNumberFormat="1" applyFont="1" applyFill="1" applyBorder="1" applyAlignment="1" applyProtection="1">
      <alignment horizontal="center" vertical="center"/>
      <protection locked="0"/>
    </xf>
    <xf numFmtId="0" fontId="12" fillId="5" borderId="4" xfId="0" applyFont="1" applyFill="1" applyBorder="1" applyAlignment="1" applyProtection="1">
      <alignment horizontal="center" vertical="center"/>
      <protection locked="0"/>
    </xf>
    <xf numFmtId="0" fontId="13" fillId="0" borderId="5" xfId="0" applyFont="1" applyBorder="1" applyAlignment="1" applyProtection="1">
      <alignment horizontal="center" vertical="center" wrapText="1"/>
      <protection locked="0"/>
    </xf>
    <xf numFmtId="165" fontId="4" fillId="5" borderId="8" xfId="0" applyNumberFormat="1" applyFont="1" applyFill="1" applyBorder="1" applyAlignment="1" applyProtection="1">
      <alignment horizontal="center" vertical="center"/>
      <protection locked="0"/>
    </xf>
    <xf numFmtId="165" fontId="4" fillId="5" borderId="4" xfId="0" applyNumberFormat="1" applyFont="1" applyFill="1" applyBorder="1" applyAlignment="1" applyProtection="1">
      <alignment horizontal="center" vertical="center"/>
      <protection locked="0"/>
    </xf>
    <xf numFmtId="165" fontId="4" fillId="5" borderId="6" xfId="0" applyNumberFormat="1" applyFont="1" applyFill="1" applyBorder="1" applyAlignment="1" applyProtection="1">
      <alignment horizontal="center" vertical="center"/>
      <protection locked="0"/>
    </xf>
    <xf numFmtId="165" fontId="4" fillId="5" borderId="5" xfId="0" applyNumberFormat="1" applyFont="1" applyFill="1" applyBorder="1" applyAlignment="1" applyProtection="1">
      <alignment horizontal="center" vertical="center"/>
      <protection locked="0"/>
    </xf>
    <xf numFmtId="165" fontId="4" fillId="5" borderId="14" xfId="0" applyNumberFormat="1" applyFont="1" applyFill="1" applyBorder="1" applyAlignment="1" applyProtection="1">
      <alignment horizontal="center" vertical="center"/>
      <protection locked="0"/>
    </xf>
    <xf numFmtId="165" fontId="4" fillId="5" borderId="9" xfId="0" applyNumberFormat="1" applyFont="1" applyFill="1" applyBorder="1" applyAlignment="1" applyProtection="1">
      <alignment horizontal="center" vertical="center"/>
      <protection locked="0"/>
    </xf>
    <xf numFmtId="165" fontId="4" fillId="5" borderId="7" xfId="0" applyNumberFormat="1" applyFont="1" applyFill="1" applyBorder="1" applyAlignment="1" applyProtection="1">
      <alignment horizontal="center" vertical="center"/>
      <protection locked="0"/>
    </xf>
    <xf numFmtId="165" fontId="4" fillId="5" borderId="17" xfId="0" applyNumberFormat="1" applyFont="1" applyFill="1" applyBorder="1" applyAlignment="1" applyProtection="1">
      <alignment horizontal="center" vertical="center"/>
      <protection locked="0"/>
    </xf>
    <xf numFmtId="165" fontId="4" fillId="5" borderId="13" xfId="0" applyNumberFormat="1" applyFont="1" applyFill="1" applyBorder="1" applyAlignment="1" applyProtection="1">
      <alignment horizontal="center" vertical="center"/>
      <protection locked="0"/>
    </xf>
    <xf numFmtId="165" fontId="4" fillId="0" borderId="6" xfId="0" applyNumberFormat="1" applyFont="1" applyBorder="1" applyAlignment="1">
      <alignment horizontal="center" vertical="center"/>
    </xf>
    <xf numFmtId="0" fontId="29" fillId="0" borderId="5" xfId="0" applyFont="1" applyBorder="1" applyAlignment="1" applyProtection="1">
      <alignment horizontal="center" vertical="center"/>
      <protection locked="0"/>
    </xf>
    <xf numFmtId="0" fontId="29" fillId="0" borderId="10" xfId="0" applyFont="1" applyBorder="1" applyAlignment="1" applyProtection="1">
      <alignment horizontal="center" vertical="center"/>
      <protection locked="0"/>
    </xf>
    <xf numFmtId="0" fontId="29" fillId="0" borderId="8" xfId="0" applyFont="1" applyBorder="1" applyAlignment="1" applyProtection="1">
      <alignment horizontal="center" vertical="center"/>
      <protection locked="0"/>
    </xf>
    <xf numFmtId="14" fontId="29" fillId="0" borderId="5" xfId="0" applyNumberFormat="1" applyFont="1" applyBorder="1" applyAlignment="1" applyProtection="1">
      <alignment horizontal="center" vertical="top"/>
      <protection locked="0"/>
    </xf>
    <xf numFmtId="0" fontId="29" fillId="0" borderId="10" xfId="0" applyFont="1" applyBorder="1" applyAlignment="1" applyProtection="1">
      <alignment horizontal="center" vertical="top"/>
      <protection locked="0"/>
    </xf>
    <xf numFmtId="0" fontId="29" fillId="0" borderId="8" xfId="0" applyFont="1" applyBorder="1" applyAlignment="1" applyProtection="1">
      <alignment horizontal="center" vertical="top"/>
      <protection locked="0"/>
    </xf>
    <xf numFmtId="49" fontId="10" fillId="0" borderId="5" xfId="0" applyNumberFormat="1" applyFont="1" applyBorder="1" applyAlignment="1" applyProtection="1">
      <alignment horizontal="center" vertical="top" wrapText="1"/>
      <protection locked="0"/>
    </xf>
    <xf numFmtId="49" fontId="10" fillId="0" borderId="8" xfId="0" applyNumberFormat="1" applyFont="1" applyBorder="1" applyAlignment="1" applyProtection="1">
      <alignment horizontal="center" vertical="top" wrapText="1"/>
      <protection locked="0"/>
    </xf>
    <xf numFmtId="0" fontId="12" fillId="0" borderId="0" xfId="0" applyFont="1" applyAlignment="1" applyProtection="1">
      <alignment horizontal="center" vertical="center"/>
      <protection locked="0"/>
    </xf>
    <xf numFmtId="0" fontId="29" fillId="0" borderId="4" xfId="0" applyFont="1" applyBorder="1" applyAlignment="1" applyProtection="1">
      <alignment horizontal="center" vertical="top"/>
      <protection locked="0"/>
    </xf>
    <xf numFmtId="0" fontId="29" fillId="0" borderId="4" xfId="0" applyFont="1" applyBorder="1" applyAlignment="1" applyProtection="1">
      <alignment horizontal="center" vertical="top" wrapText="1"/>
      <protection locked="0"/>
    </xf>
    <xf numFmtId="2" fontId="9" fillId="10" borderId="14" xfId="0" applyNumberFormat="1" applyFont="1" applyFill="1" applyBorder="1" applyAlignment="1" applyProtection="1">
      <alignment horizontal="center" vertical="center" wrapText="1"/>
      <protection locked="0"/>
    </xf>
    <xf numFmtId="2" fontId="9" fillId="10" borderId="16" xfId="0" applyNumberFormat="1" applyFont="1" applyFill="1" applyBorder="1" applyAlignment="1" applyProtection="1">
      <alignment horizontal="center" vertical="center" wrapText="1"/>
      <protection locked="0"/>
    </xf>
    <xf numFmtId="2" fontId="9" fillId="10" borderId="17" xfId="0" applyNumberFormat="1" applyFont="1" applyFill="1" applyBorder="1" applyAlignment="1" applyProtection="1">
      <alignment horizontal="center" vertical="center" wrapText="1"/>
      <protection locked="0"/>
    </xf>
    <xf numFmtId="0" fontId="12" fillId="0" borderId="11" xfId="0" applyFont="1" applyBorder="1" applyAlignment="1" applyProtection="1">
      <alignment horizontal="center" vertical="center"/>
      <protection locked="0"/>
    </xf>
    <xf numFmtId="0" fontId="9" fillId="0" borderId="0" xfId="0" applyFont="1" applyAlignment="1" applyProtection="1">
      <alignment horizontal="center" vertical="center"/>
      <protection locked="0"/>
    </xf>
    <xf numFmtId="0" fontId="10" fillId="0" borderId="14" xfId="0" applyFont="1" applyBorder="1" applyAlignment="1" applyProtection="1">
      <alignment horizontal="center" vertical="top" wrapText="1"/>
      <protection locked="0"/>
    </xf>
    <xf numFmtId="0" fontId="10" fillId="0" borderId="11" xfId="0" applyFont="1" applyBorder="1" applyAlignment="1" applyProtection="1">
      <alignment horizontal="center" vertical="top" wrapText="1"/>
      <protection locked="0"/>
    </xf>
    <xf numFmtId="0" fontId="10" fillId="0" borderId="9" xfId="0" applyFont="1" applyBorder="1" applyAlignment="1" applyProtection="1">
      <alignment horizontal="center" vertical="top" wrapText="1"/>
      <protection locked="0"/>
    </xf>
    <xf numFmtId="0" fontId="10" fillId="0" borderId="5" xfId="0" applyFont="1" applyBorder="1" applyAlignment="1" applyProtection="1">
      <alignment horizontal="center" vertical="top" wrapText="1"/>
      <protection locked="0"/>
    </xf>
    <xf numFmtId="0" fontId="10" fillId="0" borderId="10" xfId="0" applyFont="1" applyBorder="1" applyAlignment="1" applyProtection="1">
      <alignment horizontal="center" vertical="top" wrapText="1"/>
      <protection locked="0"/>
    </xf>
    <xf numFmtId="0" fontId="10" fillId="0" borderId="8" xfId="0" applyFont="1" applyBorder="1" applyAlignment="1" applyProtection="1">
      <alignment horizontal="center" vertical="top" wrapText="1"/>
      <protection locked="0"/>
    </xf>
    <xf numFmtId="0" fontId="4" fillId="0" borderId="4" xfId="0" applyFont="1" applyBorder="1" applyAlignment="1" applyProtection="1">
      <alignment horizontal="center" wrapText="1"/>
      <protection locked="0"/>
    </xf>
    <xf numFmtId="0" fontId="10" fillId="10" borderId="5" xfId="0" applyFont="1" applyFill="1" applyBorder="1" applyAlignment="1">
      <alignment horizontal="center" vertical="top" wrapText="1"/>
    </xf>
    <xf numFmtId="0" fontId="10" fillId="10" borderId="10" xfId="0" applyFont="1" applyFill="1" applyBorder="1" applyAlignment="1">
      <alignment horizontal="center" vertical="top" wrapText="1"/>
    </xf>
    <xf numFmtId="0" fontId="10" fillId="10" borderId="8" xfId="0" applyFont="1" applyFill="1" applyBorder="1" applyAlignment="1">
      <alignment horizontal="center" vertical="top" wrapText="1"/>
    </xf>
    <xf numFmtId="0" fontId="4" fillId="0" borderId="4" xfId="0" applyFont="1" applyBorder="1" applyAlignment="1" applyProtection="1">
      <alignment horizontal="center" vertical="center" wrapText="1"/>
      <protection locked="0"/>
    </xf>
    <xf numFmtId="0" fontId="10" fillId="6" borderId="0" xfId="0" applyFont="1" applyFill="1" applyAlignment="1" applyProtection="1">
      <alignment horizontal="center" vertical="center" wrapText="1"/>
      <protection locked="0"/>
    </xf>
    <xf numFmtId="0" fontId="25" fillId="0" borderId="0" xfId="0" applyFont="1" applyAlignment="1" applyProtection="1">
      <alignment horizontal="center" vertical="center"/>
      <protection locked="0"/>
    </xf>
    <xf numFmtId="0" fontId="8" fillId="0" borderId="0" xfId="0" applyFont="1" applyAlignment="1" applyProtection="1">
      <alignment horizontal="center" vertical="center"/>
      <protection locked="0"/>
    </xf>
    <xf numFmtId="169" fontId="4" fillId="10" borderId="10" xfId="0" applyNumberFormat="1" applyFont="1" applyFill="1" applyBorder="1" applyAlignment="1">
      <alignment horizontal="center" vertical="top" wrapText="1"/>
    </xf>
    <xf numFmtId="169" fontId="4" fillId="10" borderId="8" xfId="0" applyNumberFormat="1" applyFont="1" applyFill="1" applyBorder="1" applyAlignment="1">
      <alignment horizontal="center" vertical="top" wrapText="1"/>
    </xf>
    <xf numFmtId="0" fontId="4" fillId="10" borderId="5" xfId="0" applyFont="1" applyFill="1" applyBorder="1" applyAlignment="1">
      <alignment horizontal="center" vertical="top" wrapText="1"/>
    </xf>
    <xf numFmtId="0" fontId="4" fillId="10" borderId="10" xfId="0" applyFont="1" applyFill="1" applyBorder="1" applyAlignment="1">
      <alignment horizontal="center" vertical="top" wrapText="1"/>
    </xf>
    <xf numFmtId="0" fontId="4" fillId="10" borderId="8" xfId="0" applyFont="1" applyFill="1" applyBorder="1" applyAlignment="1">
      <alignment horizontal="center" vertical="top" wrapText="1"/>
    </xf>
    <xf numFmtId="0" fontId="8" fillId="9" borderId="4" xfId="0" applyFont="1" applyFill="1" applyBorder="1" applyAlignment="1" applyProtection="1">
      <alignment horizontal="center" vertical="center" wrapText="1"/>
      <protection locked="0"/>
    </xf>
    <xf numFmtId="0" fontId="8" fillId="9" borderId="4" xfId="0" applyFont="1" applyFill="1" applyBorder="1" applyAlignment="1" applyProtection="1">
      <alignment horizontal="center" vertical="center"/>
      <protection locked="0"/>
    </xf>
    <xf numFmtId="0" fontId="8" fillId="0" borderId="4" xfId="0" applyFont="1" applyBorder="1" applyAlignment="1" applyProtection="1">
      <alignment horizontal="center" vertical="center" wrapText="1"/>
      <protection locked="0"/>
    </xf>
    <xf numFmtId="0" fontId="8" fillId="0" borderId="5" xfId="0" applyFont="1" applyBorder="1" applyAlignment="1" applyProtection="1">
      <alignment horizontal="center" vertical="center" wrapText="1"/>
      <protection locked="0"/>
    </xf>
    <xf numFmtId="0" fontId="8" fillId="0" borderId="10" xfId="0" applyFont="1" applyBorder="1" applyAlignment="1" applyProtection="1">
      <alignment horizontal="center" vertical="center" wrapText="1"/>
      <protection locked="0"/>
    </xf>
    <xf numFmtId="0" fontId="8" fillId="0" borderId="5" xfId="0" applyFont="1" applyBorder="1" applyAlignment="1" applyProtection="1">
      <alignment horizontal="center" vertical="center" wrapText="1" shrinkToFit="1"/>
      <protection locked="0"/>
    </xf>
    <xf numFmtId="0" fontId="8" fillId="0" borderId="8" xfId="0" applyFont="1" applyBorder="1" applyAlignment="1" applyProtection="1">
      <alignment horizontal="center" vertical="center" wrapText="1" shrinkToFit="1"/>
      <protection locked="0"/>
    </xf>
    <xf numFmtId="0" fontId="8" fillId="9" borderId="5" xfId="0" applyFont="1" applyFill="1" applyBorder="1" applyAlignment="1" applyProtection="1">
      <alignment horizontal="center" vertical="center" wrapText="1"/>
      <protection locked="0"/>
    </xf>
    <xf numFmtId="0" fontId="8" fillId="9" borderId="8" xfId="0" applyFont="1" applyFill="1" applyBorder="1" applyAlignment="1" applyProtection="1">
      <alignment horizontal="center" vertical="center" wrapText="1"/>
      <protection locked="0"/>
    </xf>
    <xf numFmtId="0" fontId="25" fillId="0" borderId="5" xfId="0" applyFont="1" applyBorder="1" applyAlignment="1" applyProtection="1">
      <alignment horizontal="center" vertical="center" wrapText="1"/>
      <protection locked="0"/>
    </xf>
    <xf numFmtId="0" fontId="25" fillId="0" borderId="8" xfId="0" applyFont="1" applyBorder="1" applyAlignment="1" applyProtection="1">
      <alignment horizontal="center" vertical="center" wrapText="1"/>
      <protection locked="0"/>
    </xf>
    <xf numFmtId="0" fontId="12" fillId="0" borderId="0" xfId="0" applyFont="1" applyAlignment="1" applyProtection="1">
      <alignment horizontal="center" vertical="center" wrapText="1"/>
      <protection locked="0"/>
    </xf>
  </cellXfs>
  <cellStyles count="4">
    <cellStyle name="Įprastas" xfId="0" builtinId="0"/>
    <cellStyle name="Įprastas 2" xfId="1" xr:uid="{B3CEE587-CD0A-486A-A8B7-19073BBFBDDF}"/>
    <cellStyle name="Procentai 2" xfId="2" xr:uid="{B97C0199-08F7-4955-9EE8-7033B80147B3}"/>
    <cellStyle name="Procentai 2 2" xfId="3" xr:uid="{D5ECD849-1A8E-4458-AB2F-7A877B23E11E}"/>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BD58BE-2006-42BB-8F0B-A2F613982E7B}">
  <sheetPr codeName="Lapas1"/>
  <dimension ref="B1:E10"/>
  <sheetViews>
    <sheetView workbookViewId="0"/>
  </sheetViews>
  <sheetFormatPr defaultRowHeight="12.5" x14ac:dyDescent="0.25"/>
  <cols>
    <col min="1" max="1" width="1.1796875" customWidth="1"/>
    <col min="2" max="2" width="64.453125" customWidth="1"/>
    <col min="3" max="3" width="1.54296875" customWidth="1"/>
    <col min="4" max="4" width="5.54296875" customWidth="1"/>
    <col min="5" max="5" width="16" customWidth="1"/>
  </cols>
  <sheetData>
    <row r="1" spans="2:5" ht="13" x14ac:dyDescent="0.25">
      <c r="B1" s="1" t="s">
        <v>0</v>
      </c>
      <c r="C1" s="1"/>
      <c r="D1" s="5"/>
      <c r="E1" s="5"/>
    </row>
    <row r="2" spans="2:5" ht="13" x14ac:dyDescent="0.25">
      <c r="B2" s="1" t="s">
        <v>1</v>
      </c>
      <c r="C2" s="1"/>
      <c r="D2" s="5"/>
      <c r="E2" s="5"/>
    </row>
    <row r="3" spans="2:5" x14ac:dyDescent="0.25">
      <c r="B3" s="2"/>
      <c r="C3" s="2"/>
      <c r="D3" s="6"/>
      <c r="E3" s="6"/>
    </row>
    <row r="4" spans="2:5" ht="37.5" x14ac:dyDescent="0.25">
      <c r="B4" s="2" t="s">
        <v>2</v>
      </c>
      <c r="C4" s="2"/>
      <c r="D4" s="6"/>
      <c r="E4" s="6"/>
    </row>
    <row r="5" spans="2:5" x14ac:dyDescent="0.25">
      <c r="B5" s="2"/>
      <c r="C5" s="2"/>
      <c r="D5" s="6"/>
      <c r="E5" s="6"/>
    </row>
    <row r="6" spans="2:5" ht="13" x14ac:dyDescent="0.25">
      <c r="B6" s="1" t="s">
        <v>3</v>
      </c>
      <c r="C6" s="1"/>
      <c r="D6" s="5"/>
      <c r="E6" s="5" t="s">
        <v>4</v>
      </c>
    </row>
    <row r="7" spans="2:5" ht="13" thickBot="1" x14ac:dyDescent="0.3">
      <c r="B7" s="2"/>
      <c r="C7" s="2"/>
      <c r="D7" s="6"/>
      <c r="E7" s="6"/>
    </row>
    <row r="8" spans="2:5" ht="38" thickBot="1" x14ac:dyDescent="0.3">
      <c r="B8" s="3" t="s">
        <v>5</v>
      </c>
      <c r="C8" s="4"/>
      <c r="D8" s="7"/>
      <c r="E8" s="8">
        <v>1</v>
      </c>
    </row>
    <row r="9" spans="2:5" x14ac:dyDescent="0.25">
      <c r="B9" s="2"/>
      <c r="C9" s="2"/>
      <c r="D9" s="6"/>
      <c r="E9" s="6"/>
    </row>
    <row r="10" spans="2:5" x14ac:dyDescent="0.25">
      <c r="B10" s="2"/>
      <c r="C10" s="2"/>
      <c r="D10" s="6"/>
      <c r="E10" s="6"/>
    </row>
  </sheetData>
  <phoneticPr fontId="0"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F6816-A3F5-4347-BE94-F213DC59E543}">
  <dimension ref="A3:AB31"/>
  <sheetViews>
    <sheetView topLeftCell="A5" zoomScale="80" zoomScaleNormal="80" workbookViewId="0">
      <selection activeCell="T17" sqref="T17"/>
    </sheetView>
  </sheetViews>
  <sheetFormatPr defaultColWidth="9.1796875" defaultRowHeight="15.5" x14ac:dyDescent="0.25"/>
  <cols>
    <col min="1" max="1" width="11.26953125" style="131" customWidth="1"/>
    <col min="2" max="2" width="11.1796875" style="131" customWidth="1"/>
    <col min="3" max="3" width="12.54296875" style="131" customWidth="1"/>
    <col min="4" max="4" width="10.26953125" style="131" customWidth="1"/>
    <col min="5" max="5" width="11.1796875" style="131" customWidth="1"/>
    <col min="6" max="6" width="11.26953125" style="131" customWidth="1"/>
    <col min="7" max="7" width="10.54296875" style="131" customWidth="1"/>
    <col min="8" max="12" width="9.1796875" style="131"/>
    <col min="13" max="13" width="11.1796875" style="131" customWidth="1"/>
    <col min="14" max="14" width="11.453125" style="131" customWidth="1"/>
    <col min="15" max="15" width="9.1796875" style="131"/>
    <col min="16" max="16" width="10.54296875" style="131" customWidth="1"/>
    <col min="17" max="17" width="9.54296875" style="131" bestFit="1" customWidth="1"/>
    <col min="18" max="18" width="9.1796875" style="131"/>
    <col min="19" max="19" width="11.26953125" style="131" customWidth="1"/>
    <col min="20" max="20" width="11.7265625" style="131" customWidth="1"/>
    <col min="21" max="21" width="10" style="131" customWidth="1"/>
    <col min="22" max="22" width="11.7265625" style="131" customWidth="1"/>
    <col min="23" max="23" width="11.453125" style="131" customWidth="1"/>
    <col min="24" max="24" width="10.26953125" style="131" customWidth="1"/>
    <col min="25" max="25" width="9.54296875" style="131" customWidth="1"/>
    <col min="26" max="26" width="9.81640625" style="131" customWidth="1"/>
    <col min="27" max="16384" width="9.1796875" style="131"/>
  </cols>
  <sheetData>
    <row r="3" spans="1:28" x14ac:dyDescent="0.25">
      <c r="D3" s="268" t="s">
        <v>109</v>
      </c>
      <c r="E3" s="268"/>
      <c r="F3" s="268"/>
      <c r="G3" s="268"/>
      <c r="H3" s="268"/>
      <c r="I3" s="268"/>
      <c r="J3" s="268"/>
      <c r="K3" s="268"/>
      <c r="L3" s="268"/>
      <c r="M3" s="268"/>
      <c r="N3" s="268"/>
      <c r="O3" s="268"/>
      <c r="P3" s="268"/>
      <c r="Q3" s="268"/>
      <c r="R3" s="268"/>
      <c r="S3" s="268"/>
      <c r="T3" s="268"/>
      <c r="U3" s="268"/>
      <c r="V3" s="268"/>
      <c r="W3" s="268"/>
      <c r="X3" s="268"/>
      <c r="Y3" s="268"/>
      <c r="Z3" s="268"/>
    </row>
    <row r="5" spans="1:28" s="10" customFormat="1" ht="126" x14ac:dyDescent="0.25">
      <c r="A5" s="9" t="s">
        <v>8</v>
      </c>
      <c r="B5" s="9" t="s">
        <v>82</v>
      </c>
      <c r="C5" s="9" t="s">
        <v>9</v>
      </c>
      <c r="D5" s="45" t="s">
        <v>110</v>
      </c>
      <c r="E5" s="45" t="s">
        <v>141</v>
      </c>
      <c r="F5" s="45" t="s">
        <v>142</v>
      </c>
      <c r="G5" s="9" t="s">
        <v>111</v>
      </c>
      <c r="H5" s="9" t="s">
        <v>112</v>
      </c>
      <c r="I5" s="9" t="s">
        <v>113</v>
      </c>
      <c r="J5" s="9" t="s">
        <v>114</v>
      </c>
      <c r="K5" s="9" t="s">
        <v>115</v>
      </c>
      <c r="L5" s="9" t="s">
        <v>116</v>
      </c>
      <c r="M5" s="9" t="s">
        <v>117</v>
      </c>
      <c r="N5" s="9" t="s">
        <v>118</v>
      </c>
      <c r="O5" s="9" t="s">
        <v>119</v>
      </c>
      <c r="P5" s="9" t="s">
        <v>120</v>
      </c>
      <c r="Q5" s="9" t="s">
        <v>121</v>
      </c>
      <c r="R5" s="9" t="s">
        <v>122</v>
      </c>
      <c r="S5" s="9" t="s">
        <v>123</v>
      </c>
      <c r="T5" s="9" t="s">
        <v>26</v>
      </c>
      <c r="U5" s="225" t="s">
        <v>124</v>
      </c>
      <c r="V5" s="225" t="s">
        <v>125</v>
      </c>
      <c r="W5" s="9" t="s">
        <v>27</v>
      </c>
      <c r="X5" s="9" t="s">
        <v>143</v>
      </c>
      <c r="Y5" s="9" t="s">
        <v>126</v>
      </c>
      <c r="Z5" s="9" t="s">
        <v>127</v>
      </c>
      <c r="AA5" s="161" t="s">
        <v>128</v>
      </c>
      <c r="AB5" s="133" t="s">
        <v>129</v>
      </c>
    </row>
    <row r="6" spans="1:28" ht="16" thickBot="1" x14ac:dyDescent="0.3">
      <c r="A6" s="263" t="s">
        <v>148</v>
      </c>
      <c r="B6" s="269" t="s">
        <v>147</v>
      </c>
      <c r="C6" s="270" t="s">
        <v>149</v>
      </c>
      <c r="D6" s="135">
        <v>12</v>
      </c>
      <c r="E6" s="228">
        <v>0.14000000000000001</v>
      </c>
      <c r="F6" s="228">
        <v>0.14000000000000001</v>
      </c>
      <c r="G6" s="244">
        <v>0.83599999999999997</v>
      </c>
      <c r="H6" s="147">
        <f>Paėmimas!V9</f>
        <v>40</v>
      </c>
      <c r="I6" s="128">
        <v>1000</v>
      </c>
      <c r="J6" s="247">
        <v>1</v>
      </c>
      <c r="K6" s="138">
        <f>SUM(I6:J6)</f>
        <v>1001</v>
      </c>
      <c r="L6" s="139">
        <f>AA6*22.4</f>
        <v>29.060863999999988</v>
      </c>
      <c r="M6" s="65">
        <f>G6*129*(SQRT(E6*(273+H6)/(I6+J6)/L6))</f>
        <v>4.1856303808885986</v>
      </c>
      <c r="N6" s="65">
        <f>G6*129*(SQRT(F6*(273+H6)/(I6+J6)/L6))</f>
        <v>4.1856303808885986</v>
      </c>
      <c r="O6" s="65">
        <f>AVERAGE(M6:N14)</f>
        <v>4.1856303808885977</v>
      </c>
      <c r="P6" s="230">
        <v>4</v>
      </c>
      <c r="Q6" s="140">
        <f>+(3.14*P6*P6/4)</f>
        <v>12.56</v>
      </c>
      <c r="R6" s="141">
        <f>O6*Q6</f>
        <v>52.571517583960791</v>
      </c>
      <c r="S6" s="141">
        <f>+(I6+J6)/(273+H6)*0.269*R6</f>
        <v>45.226453572893099</v>
      </c>
      <c r="T6" s="171">
        <f>H2O!I7</f>
        <v>5.0000000000000001E-3</v>
      </c>
      <c r="U6" s="142">
        <f>T6/(1.29*W6)</f>
        <v>4.2265197828811746E-2</v>
      </c>
      <c r="V6" s="143">
        <f>S6*1/(1+(U6*1.29/0.8038))</f>
        <v>42.353590990710913</v>
      </c>
      <c r="W6" s="172">
        <f>H2O!H7</f>
        <v>9.1705923344947746E-2</v>
      </c>
      <c r="X6" s="233">
        <v>8.3000000000000004E-2</v>
      </c>
      <c r="Y6" s="144">
        <f>V6*X6</f>
        <v>3.5153480522290059</v>
      </c>
      <c r="Z6" s="145">
        <f>O6*X6</f>
        <v>0.34740732161375365</v>
      </c>
      <c r="AA6" s="173">
        <f>Aerodinamika!G31</f>
        <v>1.2973599999999996</v>
      </c>
      <c r="AB6" s="266" t="s">
        <v>146</v>
      </c>
    </row>
    <row r="7" spans="1:28" x14ac:dyDescent="0.25">
      <c r="A7" s="264"/>
      <c r="B7" s="269"/>
      <c r="C7" s="270"/>
      <c r="D7" s="135">
        <v>39</v>
      </c>
      <c r="E7" s="228">
        <v>0.14000000000000001</v>
      </c>
      <c r="F7" s="228">
        <v>0.14000000000000001</v>
      </c>
      <c r="G7" s="146">
        <f>(G6)</f>
        <v>0.83599999999999997</v>
      </c>
      <c r="H7" s="147">
        <f t="shared" ref="H7:J7" si="0">(H6)</f>
        <v>40</v>
      </c>
      <c r="I7" s="148">
        <f t="shared" si="0"/>
        <v>1000</v>
      </c>
      <c r="J7" s="149">
        <f t="shared" si="0"/>
        <v>1</v>
      </c>
      <c r="K7" s="138">
        <f t="shared" ref="K7:K14" si="1">SUM(I7:J7)</f>
        <v>1001</v>
      </c>
      <c r="L7" s="139">
        <f>AA6*22.4</f>
        <v>29.060863999999988</v>
      </c>
      <c r="M7" s="65">
        <f t="shared" ref="M7:M14" si="2">G7*129*(SQRT(E7*(273+H7)/(I7+J7)/L7))</f>
        <v>4.1856303808885986</v>
      </c>
      <c r="N7" s="65">
        <f t="shared" ref="N7:N14" si="3">G7*129*(SQRT(F7*(273+H7)/(I7+J7)/L7))</f>
        <v>4.1856303808885986</v>
      </c>
      <c r="O7" s="150"/>
      <c r="P7" s="231">
        <v>0.5</v>
      </c>
      <c r="Q7" s="151">
        <f>+(P8*P7)</f>
        <v>0.375</v>
      </c>
      <c r="R7" s="141">
        <f>O6*Q7</f>
        <v>1.5696113928332243</v>
      </c>
      <c r="S7" s="141">
        <f>+(I6+J6)/(273+H6)*0.269*R7</f>
        <v>1.350312109063289</v>
      </c>
      <c r="T7" s="171">
        <f>H2O!I7</f>
        <v>5.0000000000000001E-3</v>
      </c>
      <c r="U7" s="142">
        <f>T7/(1.29*W7)</f>
        <v>4.2265197828811746E-2</v>
      </c>
      <c r="V7" s="143">
        <f>S7*(1/(1+(U7*1.29/0.8038)))</f>
        <v>1.264537947572977</v>
      </c>
      <c r="W7" s="172">
        <f>H2O!H7</f>
        <v>9.1705923344947746E-2</v>
      </c>
      <c r="X7" s="233">
        <v>8.3000000000000004E-2</v>
      </c>
      <c r="Y7" s="144">
        <f>V7*X7</f>
        <v>0.1049566496485571</v>
      </c>
      <c r="Z7" s="145">
        <f>O6*X7</f>
        <v>0.34740732161375365</v>
      </c>
      <c r="AB7" s="267"/>
    </row>
    <row r="8" spans="1:28" x14ac:dyDescent="0.25">
      <c r="A8" s="264"/>
      <c r="B8" s="269"/>
      <c r="C8" s="270"/>
      <c r="D8" s="152">
        <v>71</v>
      </c>
      <c r="E8" s="228">
        <v>0.14000000000000001</v>
      </c>
      <c r="F8" s="229">
        <v>0.14000000000000001</v>
      </c>
      <c r="G8" s="146">
        <f>(G6)</f>
        <v>0.83599999999999997</v>
      </c>
      <c r="H8" s="147">
        <f t="shared" ref="H8:J8" si="4">(H6)</f>
        <v>40</v>
      </c>
      <c r="I8" s="148">
        <f t="shared" si="4"/>
        <v>1000</v>
      </c>
      <c r="J8" s="149">
        <f t="shared" si="4"/>
        <v>1</v>
      </c>
      <c r="K8" s="153">
        <f t="shared" si="1"/>
        <v>1001</v>
      </c>
      <c r="L8" s="139">
        <f>AA6*22.4</f>
        <v>29.060863999999988</v>
      </c>
      <c r="M8" s="154">
        <f t="shared" si="2"/>
        <v>4.1856303808885986</v>
      </c>
      <c r="N8" s="154">
        <f t="shared" si="3"/>
        <v>4.1856303808885986</v>
      </c>
      <c r="O8" s="155"/>
      <c r="P8" s="232">
        <v>0.75</v>
      </c>
      <c r="Q8" s="156"/>
      <c r="R8" s="157"/>
      <c r="S8" s="157"/>
    </row>
    <row r="9" spans="1:28" x14ac:dyDescent="0.25">
      <c r="A9" s="264"/>
      <c r="B9" s="269"/>
      <c r="C9" s="270"/>
      <c r="D9" s="135">
        <v>116</v>
      </c>
      <c r="E9" s="228">
        <v>0.14000000000000001</v>
      </c>
      <c r="F9" s="228">
        <v>0.14000000000000001</v>
      </c>
      <c r="G9" s="146">
        <f>(G6)</f>
        <v>0.83599999999999997</v>
      </c>
      <c r="H9" s="147">
        <f t="shared" ref="H9:J9" si="5">(H6)</f>
        <v>40</v>
      </c>
      <c r="I9" s="148">
        <f t="shared" si="5"/>
        <v>1000</v>
      </c>
      <c r="J9" s="149">
        <f t="shared" si="5"/>
        <v>1</v>
      </c>
      <c r="K9" s="138">
        <f t="shared" si="1"/>
        <v>1001</v>
      </c>
      <c r="L9" s="139">
        <f>AA6*22.4</f>
        <v>29.060863999999988</v>
      </c>
      <c r="M9" s="154">
        <f t="shared" si="2"/>
        <v>4.1856303808885986</v>
      </c>
      <c r="N9" s="154">
        <f t="shared" si="3"/>
        <v>4.1856303808885986</v>
      </c>
      <c r="O9" s="134"/>
      <c r="P9" s="134"/>
      <c r="Q9" s="134"/>
      <c r="R9" s="134"/>
      <c r="S9" s="134"/>
      <c r="W9" s="158" t="s">
        <v>130</v>
      </c>
      <c r="AA9" s="158" t="s">
        <v>130</v>
      </c>
    </row>
    <row r="10" spans="1:28" x14ac:dyDescent="0.25">
      <c r="A10" s="264"/>
      <c r="B10" s="269"/>
      <c r="C10" s="270"/>
      <c r="D10" s="135">
        <v>200</v>
      </c>
      <c r="E10" s="228">
        <v>0.14000000000000001</v>
      </c>
      <c r="F10" s="228">
        <v>0.14000000000000001</v>
      </c>
      <c r="G10" s="146">
        <f>(G6)</f>
        <v>0.83599999999999997</v>
      </c>
      <c r="H10" s="147">
        <f t="shared" ref="H10:J10" si="6">(H6)</f>
        <v>40</v>
      </c>
      <c r="I10" s="148">
        <f t="shared" si="6"/>
        <v>1000</v>
      </c>
      <c r="J10" s="149">
        <f t="shared" si="6"/>
        <v>1</v>
      </c>
      <c r="K10" s="138">
        <f t="shared" si="1"/>
        <v>1001</v>
      </c>
      <c r="L10" s="139">
        <f>AA6*22.4</f>
        <v>29.060863999999988</v>
      </c>
      <c r="M10" s="154">
        <f t="shared" si="2"/>
        <v>4.1856303808885986</v>
      </c>
      <c r="N10" s="154">
        <f t="shared" si="3"/>
        <v>4.1856303808885986</v>
      </c>
    </row>
    <row r="11" spans="1:28" x14ac:dyDescent="0.25">
      <c r="A11" s="264"/>
      <c r="B11" s="269"/>
      <c r="C11" s="270"/>
      <c r="D11" s="135">
        <v>284</v>
      </c>
      <c r="E11" s="228">
        <v>0.14000000000000001</v>
      </c>
      <c r="F11" s="228">
        <v>0.14000000000000001</v>
      </c>
      <c r="G11" s="146">
        <f>(G6)</f>
        <v>0.83599999999999997</v>
      </c>
      <c r="H11" s="147">
        <f t="shared" ref="H11:J11" si="7">(H6)</f>
        <v>40</v>
      </c>
      <c r="I11" s="148">
        <f t="shared" si="7"/>
        <v>1000</v>
      </c>
      <c r="J11" s="149">
        <f t="shared" si="7"/>
        <v>1</v>
      </c>
      <c r="K11" s="138">
        <f t="shared" si="1"/>
        <v>1001</v>
      </c>
      <c r="L11" s="139">
        <f>AA6*22.4</f>
        <v>29.060863999999988</v>
      </c>
      <c r="M11" s="154">
        <f t="shared" si="2"/>
        <v>4.1856303808885986</v>
      </c>
      <c r="N11" s="154">
        <f t="shared" si="3"/>
        <v>4.1856303808885986</v>
      </c>
    </row>
    <row r="12" spans="1:28" x14ac:dyDescent="0.25">
      <c r="A12" s="264"/>
      <c r="B12" s="269"/>
      <c r="C12" s="270"/>
      <c r="D12" s="135">
        <v>329</v>
      </c>
      <c r="E12" s="228">
        <v>0.14000000000000001</v>
      </c>
      <c r="F12" s="228">
        <v>0.14000000000000001</v>
      </c>
      <c r="G12" s="146">
        <f>(G6)</f>
        <v>0.83599999999999997</v>
      </c>
      <c r="H12" s="147">
        <f t="shared" ref="H12:J12" si="8">(H6)</f>
        <v>40</v>
      </c>
      <c r="I12" s="148">
        <f t="shared" si="8"/>
        <v>1000</v>
      </c>
      <c r="J12" s="149">
        <f t="shared" si="8"/>
        <v>1</v>
      </c>
      <c r="K12" s="138">
        <f t="shared" si="1"/>
        <v>1001</v>
      </c>
      <c r="L12" s="139">
        <f>AA6*22.4</f>
        <v>29.060863999999988</v>
      </c>
      <c r="M12" s="154">
        <f t="shared" si="2"/>
        <v>4.1856303808885986</v>
      </c>
      <c r="N12" s="154">
        <f t="shared" si="3"/>
        <v>4.1856303808885986</v>
      </c>
    </row>
    <row r="13" spans="1:28" x14ac:dyDescent="0.25">
      <c r="A13" s="264"/>
      <c r="B13" s="269"/>
      <c r="C13" s="270"/>
      <c r="D13" s="135">
        <v>361</v>
      </c>
      <c r="E13" s="228">
        <v>0.14000000000000001</v>
      </c>
      <c r="F13" s="228">
        <v>0.14000000000000001</v>
      </c>
      <c r="G13" s="146">
        <f>(G6)</f>
        <v>0.83599999999999997</v>
      </c>
      <c r="H13" s="147">
        <f t="shared" ref="H13:J13" si="9">(H6)</f>
        <v>40</v>
      </c>
      <c r="I13" s="148">
        <f t="shared" si="9"/>
        <v>1000</v>
      </c>
      <c r="J13" s="149">
        <f t="shared" si="9"/>
        <v>1</v>
      </c>
      <c r="K13" s="138">
        <f t="shared" si="1"/>
        <v>1001</v>
      </c>
      <c r="L13" s="139">
        <f>AA6*22.4</f>
        <v>29.060863999999988</v>
      </c>
      <c r="M13" s="154">
        <f t="shared" si="2"/>
        <v>4.1856303808885986</v>
      </c>
      <c r="N13" s="154">
        <f t="shared" si="3"/>
        <v>4.1856303808885986</v>
      </c>
      <c r="O13" s="132"/>
    </row>
    <row r="14" spans="1:28" x14ac:dyDescent="0.25">
      <c r="A14" s="264"/>
      <c r="B14" s="269"/>
      <c r="C14" s="270"/>
      <c r="D14" s="135">
        <v>388</v>
      </c>
      <c r="E14" s="228">
        <v>0.14000000000000001</v>
      </c>
      <c r="F14" s="228">
        <v>0.14000000000000001</v>
      </c>
      <c r="G14" s="146">
        <f>(G6)</f>
        <v>0.83599999999999997</v>
      </c>
      <c r="H14" s="147">
        <f t="shared" ref="H14:J14" si="10">(H6)</f>
        <v>40</v>
      </c>
      <c r="I14" s="148">
        <f t="shared" si="10"/>
        <v>1000</v>
      </c>
      <c r="J14" s="149">
        <f t="shared" si="10"/>
        <v>1</v>
      </c>
      <c r="K14" s="138">
        <f t="shared" si="1"/>
        <v>1001</v>
      </c>
      <c r="L14" s="139">
        <f>AA6*22.4</f>
        <v>29.060863999999988</v>
      </c>
      <c r="M14" s="154">
        <f t="shared" si="2"/>
        <v>4.1856303808885986</v>
      </c>
      <c r="N14" s="154">
        <f t="shared" si="3"/>
        <v>4.1856303808885986</v>
      </c>
      <c r="R14" s="38"/>
      <c r="S14" s="38"/>
      <c r="T14" s="38"/>
      <c r="U14" s="38"/>
    </row>
    <row r="15" spans="1:28" x14ac:dyDescent="0.25">
      <c r="A15" s="264"/>
      <c r="B15" s="134"/>
      <c r="C15" s="134"/>
      <c r="D15" s="134"/>
      <c r="E15" s="159"/>
      <c r="F15" s="136"/>
      <c r="G15" s="160"/>
      <c r="H15" s="134"/>
      <c r="I15" s="134"/>
      <c r="J15" s="134"/>
      <c r="K15" s="134"/>
      <c r="L15" s="134"/>
      <c r="M15" s="134"/>
      <c r="N15" s="137"/>
      <c r="O15" s="131" t="s">
        <v>131</v>
      </c>
      <c r="P15" s="131" t="s">
        <v>132</v>
      </c>
    </row>
    <row r="16" spans="1:28" x14ac:dyDescent="0.25">
      <c r="A16" s="264"/>
      <c r="B16" s="161"/>
      <c r="C16" s="161"/>
      <c r="D16" s="152" t="s">
        <v>133</v>
      </c>
      <c r="E16" s="271" t="s">
        <v>134</v>
      </c>
      <c r="F16" s="272"/>
      <c r="G16" s="272"/>
      <c r="H16" s="272"/>
      <c r="I16" s="272"/>
      <c r="J16" s="272"/>
      <c r="K16" s="272"/>
      <c r="L16" s="272"/>
      <c r="M16" s="272"/>
      <c r="N16" s="273"/>
    </row>
    <row r="17" spans="1:28" x14ac:dyDescent="0.25">
      <c r="A17" s="264"/>
      <c r="B17" s="134"/>
      <c r="C17" s="134"/>
      <c r="E17" s="162"/>
      <c r="F17" s="162"/>
      <c r="G17" s="163"/>
      <c r="N17" s="164"/>
    </row>
    <row r="18" spans="1:28" x14ac:dyDescent="0.25">
      <c r="A18" s="264"/>
      <c r="B18" s="134"/>
      <c r="C18" s="134"/>
      <c r="E18" s="162"/>
      <c r="F18" s="162"/>
      <c r="G18" s="163"/>
      <c r="N18" s="164"/>
      <c r="P18" s="131" t="s">
        <v>135</v>
      </c>
    </row>
    <row r="19" spans="1:28" x14ac:dyDescent="0.25">
      <c r="A19" s="264"/>
      <c r="B19" s="134"/>
      <c r="C19" s="134"/>
      <c r="E19" s="38"/>
      <c r="F19" s="38"/>
      <c r="N19" s="164"/>
    </row>
    <row r="20" spans="1:28" x14ac:dyDescent="0.25">
      <c r="A20" s="264"/>
      <c r="B20" s="161"/>
      <c r="C20" s="161"/>
      <c r="D20" s="274" t="s">
        <v>136</v>
      </c>
      <c r="E20" s="268"/>
      <c r="F20" s="268"/>
      <c r="G20" s="268"/>
      <c r="H20" s="268"/>
      <c r="I20" s="268"/>
      <c r="J20" s="268"/>
      <c r="K20" s="268"/>
      <c r="L20" s="268"/>
      <c r="M20" s="268"/>
      <c r="N20" s="268"/>
      <c r="O20" s="268"/>
      <c r="P20" s="268"/>
      <c r="Q20" s="268"/>
      <c r="R20" s="268"/>
      <c r="S20" s="268"/>
      <c r="T20" s="268"/>
      <c r="U20" s="268"/>
      <c r="V20" s="268"/>
      <c r="W20" s="268"/>
      <c r="X20" s="268"/>
      <c r="Y20" s="268"/>
      <c r="Z20" s="268"/>
    </row>
    <row r="21" spans="1:28" x14ac:dyDescent="0.25">
      <c r="A21" s="264"/>
      <c r="B21" s="134"/>
      <c r="C21" s="134"/>
      <c r="D21" s="165"/>
      <c r="E21" s="166"/>
      <c r="F21" s="166"/>
      <c r="G21" s="165"/>
      <c r="H21" s="165"/>
      <c r="I21" s="165"/>
      <c r="J21" s="165"/>
      <c r="K21" s="165"/>
      <c r="L21" s="165"/>
      <c r="M21" s="165"/>
      <c r="N21" s="167"/>
      <c r="O21" s="165"/>
    </row>
    <row r="22" spans="1:28" s="10" customFormat="1" ht="126" x14ac:dyDescent="0.25">
      <c r="A22" s="265"/>
      <c r="B22" s="9" t="s">
        <v>82</v>
      </c>
      <c r="C22" s="9" t="s">
        <v>9</v>
      </c>
      <c r="D22" s="62" t="s">
        <v>110</v>
      </c>
      <c r="E22" s="62" t="s">
        <v>141</v>
      </c>
      <c r="F22" s="62" t="s">
        <v>142</v>
      </c>
      <c r="G22" s="168" t="s">
        <v>111</v>
      </c>
      <c r="H22" s="168" t="s">
        <v>112</v>
      </c>
      <c r="I22" s="168" t="s">
        <v>113</v>
      </c>
      <c r="J22" s="168" t="s">
        <v>114</v>
      </c>
      <c r="K22" s="168" t="s">
        <v>115</v>
      </c>
      <c r="L22" s="168" t="s">
        <v>116</v>
      </c>
      <c r="M22" s="168" t="s">
        <v>117</v>
      </c>
      <c r="N22" s="168" t="s">
        <v>118</v>
      </c>
      <c r="O22" s="168" t="s">
        <v>119</v>
      </c>
      <c r="P22" s="9" t="s">
        <v>120</v>
      </c>
      <c r="Q22" s="9" t="s">
        <v>121</v>
      </c>
      <c r="R22" s="9" t="s">
        <v>122</v>
      </c>
      <c r="S22" s="9" t="s">
        <v>123</v>
      </c>
      <c r="T22" s="9" t="s">
        <v>26</v>
      </c>
      <c r="U22" s="225" t="s">
        <v>124</v>
      </c>
      <c r="V22" s="225" t="s">
        <v>125</v>
      </c>
      <c r="W22" s="9" t="s">
        <v>27</v>
      </c>
      <c r="X22" s="9" t="s">
        <v>143</v>
      </c>
      <c r="Y22" s="9" t="s">
        <v>126</v>
      </c>
      <c r="Z22" s="9" t="s">
        <v>127</v>
      </c>
      <c r="AA22" s="161" t="s">
        <v>128</v>
      </c>
      <c r="AB22" s="133" t="s">
        <v>129</v>
      </c>
    </row>
    <row r="23" spans="1:28" ht="16" thickBot="1" x14ac:dyDescent="0.3">
      <c r="A23" s="260"/>
      <c r="B23" s="260"/>
      <c r="C23" s="260"/>
      <c r="D23" s="135">
        <v>12</v>
      </c>
      <c r="E23" s="159"/>
      <c r="F23" s="159"/>
      <c r="G23" s="82"/>
      <c r="H23" s="241">
        <v>40</v>
      </c>
      <c r="I23" s="128">
        <v>1000</v>
      </c>
      <c r="J23" s="247">
        <v>1</v>
      </c>
      <c r="K23" s="138">
        <f>SUM(I23:J23)</f>
        <v>1001</v>
      </c>
      <c r="L23" s="139">
        <f>AA23*22.4</f>
        <v>29.060863999999988</v>
      </c>
      <c r="M23" s="247">
        <v>4.1856303808885986</v>
      </c>
      <c r="N23" s="247">
        <v>4.1856303808885986</v>
      </c>
      <c r="O23" s="65">
        <f>AVERAGE(M23:N31)</f>
        <v>4.1856303808885977</v>
      </c>
      <c r="P23" s="230">
        <v>4</v>
      </c>
      <c r="Q23" s="140">
        <f>+(3.14*P23*P23/4)</f>
        <v>12.56</v>
      </c>
      <c r="R23" s="141">
        <f>O23*Q23</f>
        <v>52.571517583960791</v>
      </c>
      <c r="S23" s="141">
        <f>+(I23+J23)/(273+H23)*0.269*R23</f>
        <v>45.226453572893099</v>
      </c>
      <c r="T23" s="171">
        <f>H2O!I7</f>
        <v>5.0000000000000001E-3</v>
      </c>
      <c r="U23" s="142">
        <f>T23/(1.29*W23)</f>
        <v>4.2265197828811746E-2</v>
      </c>
      <c r="V23" s="143">
        <f>S23*1/(1+(U23*1.29/0.8038))</f>
        <v>42.353590990710913</v>
      </c>
      <c r="W23" s="172">
        <f>H2O!H7</f>
        <v>9.1705923344947746E-2</v>
      </c>
      <c r="X23" s="248">
        <v>8.3000000000000004E-2</v>
      </c>
      <c r="Y23" s="143">
        <f>V23*X23</f>
        <v>3.5153480522290059</v>
      </c>
      <c r="Z23" s="145">
        <f>O23*X23</f>
        <v>0.34740732161375365</v>
      </c>
      <c r="AA23" s="173">
        <f>Aerodinamika!G31</f>
        <v>1.2973599999999996</v>
      </c>
      <c r="AB23" s="266"/>
    </row>
    <row r="24" spans="1:28" x14ac:dyDescent="0.25">
      <c r="A24" s="261"/>
      <c r="B24" s="261"/>
      <c r="C24" s="261"/>
      <c r="D24" s="135">
        <v>39</v>
      </c>
      <c r="E24" s="159"/>
      <c r="F24" s="159"/>
      <c r="G24" s="82"/>
      <c r="H24" s="241">
        <v>40</v>
      </c>
      <c r="I24" s="128">
        <v>1000</v>
      </c>
      <c r="J24" s="247">
        <v>1</v>
      </c>
      <c r="K24" s="138">
        <f t="shared" ref="K24:K31" si="11">SUM(I24:J24)</f>
        <v>1001</v>
      </c>
      <c r="L24" s="139">
        <f>AA23*22.4</f>
        <v>29.060863999999988</v>
      </c>
      <c r="M24" s="247">
        <v>4.1856303808885986</v>
      </c>
      <c r="N24" s="247">
        <v>4.1856303808885986</v>
      </c>
      <c r="O24" s="150"/>
      <c r="P24" s="231">
        <v>0.5</v>
      </c>
      <c r="Q24" s="151">
        <f>+(P25*P24)</f>
        <v>0.375</v>
      </c>
      <c r="R24" s="141">
        <f>O23*Q24</f>
        <v>1.5696113928332243</v>
      </c>
      <c r="S24" s="141">
        <f>+(I23+J23)/(273+H23)*0.269*R24</f>
        <v>1.350312109063289</v>
      </c>
      <c r="T24" s="171">
        <f>H2O!I7</f>
        <v>5.0000000000000001E-3</v>
      </c>
      <c r="U24" s="142">
        <f>T24/(1.29*W24)</f>
        <v>4.2265197828811746E-2</v>
      </c>
      <c r="V24" s="143">
        <f>S24*(1/(1+(U24*1.29/0.8038)))</f>
        <v>1.264537947572977</v>
      </c>
      <c r="W24" s="172">
        <f>H2O!H7</f>
        <v>9.1705923344947746E-2</v>
      </c>
      <c r="X24" s="248">
        <v>8.3000000000000004E-2</v>
      </c>
      <c r="Y24" s="143">
        <f>V24*X24</f>
        <v>0.1049566496485571</v>
      </c>
      <c r="Z24" s="145">
        <f>O23*X24</f>
        <v>0.34740732161375365</v>
      </c>
      <c r="AB24" s="267"/>
    </row>
    <row r="25" spans="1:28" x14ac:dyDescent="0.25">
      <c r="A25" s="261"/>
      <c r="B25" s="261"/>
      <c r="C25" s="261"/>
      <c r="D25" s="152">
        <v>71</v>
      </c>
      <c r="E25" s="169"/>
      <c r="F25" s="169"/>
      <c r="G25" s="170"/>
      <c r="H25" s="241">
        <v>40</v>
      </c>
      <c r="I25" s="128">
        <v>1000</v>
      </c>
      <c r="J25" s="247">
        <v>1</v>
      </c>
      <c r="K25" s="153">
        <f t="shared" si="11"/>
        <v>1001</v>
      </c>
      <c r="L25" s="139">
        <f>AA23*22.4</f>
        <v>29.060863999999988</v>
      </c>
      <c r="M25" s="247">
        <v>4.1856303808885986</v>
      </c>
      <c r="N25" s="247">
        <v>4.1856303808885986</v>
      </c>
      <c r="O25" s="155"/>
      <c r="P25" s="232">
        <v>0.75</v>
      </c>
      <c r="Q25" s="156"/>
      <c r="R25" s="157"/>
      <c r="S25" s="157"/>
    </row>
    <row r="26" spans="1:28" x14ac:dyDescent="0.25">
      <c r="A26" s="261"/>
      <c r="B26" s="261"/>
      <c r="C26" s="261"/>
      <c r="D26" s="135">
        <v>116</v>
      </c>
      <c r="E26" s="159"/>
      <c r="F26" s="159"/>
      <c r="G26" s="82"/>
      <c r="H26" s="241">
        <v>40</v>
      </c>
      <c r="I26" s="128">
        <v>1000</v>
      </c>
      <c r="J26" s="247">
        <v>1</v>
      </c>
      <c r="K26" s="138">
        <f t="shared" si="11"/>
        <v>1001</v>
      </c>
      <c r="L26" s="139">
        <f>AA23*22.4</f>
        <v>29.060863999999988</v>
      </c>
      <c r="M26" s="247">
        <v>4.1856303808885986</v>
      </c>
      <c r="N26" s="247">
        <v>4.1856303808885986</v>
      </c>
      <c r="O26" s="134"/>
      <c r="P26" s="134"/>
      <c r="Q26" s="134"/>
      <c r="R26" s="134"/>
      <c r="S26" s="134"/>
      <c r="X26" s="158" t="s">
        <v>130</v>
      </c>
      <c r="AA26" s="158" t="s">
        <v>130</v>
      </c>
    </row>
    <row r="27" spans="1:28" x14ac:dyDescent="0.25">
      <c r="A27" s="261"/>
      <c r="B27" s="261"/>
      <c r="C27" s="261"/>
      <c r="D27" s="135">
        <v>200</v>
      </c>
      <c r="E27" s="159"/>
      <c r="F27" s="159"/>
      <c r="G27" s="82"/>
      <c r="H27" s="241">
        <v>40</v>
      </c>
      <c r="I27" s="128">
        <v>1000</v>
      </c>
      <c r="J27" s="247">
        <v>1</v>
      </c>
      <c r="K27" s="138">
        <f t="shared" si="11"/>
        <v>1001</v>
      </c>
      <c r="L27" s="139">
        <f>AA23*22.4</f>
        <v>29.060863999999988</v>
      </c>
      <c r="M27" s="247">
        <v>4.1856303808885986</v>
      </c>
      <c r="N27" s="247">
        <v>4.1856303808885986</v>
      </c>
    </row>
    <row r="28" spans="1:28" x14ac:dyDescent="0.25">
      <c r="A28" s="261"/>
      <c r="B28" s="261"/>
      <c r="C28" s="261"/>
      <c r="D28" s="135">
        <v>284</v>
      </c>
      <c r="E28" s="159"/>
      <c r="F28" s="159"/>
      <c r="G28" s="82"/>
      <c r="H28" s="241">
        <v>40</v>
      </c>
      <c r="I28" s="128">
        <v>1000</v>
      </c>
      <c r="J28" s="247">
        <v>1</v>
      </c>
      <c r="K28" s="138">
        <f t="shared" si="11"/>
        <v>1001</v>
      </c>
      <c r="L28" s="139">
        <f>AA23*22.4</f>
        <v>29.060863999999988</v>
      </c>
      <c r="M28" s="247">
        <v>4.1856303808885986</v>
      </c>
      <c r="N28" s="247">
        <v>4.1856303808885986</v>
      </c>
    </row>
    <row r="29" spans="1:28" x14ac:dyDescent="0.25">
      <c r="A29" s="261"/>
      <c r="B29" s="261"/>
      <c r="C29" s="261"/>
      <c r="D29" s="135">
        <v>329</v>
      </c>
      <c r="E29" s="159"/>
      <c r="F29" s="159"/>
      <c r="G29" s="82"/>
      <c r="H29" s="241">
        <v>40</v>
      </c>
      <c r="I29" s="128">
        <v>1000</v>
      </c>
      <c r="J29" s="247">
        <v>1</v>
      </c>
      <c r="K29" s="138">
        <f t="shared" si="11"/>
        <v>1001</v>
      </c>
      <c r="L29" s="139">
        <f>AA23*22.4</f>
        <v>29.060863999999988</v>
      </c>
      <c r="M29" s="247">
        <v>4.1856303808885986</v>
      </c>
      <c r="N29" s="247">
        <v>4.1856303808885986</v>
      </c>
    </row>
    <row r="30" spans="1:28" x14ac:dyDescent="0.25">
      <c r="A30" s="261"/>
      <c r="B30" s="261"/>
      <c r="C30" s="261"/>
      <c r="D30" s="135">
        <v>361</v>
      </c>
      <c r="E30" s="159"/>
      <c r="F30" s="159"/>
      <c r="G30" s="82"/>
      <c r="H30" s="241">
        <v>40</v>
      </c>
      <c r="I30" s="128">
        <v>1000</v>
      </c>
      <c r="J30" s="247">
        <v>1</v>
      </c>
      <c r="K30" s="138">
        <f t="shared" si="11"/>
        <v>1001</v>
      </c>
      <c r="L30" s="139">
        <f>AA23*22.4</f>
        <v>29.060863999999988</v>
      </c>
      <c r="M30" s="247">
        <v>4.1856303808885986</v>
      </c>
      <c r="N30" s="247">
        <v>4.1856303808885986</v>
      </c>
      <c r="O30" s="132"/>
    </row>
    <row r="31" spans="1:28" x14ac:dyDescent="0.25">
      <c r="A31" s="262"/>
      <c r="B31" s="262"/>
      <c r="C31" s="262"/>
      <c r="D31" s="135">
        <v>388</v>
      </c>
      <c r="E31" s="159"/>
      <c r="F31" s="159"/>
      <c r="G31" s="160"/>
      <c r="H31" s="241">
        <v>40</v>
      </c>
      <c r="I31" s="128">
        <v>1000</v>
      </c>
      <c r="J31" s="247">
        <v>1</v>
      </c>
      <c r="K31" s="138">
        <f t="shared" si="11"/>
        <v>1001</v>
      </c>
      <c r="L31" s="139">
        <f>AA23*22.4</f>
        <v>29.060863999999988</v>
      </c>
      <c r="M31" s="247">
        <v>4.1856303808885986</v>
      </c>
      <c r="N31" s="247">
        <v>4.1856303808885986</v>
      </c>
      <c r="R31" s="38"/>
      <c r="S31" s="38"/>
      <c r="T31" s="38"/>
      <c r="U31" s="38"/>
    </row>
  </sheetData>
  <sheetProtection algorithmName="SHA-512" hashValue="ecyaGde8bRCGGLjxH6/y64hd/Qu1QGpziWOApJzf8uG7KOwveh+XtxYm7qcvHDbOm4wNpJpjwTw6EQ3sZyT0Ww==" saltValue="0y2ywmKlSNb5pUNmtC6Umw==" spinCount="100000" sheet="1" formatCells="0" formatColumns="0" formatRows="0"/>
  <mergeCells count="11">
    <mergeCell ref="D3:Z3"/>
    <mergeCell ref="B6:B14"/>
    <mergeCell ref="C6:C14"/>
    <mergeCell ref="AB6:AB7"/>
    <mergeCell ref="E16:N16"/>
    <mergeCell ref="A23:A31"/>
    <mergeCell ref="B23:B31"/>
    <mergeCell ref="C23:C31"/>
    <mergeCell ref="A6:A22"/>
    <mergeCell ref="AB23:AB24"/>
    <mergeCell ref="D20:Z20"/>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82CE6F-4AAF-42E1-A4E9-B039A4011BD6}">
  <dimension ref="A1:L26"/>
  <sheetViews>
    <sheetView zoomScale="90" zoomScaleNormal="90" workbookViewId="0">
      <selection activeCell="Q13" sqref="Q13"/>
    </sheetView>
  </sheetViews>
  <sheetFormatPr defaultColWidth="9.1796875" defaultRowHeight="13" x14ac:dyDescent="0.3"/>
  <cols>
    <col min="1" max="1" width="12.453125" style="39" customWidth="1"/>
    <col min="2" max="2" width="8.453125" style="39" customWidth="1"/>
    <col min="3" max="4" width="9.1796875" style="39"/>
    <col min="5" max="5" width="10.7265625" style="39" customWidth="1"/>
    <col min="6" max="6" width="9.1796875" style="39"/>
    <col min="7" max="7" width="11.26953125" style="39" customWidth="1"/>
    <col min="8" max="8" width="12.1796875" style="39" customWidth="1"/>
    <col min="9" max="9" width="10.81640625" style="39" customWidth="1"/>
    <col min="10" max="10" width="10.54296875" style="39" customWidth="1"/>
    <col min="11" max="16384" width="9.1796875" style="39"/>
  </cols>
  <sheetData>
    <row r="1" spans="1:12" ht="15" x14ac:dyDescent="0.3">
      <c r="A1" s="38"/>
      <c r="B1" s="10"/>
      <c r="C1" s="10"/>
      <c r="D1" s="10"/>
      <c r="E1" s="10"/>
      <c r="F1" s="10"/>
      <c r="G1" s="10"/>
      <c r="H1" s="10"/>
      <c r="I1" s="10"/>
    </row>
    <row r="2" spans="1:12" ht="15" x14ac:dyDescent="0.3">
      <c r="A2" s="40"/>
      <c r="B2" s="10"/>
      <c r="C2" s="10"/>
      <c r="D2" s="10"/>
      <c r="E2" s="10"/>
      <c r="F2" s="10"/>
      <c r="G2" s="10"/>
      <c r="H2" s="10"/>
      <c r="I2" s="10"/>
    </row>
    <row r="3" spans="1:12" ht="23.25" customHeight="1" x14ac:dyDescent="0.3">
      <c r="A3" s="275" t="s">
        <v>108</v>
      </c>
      <c r="B3" s="275"/>
      <c r="C3" s="275"/>
      <c r="D3" s="275"/>
      <c r="E3" s="275"/>
      <c r="F3" s="275"/>
      <c r="G3" s="275"/>
      <c r="H3" s="275"/>
      <c r="I3" s="275"/>
      <c r="J3" s="275"/>
    </row>
    <row r="4" spans="1:12" ht="14" x14ac:dyDescent="0.3">
      <c r="A4" s="10"/>
      <c r="B4" s="10"/>
      <c r="C4" s="10"/>
      <c r="D4" s="10"/>
      <c r="E4" s="10"/>
      <c r="F4" s="10"/>
      <c r="G4" s="10"/>
      <c r="H4" s="10"/>
      <c r="I4" s="10"/>
    </row>
    <row r="5" spans="1:12" ht="84" x14ac:dyDescent="0.3">
      <c r="A5" s="9"/>
      <c r="B5" s="9" t="s">
        <v>37</v>
      </c>
      <c r="C5" s="9" t="s">
        <v>23</v>
      </c>
      <c r="D5" s="9" t="s">
        <v>24</v>
      </c>
      <c r="E5" s="9" t="s">
        <v>22</v>
      </c>
      <c r="F5" s="9" t="s">
        <v>38</v>
      </c>
      <c r="G5" s="9" t="s">
        <v>39</v>
      </c>
      <c r="H5" s="9" t="s">
        <v>27</v>
      </c>
      <c r="I5" s="9" t="s">
        <v>26</v>
      </c>
      <c r="J5" s="45" t="s">
        <v>69</v>
      </c>
      <c r="K5" s="45" t="s">
        <v>105</v>
      </c>
      <c r="L5" s="45" t="s">
        <v>6</v>
      </c>
    </row>
    <row r="6" spans="1:12" ht="17.25" customHeight="1" x14ac:dyDescent="0.3">
      <c r="A6" s="41"/>
      <c r="B6" s="9"/>
      <c r="C6" s="9"/>
      <c r="D6" s="9"/>
      <c r="E6" s="9"/>
      <c r="F6" s="9"/>
      <c r="G6" s="9"/>
      <c r="H6" s="9"/>
      <c r="I6" s="9"/>
      <c r="J6" s="53"/>
      <c r="K6" s="46"/>
      <c r="L6" s="46"/>
    </row>
    <row r="7" spans="1:12" ht="33" customHeight="1" x14ac:dyDescent="0.3">
      <c r="A7" s="41" t="s">
        <v>25</v>
      </c>
      <c r="B7" s="128">
        <v>10</v>
      </c>
      <c r="C7" s="127">
        <v>10</v>
      </c>
      <c r="D7" s="174">
        <f>Greitis!I6</f>
        <v>1000</v>
      </c>
      <c r="E7" s="242">
        <v>25.2</v>
      </c>
      <c r="F7" s="243">
        <v>14</v>
      </c>
      <c r="G7" s="65">
        <f>+(D7-E7)*B7*C7*0.27/(273+F7)</f>
        <v>91.705923344947749</v>
      </c>
      <c r="H7" s="66">
        <f>G7/1000</f>
        <v>9.1705923344947746E-2</v>
      </c>
      <c r="I7" s="245">
        <v>5.0000000000000001E-3</v>
      </c>
      <c r="J7" s="173">
        <f>Aerodinamika!G31</f>
        <v>1.2973599999999996</v>
      </c>
      <c r="K7" s="124">
        <f>(100*((I7/(H7*J7))/0.8038))/(((I7/(H7*J7))/0.8038)+(1/J7))</f>
        <v>6.352173020933173</v>
      </c>
      <c r="L7" s="46"/>
    </row>
    <row r="8" spans="1:12" ht="15" x14ac:dyDescent="0.3">
      <c r="A8" s="13"/>
      <c r="B8" s="81"/>
      <c r="C8" s="82"/>
      <c r="D8" s="13"/>
      <c r="E8" s="13"/>
      <c r="F8" s="42"/>
      <c r="G8" s="83"/>
      <c r="H8" s="84"/>
      <c r="I8" s="47"/>
      <c r="J8" s="53"/>
      <c r="K8" s="46"/>
      <c r="L8" s="46"/>
    </row>
    <row r="9" spans="1:12" ht="15" x14ac:dyDescent="0.3">
      <c r="A9" s="13"/>
      <c r="B9" s="81"/>
      <c r="C9" s="82"/>
      <c r="D9" s="13"/>
      <c r="E9" s="13"/>
      <c r="F9" s="42"/>
      <c r="G9" s="83"/>
      <c r="H9" s="84"/>
      <c r="I9" s="47"/>
      <c r="J9" s="53"/>
      <c r="K9" s="46"/>
      <c r="L9" s="46"/>
    </row>
    <row r="10" spans="1:12" ht="42.75" customHeight="1" x14ac:dyDescent="0.3">
      <c r="A10" s="86"/>
      <c r="B10" s="81"/>
      <c r="C10" s="13"/>
      <c r="D10" s="13"/>
      <c r="E10" s="13"/>
      <c r="F10" s="42"/>
      <c r="G10" s="85"/>
      <c r="H10" s="87"/>
      <c r="I10" s="88"/>
      <c r="J10" s="53"/>
      <c r="K10" s="46"/>
      <c r="L10" s="46"/>
    </row>
    <row r="11" spans="1:12" ht="12.75" customHeight="1" x14ac:dyDescent="0.3">
      <c r="H11" s="276" t="s">
        <v>30</v>
      </c>
      <c r="I11" s="279" t="s">
        <v>31</v>
      </c>
    </row>
    <row r="12" spans="1:12" ht="12.75" customHeight="1" x14ac:dyDescent="0.3">
      <c r="H12" s="277"/>
      <c r="I12" s="280"/>
    </row>
    <row r="13" spans="1:12" ht="12.75" customHeight="1" x14ac:dyDescent="0.3">
      <c r="H13" s="277"/>
      <c r="I13" s="280"/>
    </row>
    <row r="14" spans="1:12" x14ac:dyDescent="0.3">
      <c r="H14" s="277"/>
      <c r="I14" s="280"/>
    </row>
    <row r="15" spans="1:12" x14ac:dyDescent="0.3">
      <c r="H15" s="277"/>
      <c r="I15" s="280"/>
    </row>
    <row r="16" spans="1:12" x14ac:dyDescent="0.3">
      <c r="H16" s="277"/>
      <c r="I16" s="280"/>
    </row>
    <row r="17" spans="8:9" x14ac:dyDescent="0.3">
      <c r="H17" s="277"/>
      <c r="I17" s="280"/>
    </row>
    <row r="18" spans="8:9" x14ac:dyDescent="0.3">
      <c r="H18" s="278"/>
      <c r="I18" s="280"/>
    </row>
    <row r="19" spans="8:9" ht="12.75" customHeight="1" x14ac:dyDescent="0.3">
      <c r="I19" s="280"/>
    </row>
    <row r="20" spans="8:9" ht="12.75" customHeight="1" x14ac:dyDescent="0.3">
      <c r="I20" s="281"/>
    </row>
    <row r="21" spans="8:9" ht="12.75" customHeight="1" x14ac:dyDescent="0.3">
      <c r="I21" s="57"/>
    </row>
    <row r="22" spans="8:9" ht="12.75" customHeight="1" x14ac:dyDescent="0.3"/>
    <row r="23" spans="8:9" ht="14" x14ac:dyDescent="0.3">
      <c r="I23" s="56"/>
    </row>
    <row r="24" spans="8:9" ht="14" x14ac:dyDescent="0.3">
      <c r="I24" s="56"/>
    </row>
    <row r="25" spans="8:9" ht="14" x14ac:dyDescent="0.3">
      <c r="I25" s="56"/>
    </row>
    <row r="26" spans="8:9" ht="14" x14ac:dyDescent="0.3">
      <c r="I26" s="56"/>
    </row>
  </sheetData>
  <sheetProtection algorithmName="SHA-512" hashValue="vsA/nwLr0Dhf9eh67ecTlH1FUVwPEXu619v7Knny3aw2Q7fxwLaiHXjlaMzDBn74tTq+iJFURX0oZc6EcWh/fA==" saltValue="G3/kUvf5HPy2Ci9qKPTF0g==" spinCount="100000" sheet="1" formatCells="0" formatColumns="0" formatRows="0"/>
  <mergeCells count="3">
    <mergeCell ref="A3:J3"/>
    <mergeCell ref="H11:H18"/>
    <mergeCell ref="I11:I2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4B1EF9-C609-4FEA-8792-050D2DD22E64}">
  <sheetPr>
    <pageSetUpPr fitToPage="1"/>
  </sheetPr>
  <dimension ref="A1:Y81"/>
  <sheetViews>
    <sheetView zoomScale="80" zoomScaleNormal="80" workbookViewId="0">
      <pane ySplit="5" topLeftCell="A6" activePane="bottomLeft" state="frozen"/>
      <selection pane="bottomLeft" activeCell="V19" sqref="V19"/>
    </sheetView>
  </sheetViews>
  <sheetFormatPr defaultColWidth="9.1796875" defaultRowHeight="14" x14ac:dyDescent="0.3"/>
  <cols>
    <col min="1" max="2" width="13.26953125" style="14" customWidth="1"/>
    <col min="3" max="3" width="26.1796875" style="14" customWidth="1"/>
    <col min="4" max="4" width="11.1796875" style="14" customWidth="1"/>
    <col min="5" max="5" width="12.1796875" style="14" customWidth="1"/>
    <col min="6" max="6" width="13.7265625" style="14" customWidth="1"/>
    <col min="7" max="7" width="10.81640625" style="14" customWidth="1"/>
    <col min="8" max="8" width="9.81640625" style="14" customWidth="1"/>
    <col min="9" max="9" width="8.81640625" style="14" customWidth="1"/>
    <col min="10" max="10" width="10.54296875" style="14" customWidth="1"/>
    <col min="11" max="11" width="10.453125" style="14" customWidth="1"/>
    <col min="12" max="12" width="11.81640625" style="14" customWidth="1"/>
    <col min="13" max="13" width="9.81640625" style="14" customWidth="1"/>
    <col min="14" max="14" width="11.7265625" style="14" customWidth="1"/>
    <col min="15" max="15" width="12.81640625" style="14" customWidth="1"/>
    <col min="16" max="16" width="6.54296875" style="14" customWidth="1"/>
    <col min="17" max="17" width="7.7265625" style="14" customWidth="1"/>
    <col min="18" max="18" width="17.54296875" style="14" customWidth="1"/>
    <col min="19" max="19" width="15.26953125" style="14" customWidth="1"/>
    <col min="20" max="20" width="10.453125" style="14" customWidth="1"/>
    <col min="21" max="21" width="11.1796875" style="14" customWidth="1"/>
    <col min="22" max="22" width="13.453125" style="14" customWidth="1"/>
    <col min="23" max="23" width="5.1796875" style="14" customWidth="1"/>
    <col min="24" max="24" width="11.7265625" style="14" customWidth="1"/>
    <col min="25" max="25" width="10.26953125" style="14" customWidth="1"/>
    <col min="26" max="16384" width="9.1796875" style="14"/>
  </cols>
  <sheetData>
    <row r="1" spans="1:25" ht="30" customHeight="1" x14ac:dyDescent="0.3">
      <c r="C1" s="287" t="s">
        <v>18</v>
      </c>
      <c r="D1" s="287"/>
      <c r="E1" s="15"/>
      <c r="S1" s="16"/>
    </row>
    <row r="2" spans="1:25" ht="19.5" customHeight="1" x14ac:dyDescent="0.3">
      <c r="A2" s="288" t="s">
        <v>100</v>
      </c>
      <c r="B2" s="288"/>
      <c r="C2" s="288"/>
      <c r="D2" s="288"/>
      <c r="E2" s="288"/>
      <c r="F2" s="288"/>
      <c r="G2" s="288"/>
      <c r="H2" s="288"/>
      <c r="I2" s="288"/>
      <c r="J2" s="288"/>
      <c r="K2" s="288"/>
      <c r="L2" s="288"/>
      <c r="M2" s="288"/>
      <c r="N2" s="288"/>
      <c r="O2" s="288"/>
      <c r="P2" s="288"/>
      <c r="Q2" s="288"/>
      <c r="R2" s="288"/>
      <c r="S2" s="288"/>
    </row>
    <row r="3" spans="1:25" ht="19.5" customHeight="1" x14ac:dyDescent="0.3">
      <c r="A3" s="17"/>
      <c r="B3" s="17"/>
      <c r="C3" s="18"/>
      <c r="D3" s="18"/>
      <c r="E3" s="18"/>
      <c r="F3" s="18"/>
      <c r="G3" s="18"/>
      <c r="H3" s="18"/>
      <c r="I3" s="18"/>
      <c r="J3" s="18"/>
      <c r="K3" s="18"/>
      <c r="L3" s="18"/>
      <c r="M3" s="18"/>
      <c r="N3" s="18"/>
      <c r="O3" s="18"/>
      <c r="P3" s="18"/>
      <c r="Q3" s="18"/>
      <c r="R3" s="18"/>
      <c r="S3" s="18"/>
    </row>
    <row r="4" spans="1:25" ht="19.5" customHeight="1" x14ac:dyDescent="0.3">
      <c r="T4" s="28"/>
    </row>
    <row r="5" spans="1:25" ht="100.5" customHeight="1" x14ac:dyDescent="0.3">
      <c r="A5" s="11" t="s">
        <v>8</v>
      </c>
      <c r="B5" s="11" t="s">
        <v>49</v>
      </c>
      <c r="C5" s="11" t="s">
        <v>9</v>
      </c>
      <c r="D5" s="48" t="s">
        <v>50</v>
      </c>
      <c r="E5" s="48" t="s">
        <v>90</v>
      </c>
      <c r="F5" s="48" t="s">
        <v>51</v>
      </c>
      <c r="G5" s="48" t="s">
        <v>144</v>
      </c>
      <c r="H5" s="48" t="s">
        <v>52</v>
      </c>
      <c r="I5" s="48" t="s">
        <v>53</v>
      </c>
      <c r="J5" s="48" t="s">
        <v>54</v>
      </c>
      <c r="K5" s="48" t="s">
        <v>55</v>
      </c>
      <c r="L5" s="48" t="s">
        <v>56</v>
      </c>
      <c r="M5" s="48" t="s">
        <v>57</v>
      </c>
      <c r="N5" s="48" t="s">
        <v>58</v>
      </c>
      <c r="O5" s="48" t="s">
        <v>59</v>
      </c>
      <c r="P5" s="48" t="s">
        <v>60</v>
      </c>
      <c r="Q5" s="48" t="s">
        <v>61</v>
      </c>
      <c r="R5" s="48" t="s">
        <v>13</v>
      </c>
      <c r="S5" s="48" t="s">
        <v>6</v>
      </c>
      <c r="T5" s="129" t="s">
        <v>62</v>
      </c>
      <c r="U5" s="129" t="s">
        <v>63</v>
      </c>
      <c r="V5" s="12" t="s">
        <v>64</v>
      </c>
      <c r="X5" s="48" t="s">
        <v>145</v>
      </c>
      <c r="Y5" s="12" t="s">
        <v>16</v>
      </c>
    </row>
    <row r="6" spans="1:25" ht="15.5" x14ac:dyDescent="0.3">
      <c r="A6" s="184" t="str">
        <f>Greitis!A6</f>
        <v>XXXX-XX-XX</v>
      </c>
      <c r="B6" s="50" t="s">
        <v>146</v>
      </c>
      <c r="C6" s="283" t="str">
        <f>Greitis!C6</f>
        <v>XXXX</v>
      </c>
      <c r="D6" s="234">
        <v>1</v>
      </c>
      <c r="E6" s="235">
        <v>0.78500000000000003</v>
      </c>
      <c r="F6" s="185">
        <f>V9</f>
        <v>40</v>
      </c>
      <c r="G6" s="181">
        <f>Greitis!G6*129*(SQRT(X6*(273+F6)/(H6+I6)/Greitis!L6))</f>
        <v>4.1856303808885986</v>
      </c>
      <c r="H6" s="226">
        <f>Greitis!I6</f>
        <v>1000</v>
      </c>
      <c r="I6" s="227">
        <f>Greitis!J6</f>
        <v>1</v>
      </c>
      <c r="J6" s="238">
        <v>100</v>
      </c>
      <c r="K6" s="237">
        <v>7</v>
      </c>
      <c r="L6" s="58">
        <f>M6*N6/1000</f>
        <v>0.05</v>
      </c>
      <c r="M6" s="236">
        <v>5</v>
      </c>
      <c r="N6" s="239">
        <v>10</v>
      </c>
      <c r="O6" s="238">
        <v>10</v>
      </c>
      <c r="P6" s="187">
        <f>T9</f>
        <v>10</v>
      </c>
      <c r="Q6" s="187">
        <f>U9</f>
        <v>4</v>
      </c>
      <c r="R6" s="43" t="s">
        <v>146</v>
      </c>
      <c r="S6" s="44" t="s">
        <v>106</v>
      </c>
      <c r="T6" s="246">
        <v>10.02</v>
      </c>
      <c r="U6" s="246">
        <v>4.0999999999999996</v>
      </c>
      <c r="V6" s="238">
        <v>40.200000000000003</v>
      </c>
      <c r="X6" s="240">
        <f>Greitis!E6</f>
        <v>0.14000000000000001</v>
      </c>
      <c r="Y6" s="187">
        <f>Aerodinamika!K6</f>
        <v>1.0353315592396999</v>
      </c>
    </row>
    <row r="7" spans="1:25" x14ac:dyDescent="0.3">
      <c r="A7" s="37"/>
      <c r="B7" s="34"/>
      <c r="C7" s="284"/>
      <c r="D7" s="19"/>
      <c r="E7" s="20"/>
      <c r="F7" s="185">
        <f t="shared" ref="F7:H7" si="0">(F6)</f>
        <v>40</v>
      </c>
      <c r="G7" s="181">
        <f>Greitis!G7*129*(SQRT(X7*(273+F7)/(H7+I7)/Greitis!L7))</f>
        <v>4.1856303808885986</v>
      </c>
      <c r="H7" s="186">
        <f t="shared" si="0"/>
        <v>1000</v>
      </c>
      <c r="I7" s="187">
        <f t="shared" ref="I7" si="1">(I6)</f>
        <v>1</v>
      </c>
      <c r="J7" s="238">
        <v>100</v>
      </c>
      <c r="K7" s="185">
        <f t="shared" ref="K7:M7" si="2">(K6)</f>
        <v>7</v>
      </c>
      <c r="L7" s="58">
        <f>M7*N7/1000</f>
        <v>0.05</v>
      </c>
      <c r="M7" s="186">
        <f t="shared" si="2"/>
        <v>5</v>
      </c>
      <c r="N7" s="239">
        <v>10</v>
      </c>
      <c r="O7" s="238">
        <v>10</v>
      </c>
      <c r="P7" s="187">
        <f t="shared" ref="P7" si="3">(P6)</f>
        <v>10</v>
      </c>
      <c r="Q7" s="187">
        <f t="shared" ref="Q7" si="4">(Q6)</f>
        <v>4</v>
      </c>
      <c r="R7" s="23"/>
      <c r="S7" s="51"/>
      <c r="T7" s="246">
        <v>9.98</v>
      </c>
      <c r="U7" s="246">
        <v>3.9</v>
      </c>
      <c r="V7" s="238">
        <v>39.799999999999997</v>
      </c>
      <c r="X7" s="240">
        <f>Greitis!E7</f>
        <v>0.14000000000000001</v>
      </c>
      <c r="Y7" s="187">
        <f>Aerodinamika!K7</f>
        <v>1.0353315592396999</v>
      </c>
    </row>
    <row r="8" spans="1:25" x14ac:dyDescent="0.3">
      <c r="A8" s="37"/>
      <c r="B8" s="34"/>
      <c r="C8" s="284"/>
      <c r="D8" s="19"/>
      <c r="E8" s="20"/>
      <c r="F8" s="185">
        <f>(F6)</f>
        <v>40</v>
      </c>
      <c r="G8" s="181">
        <f>Greitis!G8*129*(SQRT(X8*(273+F8)/(H8+I8)/Greitis!L8))</f>
        <v>4.1856303808885986</v>
      </c>
      <c r="H8" s="186">
        <f>(H6)</f>
        <v>1000</v>
      </c>
      <c r="I8" s="187">
        <f t="shared" ref="I8:K8" si="5">(I6)</f>
        <v>1</v>
      </c>
      <c r="J8" s="238">
        <v>100</v>
      </c>
      <c r="K8" s="185">
        <f t="shared" si="5"/>
        <v>7</v>
      </c>
      <c r="L8" s="58">
        <f>M8*N8/1000</f>
        <v>0.05</v>
      </c>
      <c r="M8" s="186">
        <f t="shared" ref="M8" si="6">(M6)</f>
        <v>5</v>
      </c>
      <c r="N8" s="239">
        <v>10</v>
      </c>
      <c r="O8" s="238">
        <v>10</v>
      </c>
      <c r="P8" s="187">
        <f t="shared" ref="P8:Q8" si="7">(P6)</f>
        <v>10</v>
      </c>
      <c r="Q8" s="187">
        <f t="shared" si="7"/>
        <v>4</v>
      </c>
      <c r="R8" s="23"/>
      <c r="S8" s="51"/>
      <c r="T8" s="246">
        <v>10</v>
      </c>
      <c r="U8" s="246">
        <v>4</v>
      </c>
      <c r="V8" s="238">
        <v>40</v>
      </c>
      <c r="X8" s="240">
        <f>Greitis!E8</f>
        <v>0.14000000000000001</v>
      </c>
      <c r="Y8" s="187">
        <f>Aerodinamika!K8</f>
        <v>1.0353315592396999</v>
      </c>
    </row>
    <row r="9" spans="1:25" x14ac:dyDescent="0.3">
      <c r="A9" s="49"/>
      <c r="B9" s="49"/>
      <c r="C9" s="284"/>
      <c r="D9" s="49"/>
      <c r="E9" s="49"/>
      <c r="F9" s="185">
        <f>(F6)</f>
        <v>40</v>
      </c>
      <c r="G9" s="181">
        <f>Greitis!G9*129*(SQRT(X9*(273+F9)/(H9+I9)/Greitis!L9))</f>
        <v>4.1856303808885986</v>
      </c>
      <c r="H9" s="186">
        <f>(H6)</f>
        <v>1000</v>
      </c>
      <c r="I9" s="187">
        <f t="shared" ref="I9:K9" si="8">(I6)</f>
        <v>1</v>
      </c>
      <c r="J9" s="238">
        <v>100</v>
      </c>
      <c r="K9" s="185">
        <f t="shared" si="8"/>
        <v>7</v>
      </c>
      <c r="L9" s="58">
        <f t="shared" ref="L9:L14" si="9">M9*N9/1000</f>
        <v>0.05</v>
      </c>
      <c r="M9" s="186">
        <f t="shared" ref="M9" si="10">(M6)</f>
        <v>5</v>
      </c>
      <c r="N9" s="239">
        <v>10</v>
      </c>
      <c r="O9" s="238">
        <v>10</v>
      </c>
      <c r="P9" s="187">
        <f t="shared" ref="P9:Q9" si="11">(P6)</f>
        <v>10</v>
      </c>
      <c r="Q9" s="187">
        <f t="shared" si="11"/>
        <v>4</v>
      </c>
      <c r="R9" s="49"/>
      <c r="S9" s="49"/>
      <c r="T9" s="74">
        <f>AVERAGE(T6:T8)</f>
        <v>10</v>
      </c>
      <c r="U9" s="74">
        <f>AVERAGE(U6:U8)</f>
        <v>4</v>
      </c>
      <c r="V9" s="130">
        <f>AVERAGE(V6:V8)</f>
        <v>40</v>
      </c>
      <c r="X9" s="240">
        <f>Greitis!E9</f>
        <v>0.14000000000000001</v>
      </c>
      <c r="Y9" s="187">
        <f>Aerodinamika!K9</f>
        <v>1.0353315592396999</v>
      </c>
    </row>
    <row r="10" spans="1:25" ht="15" customHeight="1" x14ac:dyDescent="0.3">
      <c r="A10" s="49"/>
      <c r="B10" s="49"/>
      <c r="C10" s="284"/>
      <c r="D10" s="49"/>
      <c r="E10" s="49"/>
      <c r="F10" s="185">
        <f>(F6)</f>
        <v>40</v>
      </c>
      <c r="G10" s="181">
        <f>Greitis!G10*129*(SQRT(X10*(273+F10)/(H10+I10)/Greitis!L10))</f>
        <v>4.1856303808885986</v>
      </c>
      <c r="H10" s="186">
        <f>(H6)</f>
        <v>1000</v>
      </c>
      <c r="I10" s="187">
        <f t="shared" ref="I10:K10" si="12">(I6)</f>
        <v>1</v>
      </c>
      <c r="J10" s="238">
        <v>100</v>
      </c>
      <c r="K10" s="185">
        <f t="shared" si="12"/>
        <v>7</v>
      </c>
      <c r="L10" s="58">
        <f t="shared" si="9"/>
        <v>0.05</v>
      </c>
      <c r="M10" s="186">
        <f t="shared" ref="M10" si="13">(M6)</f>
        <v>5</v>
      </c>
      <c r="N10" s="239">
        <v>10</v>
      </c>
      <c r="O10" s="238">
        <v>10</v>
      </c>
      <c r="P10" s="187">
        <f t="shared" ref="P10:Q10" si="14">(P6)</f>
        <v>10</v>
      </c>
      <c r="Q10" s="187">
        <f t="shared" si="14"/>
        <v>4</v>
      </c>
      <c r="R10" s="49"/>
      <c r="S10" s="49"/>
      <c r="T10" s="286" t="s">
        <v>32</v>
      </c>
      <c r="U10" s="286" t="s">
        <v>33</v>
      </c>
      <c r="V10" s="282" t="s">
        <v>40</v>
      </c>
      <c r="X10" s="240">
        <f>Greitis!E10</f>
        <v>0.14000000000000001</v>
      </c>
      <c r="Y10" s="187">
        <f>Aerodinamika!K10</f>
        <v>1.0353315592396999</v>
      </c>
    </row>
    <row r="11" spans="1:25" x14ac:dyDescent="0.3">
      <c r="A11" s="49"/>
      <c r="B11" s="49"/>
      <c r="C11" s="284"/>
      <c r="D11" s="49"/>
      <c r="E11" s="49"/>
      <c r="F11" s="185">
        <f>(F6)</f>
        <v>40</v>
      </c>
      <c r="G11" s="181">
        <f>Greitis!G11*129*(SQRT(X11*(273+F11)/(H11+I11)/Greitis!L11))</f>
        <v>4.1856303808885986</v>
      </c>
      <c r="H11" s="186">
        <f>(H6)</f>
        <v>1000</v>
      </c>
      <c r="I11" s="187">
        <f t="shared" ref="I11:K11" si="15">(I6)</f>
        <v>1</v>
      </c>
      <c r="J11" s="238">
        <v>100</v>
      </c>
      <c r="K11" s="185">
        <f t="shared" si="15"/>
        <v>7</v>
      </c>
      <c r="L11" s="58">
        <f t="shared" si="9"/>
        <v>0.05</v>
      </c>
      <c r="M11" s="186">
        <f t="shared" ref="M11" si="16">(M6)</f>
        <v>5</v>
      </c>
      <c r="N11" s="239">
        <v>10</v>
      </c>
      <c r="O11" s="238">
        <v>10</v>
      </c>
      <c r="P11" s="187">
        <f t="shared" ref="P11:Q11" si="17">(P6)</f>
        <v>10</v>
      </c>
      <c r="Q11" s="187">
        <f t="shared" si="17"/>
        <v>4</v>
      </c>
      <c r="R11" s="49"/>
      <c r="S11" s="49"/>
      <c r="T11" s="286"/>
      <c r="U11" s="286"/>
      <c r="V11" s="282"/>
      <c r="X11" s="240">
        <f>Greitis!E11</f>
        <v>0.14000000000000001</v>
      </c>
      <c r="Y11" s="187">
        <f>Aerodinamika!K11</f>
        <v>1.0353315592396999</v>
      </c>
    </row>
    <row r="12" spans="1:25" ht="15" customHeight="1" x14ac:dyDescent="0.3">
      <c r="A12" s="49"/>
      <c r="B12" s="49"/>
      <c r="C12" s="284"/>
      <c r="D12" s="49"/>
      <c r="E12" s="49"/>
      <c r="F12" s="185">
        <f>(F6)</f>
        <v>40</v>
      </c>
      <c r="G12" s="181">
        <f>Greitis!G12*129*(SQRT(X12*(273+F12)/(H12+I12)/Greitis!L12))</f>
        <v>4.1856303808885986</v>
      </c>
      <c r="H12" s="186">
        <f>(H6)</f>
        <v>1000</v>
      </c>
      <c r="I12" s="187">
        <f t="shared" ref="I12:K12" si="18">(I6)</f>
        <v>1</v>
      </c>
      <c r="J12" s="238">
        <v>100</v>
      </c>
      <c r="K12" s="185">
        <f t="shared" si="18"/>
        <v>7</v>
      </c>
      <c r="L12" s="58">
        <f t="shared" si="9"/>
        <v>0.05</v>
      </c>
      <c r="M12" s="186">
        <f t="shared" ref="M12" si="19">(M6)</f>
        <v>5</v>
      </c>
      <c r="N12" s="239">
        <v>10</v>
      </c>
      <c r="O12" s="238">
        <v>10</v>
      </c>
      <c r="P12" s="187">
        <f t="shared" ref="P12:Q12" si="20">(P6)</f>
        <v>10</v>
      </c>
      <c r="Q12" s="187">
        <f t="shared" si="20"/>
        <v>4</v>
      </c>
      <c r="R12" s="49"/>
      <c r="S12" s="49"/>
      <c r="T12" s="286"/>
      <c r="U12" s="286"/>
      <c r="V12" s="282"/>
      <c r="X12" s="240">
        <f>Greitis!E12</f>
        <v>0.14000000000000001</v>
      </c>
      <c r="Y12" s="187">
        <f>Aerodinamika!K12</f>
        <v>1.0353315592396999</v>
      </c>
    </row>
    <row r="13" spans="1:25" ht="15" customHeight="1" x14ac:dyDescent="0.3">
      <c r="A13" s="49"/>
      <c r="B13" s="49"/>
      <c r="C13" s="284"/>
      <c r="D13" s="49"/>
      <c r="E13" s="49"/>
      <c r="F13" s="185">
        <f>(F6)</f>
        <v>40</v>
      </c>
      <c r="G13" s="181">
        <f>Greitis!G13*129*(SQRT(X13*(273+F13)/(H13+I13)/Greitis!L13))</f>
        <v>4.1856303808885986</v>
      </c>
      <c r="H13" s="186">
        <f>(H6)</f>
        <v>1000</v>
      </c>
      <c r="I13" s="187">
        <f t="shared" ref="I13:K13" si="21">(I6)</f>
        <v>1</v>
      </c>
      <c r="J13" s="238">
        <v>100</v>
      </c>
      <c r="K13" s="185">
        <f t="shared" si="21"/>
        <v>7</v>
      </c>
      <c r="L13" s="58">
        <f t="shared" si="9"/>
        <v>0.05</v>
      </c>
      <c r="M13" s="186">
        <f t="shared" ref="M13" si="22">(M6)</f>
        <v>5</v>
      </c>
      <c r="N13" s="239">
        <v>10</v>
      </c>
      <c r="O13" s="238">
        <v>10</v>
      </c>
      <c r="P13" s="187">
        <f t="shared" ref="P13:Q13" si="23">(P6)</f>
        <v>10</v>
      </c>
      <c r="Q13" s="187">
        <f t="shared" si="23"/>
        <v>4</v>
      </c>
      <c r="R13" s="49"/>
      <c r="S13" s="49"/>
      <c r="X13" s="240">
        <f>Greitis!E13</f>
        <v>0.14000000000000001</v>
      </c>
      <c r="Y13" s="187">
        <f>Aerodinamika!K13</f>
        <v>1.0353315592396999</v>
      </c>
    </row>
    <row r="14" spans="1:25" ht="15" customHeight="1" x14ac:dyDescent="0.3">
      <c r="A14" s="36"/>
      <c r="B14" s="36"/>
      <c r="C14" s="285"/>
      <c r="D14" s="36"/>
      <c r="E14" s="36"/>
      <c r="F14" s="185">
        <f>(F6)</f>
        <v>40</v>
      </c>
      <c r="G14" s="182">
        <f>Greitis!G14*129*(SQRT(X14*(273+F14)/(H14+I14)/Greitis!L14))</f>
        <v>4.1856303808885986</v>
      </c>
      <c r="H14" s="186">
        <f>(H6)</f>
        <v>1000</v>
      </c>
      <c r="I14" s="187">
        <f t="shared" ref="I14:K14" si="24">(I6)</f>
        <v>1</v>
      </c>
      <c r="J14" s="238">
        <v>100</v>
      </c>
      <c r="K14" s="185">
        <f t="shared" si="24"/>
        <v>7</v>
      </c>
      <c r="L14" s="69">
        <f t="shared" si="9"/>
        <v>0.05</v>
      </c>
      <c r="M14" s="186">
        <f t="shared" ref="M14" si="25">(M6)</f>
        <v>5</v>
      </c>
      <c r="N14" s="239">
        <v>10</v>
      </c>
      <c r="O14" s="238">
        <v>10</v>
      </c>
      <c r="P14" s="187">
        <f t="shared" ref="P14:Q14" si="26">(P6)</f>
        <v>10</v>
      </c>
      <c r="Q14" s="187">
        <f t="shared" si="26"/>
        <v>4</v>
      </c>
      <c r="R14" s="36"/>
      <c r="S14" s="36"/>
      <c r="X14" s="240">
        <f>Greitis!E14</f>
        <v>0.14000000000000001</v>
      </c>
      <c r="Y14" s="187">
        <f>Aerodinamika!K14</f>
        <v>1.0353315592396999</v>
      </c>
    </row>
    <row r="15" spans="1:25" x14ac:dyDescent="0.3">
      <c r="L15" s="70">
        <f>SUM(L6:L14)</f>
        <v>0.44999999999999996</v>
      </c>
      <c r="M15" s="122">
        <f>SUM(M6:M14)</f>
        <v>45</v>
      </c>
      <c r="N15" s="123">
        <f>AVERAGE(N6:N14)</f>
        <v>10</v>
      </c>
    </row>
    <row r="16" spans="1:25" ht="30.75" customHeight="1" x14ac:dyDescent="0.3">
      <c r="L16" s="68" t="s">
        <v>29</v>
      </c>
      <c r="M16" s="45" t="s">
        <v>98</v>
      </c>
      <c r="N16" s="45" t="s">
        <v>137</v>
      </c>
    </row>
    <row r="17" spans="1:25" x14ac:dyDescent="0.3">
      <c r="A17" s="14" t="s">
        <v>14</v>
      </c>
    </row>
    <row r="19" spans="1:25" x14ac:dyDescent="0.3">
      <c r="A19" s="184" t="str">
        <f t="shared" ref="A19:I19" si="27">(A6)</f>
        <v>XXXX-XX-XX</v>
      </c>
      <c r="B19" s="188" t="str">
        <f t="shared" si="27"/>
        <v>XX</v>
      </c>
      <c r="C19" s="283" t="str">
        <f t="shared" si="27"/>
        <v>XXXX</v>
      </c>
      <c r="D19" s="189">
        <f t="shared" si="27"/>
        <v>1</v>
      </c>
      <c r="E19" s="190">
        <f t="shared" si="27"/>
        <v>0.78500000000000003</v>
      </c>
      <c r="F19" s="185">
        <f t="shared" si="27"/>
        <v>40</v>
      </c>
      <c r="G19" s="181">
        <f>Greitis!G6*129*(SQRT(X19*(273+F19)/(H19+I19)/Greitis!L6))</f>
        <v>4.1856303808885986</v>
      </c>
      <c r="H19" s="186">
        <f t="shared" si="27"/>
        <v>1000</v>
      </c>
      <c r="I19" s="187">
        <f t="shared" si="27"/>
        <v>1</v>
      </c>
      <c r="J19" s="238">
        <v>100</v>
      </c>
      <c r="K19" s="185">
        <f>(K6)</f>
        <v>7</v>
      </c>
      <c r="L19" s="58">
        <f>M19*N19/1000</f>
        <v>0.05</v>
      </c>
      <c r="M19" s="186">
        <f>(M6)</f>
        <v>5</v>
      </c>
      <c r="N19" s="239">
        <v>10</v>
      </c>
      <c r="O19" s="238">
        <v>10</v>
      </c>
      <c r="P19" s="187">
        <f>(P6)</f>
        <v>10</v>
      </c>
      <c r="Q19" s="187">
        <f>(Q6)</f>
        <v>4</v>
      </c>
      <c r="R19" s="184" t="str">
        <f>(R6)</f>
        <v>XX</v>
      </c>
      <c r="S19" s="54" t="s">
        <v>107</v>
      </c>
      <c r="X19" s="240">
        <f>Greitis!F6</f>
        <v>0.14000000000000001</v>
      </c>
      <c r="Y19" s="187">
        <f>Aerodinamika!K19</f>
        <v>1.0353315592396999</v>
      </c>
    </row>
    <row r="20" spans="1:25" x14ac:dyDescent="0.3">
      <c r="A20" s="37"/>
      <c r="B20" s="34"/>
      <c r="C20" s="284"/>
      <c r="D20" s="19"/>
      <c r="E20" s="20"/>
      <c r="F20" s="185">
        <f>(F6)</f>
        <v>40</v>
      </c>
      <c r="G20" s="181">
        <f>Greitis!G7*129*(SQRT(X20*(273+F20)/(H20+I20)/Greitis!L7))</f>
        <v>4.1856303808885986</v>
      </c>
      <c r="H20" s="186">
        <f>(H6)</f>
        <v>1000</v>
      </c>
      <c r="I20" s="187">
        <f>(I6)</f>
        <v>1</v>
      </c>
      <c r="J20" s="238">
        <v>100</v>
      </c>
      <c r="K20" s="185">
        <f>(K19)</f>
        <v>7</v>
      </c>
      <c r="L20" s="58">
        <f>M20*N20/1000</f>
        <v>0.05</v>
      </c>
      <c r="M20" s="186">
        <f>(M6)</f>
        <v>5</v>
      </c>
      <c r="N20" s="239">
        <v>10</v>
      </c>
      <c r="O20" s="238">
        <v>10</v>
      </c>
      <c r="P20" s="187">
        <f>(P6)</f>
        <v>10</v>
      </c>
      <c r="Q20" s="187">
        <f>(Q6)</f>
        <v>4</v>
      </c>
      <c r="R20" s="23"/>
      <c r="S20" s="51"/>
      <c r="X20" s="240">
        <f>Greitis!F7</f>
        <v>0.14000000000000001</v>
      </c>
      <c r="Y20" s="187">
        <f>Aerodinamika!K20</f>
        <v>1.0353315592396999</v>
      </c>
    </row>
    <row r="21" spans="1:25" x14ac:dyDescent="0.3">
      <c r="A21" s="37"/>
      <c r="B21" s="34"/>
      <c r="C21" s="284"/>
      <c r="D21" s="19"/>
      <c r="E21" s="20"/>
      <c r="F21" s="185">
        <f>(F6)</f>
        <v>40</v>
      </c>
      <c r="G21" s="181">
        <f>Greitis!G8*129*(SQRT(X21*(273+F21)/(H21+I21)/Greitis!L8))</f>
        <v>4.1856303808885986</v>
      </c>
      <c r="H21" s="186">
        <f>(H6)</f>
        <v>1000</v>
      </c>
      <c r="I21" s="187">
        <f>(I6)</f>
        <v>1</v>
      </c>
      <c r="J21" s="238">
        <v>100</v>
      </c>
      <c r="K21" s="185">
        <f>(K19)</f>
        <v>7</v>
      </c>
      <c r="L21" s="58">
        <f>M21*N21/1000</f>
        <v>0.05</v>
      </c>
      <c r="M21" s="186">
        <f>(M6)</f>
        <v>5</v>
      </c>
      <c r="N21" s="239">
        <v>10</v>
      </c>
      <c r="O21" s="238">
        <v>10</v>
      </c>
      <c r="P21" s="187">
        <f>(P6)</f>
        <v>10</v>
      </c>
      <c r="Q21" s="187">
        <f>(Q6)</f>
        <v>4</v>
      </c>
      <c r="R21" s="23"/>
      <c r="S21" s="51"/>
      <c r="X21" s="240">
        <f>Greitis!F8</f>
        <v>0.14000000000000001</v>
      </c>
      <c r="Y21" s="187">
        <f>Aerodinamika!K21</f>
        <v>1.0353315592396999</v>
      </c>
    </row>
    <row r="22" spans="1:25" x14ac:dyDescent="0.3">
      <c r="A22" s="49"/>
      <c r="B22" s="49"/>
      <c r="C22" s="284"/>
      <c r="D22" s="49"/>
      <c r="E22" s="49"/>
      <c r="F22" s="185">
        <f>(F6)</f>
        <v>40</v>
      </c>
      <c r="G22" s="181">
        <f>Greitis!G9*129*(SQRT(X22*(273+F22)/(H22+I22)/Greitis!L9))</f>
        <v>4.1856303808885986</v>
      </c>
      <c r="H22" s="186">
        <f>(H6)</f>
        <v>1000</v>
      </c>
      <c r="I22" s="187">
        <f>(I6)</f>
        <v>1</v>
      </c>
      <c r="J22" s="238">
        <v>100</v>
      </c>
      <c r="K22" s="185">
        <f>(K19)</f>
        <v>7</v>
      </c>
      <c r="L22" s="58">
        <f t="shared" ref="L22:L27" si="28">M22*N22/1000</f>
        <v>0.05</v>
      </c>
      <c r="M22" s="186">
        <f>(M6)</f>
        <v>5</v>
      </c>
      <c r="N22" s="239">
        <v>10</v>
      </c>
      <c r="O22" s="238">
        <v>10</v>
      </c>
      <c r="P22" s="187">
        <f>(P6)</f>
        <v>10</v>
      </c>
      <c r="Q22" s="187">
        <f>(Q6)</f>
        <v>4</v>
      </c>
      <c r="R22" s="49"/>
      <c r="S22" s="49"/>
      <c r="X22" s="240">
        <f>Greitis!F9</f>
        <v>0.14000000000000001</v>
      </c>
      <c r="Y22" s="187">
        <f>Aerodinamika!K22</f>
        <v>1.0353315592396999</v>
      </c>
    </row>
    <row r="23" spans="1:25" x14ac:dyDescent="0.3">
      <c r="A23" s="49"/>
      <c r="B23" s="49"/>
      <c r="C23" s="284"/>
      <c r="D23" s="49"/>
      <c r="E23" s="49"/>
      <c r="F23" s="185">
        <f>(F6)</f>
        <v>40</v>
      </c>
      <c r="G23" s="181">
        <f>Greitis!G10*129*(SQRT(X23*(273+F23)/(H23+I23)/Greitis!L10))</f>
        <v>4.1856303808885986</v>
      </c>
      <c r="H23" s="186">
        <f>(H6)</f>
        <v>1000</v>
      </c>
      <c r="I23" s="187">
        <f>(I6)</f>
        <v>1</v>
      </c>
      <c r="J23" s="238">
        <v>100</v>
      </c>
      <c r="K23" s="185">
        <f>(K19)</f>
        <v>7</v>
      </c>
      <c r="L23" s="58">
        <f t="shared" si="28"/>
        <v>0.05</v>
      </c>
      <c r="M23" s="186">
        <f>(M6)</f>
        <v>5</v>
      </c>
      <c r="N23" s="239">
        <v>10</v>
      </c>
      <c r="O23" s="238">
        <v>10</v>
      </c>
      <c r="P23" s="187">
        <f>(P6)</f>
        <v>10</v>
      </c>
      <c r="Q23" s="187">
        <f>(Q6)</f>
        <v>4</v>
      </c>
      <c r="R23" s="49"/>
      <c r="S23" s="49"/>
      <c r="X23" s="240">
        <f>Greitis!F10</f>
        <v>0.14000000000000001</v>
      </c>
      <c r="Y23" s="187">
        <f>Aerodinamika!K23</f>
        <v>1.0353315592396999</v>
      </c>
    </row>
    <row r="24" spans="1:25" x14ac:dyDescent="0.3">
      <c r="A24" s="49"/>
      <c r="B24" s="49"/>
      <c r="C24" s="284"/>
      <c r="D24" s="49"/>
      <c r="E24" s="49"/>
      <c r="F24" s="185">
        <f>(F6)</f>
        <v>40</v>
      </c>
      <c r="G24" s="181">
        <f>Greitis!G11*129*(SQRT(X24*(273+F24)/(H24+I24)/Greitis!L11))</f>
        <v>4.1856303808885986</v>
      </c>
      <c r="H24" s="186">
        <f>(H6)</f>
        <v>1000</v>
      </c>
      <c r="I24" s="187">
        <f>(I6)</f>
        <v>1</v>
      </c>
      <c r="J24" s="238">
        <v>100</v>
      </c>
      <c r="K24" s="185">
        <f>(K19)</f>
        <v>7</v>
      </c>
      <c r="L24" s="58">
        <f t="shared" si="28"/>
        <v>0.05</v>
      </c>
      <c r="M24" s="186">
        <f>(M6)</f>
        <v>5</v>
      </c>
      <c r="N24" s="239">
        <v>10</v>
      </c>
      <c r="O24" s="238">
        <v>10</v>
      </c>
      <c r="P24" s="187">
        <f>(P6)</f>
        <v>10</v>
      </c>
      <c r="Q24" s="187">
        <f>(Q6)</f>
        <v>4</v>
      </c>
      <c r="R24" s="49"/>
      <c r="S24" s="49"/>
      <c r="X24" s="240">
        <f>Greitis!F11</f>
        <v>0.14000000000000001</v>
      </c>
      <c r="Y24" s="187">
        <f>Aerodinamika!K24</f>
        <v>1.0353315592396999</v>
      </c>
    </row>
    <row r="25" spans="1:25" x14ac:dyDescent="0.3">
      <c r="A25" s="49"/>
      <c r="B25" s="49"/>
      <c r="C25" s="284"/>
      <c r="D25" s="49"/>
      <c r="E25" s="49"/>
      <c r="F25" s="185">
        <f>(F6)</f>
        <v>40</v>
      </c>
      <c r="G25" s="181">
        <f>Greitis!G12*129*(SQRT(X25*(273+F25)/(H25+I25)/Greitis!L12))</f>
        <v>4.1856303808885986</v>
      </c>
      <c r="H25" s="186">
        <f>(H6)</f>
        <v>1000</v>
      </c>
      <c r="I25" s="187">
        <f>(I6)</f>
        <v>1</v>
      </c>
      <c r="J25" s="238">
        <v>100</v>
      </c>
      <c r="K25" s="185">
        <f>(K19)</f>
        <v>7</v>
      </c>
      <c r="L25" s="58">
        <f t="shared" si="28"/>
        <v>0.05</v>
      </c>
      <c r="M25" s="186">
        <f>(M6)</f>
        <v>5</v>
      </c>
      <c r="N25" s="239">
        <v>10</v>
      </c>
      <c r="O25" s="238">
        <v>10</v>
      </c>
      <c r="P25" s="187">
        <f>(P6)</f>
        <v>10</v>
      </c>
      <c r="Q25" s="187">
        <f>(Q6)</f>
        <v>4</v>
      </c>
      <c r="R25" s="49"/>
      <c r="S25" s="49"/>
      <c r="X25" s="240">
        <f>Greitis!F12</f>
        <v>0.14000000000000001</v>
      </c>
      <c r="Y25" s="187">
        <f>Aerodinamika!K25</f>
        <v>1.0353315592396999</v>
      </c>
    </row>
    <row r="26" spans="1:25" x14ac:dyDescent="0.3">
      <c r="A26" s="49"/>
      <c r="B26" s="49"/>
      <c r="C26" s="284"/>
      <c r="D26" s="49"/>
      <c r="E26" s="49"/>
      <c r="F26" s="185">
        <f>(F6)</f>
        <v>40</v>
      </c>
      <c r="G26" s="181">
        <f>Greitis!G13*129*(SQRT(X26*(273+F26)/(H26+I26)/Greitis!L13))</f>
        <v>4.1856303808885986</v>
      </c>
      <c r="H26" s="186">
        <f>(H6)</f>
        <v>1000</v>
      </c>
      <c r="I26" s="187">
        <f>(I6)</f>
        <v>1</v>
      </c>
      <c r="J26" s="238">
        <v>100</v>
      </c>
      <c r="K26" s="185">
        <f>(K19)</f>
        <v>7</v>
      </c>
      <c r="L26" s="58">
        <f t="shared" si="28"/>
        <v>0.05</v>
      </c>
      <c r="M26" s="186">
        <f>(M6)</f>
        <v>5</v>
      </c>
      <c r="N26" s="239">
        <v>10</v>
      </c>
      <c r="O26" s="238">
        <v>10</v>
      </c>
      <c r="P26" s="187">
        <f>(P6)</f>
        <v>10</v>
      </c>
      <c r="Q26" s="187">
        <f>(Q6)</f>
        <v>4</v>
      </c>
      <c r="R26" s="49"/>
      <c r="S26" s="49"/>
      <c r="X26" s="240">
        <f>Greitis!F13</f>
        <v>0.14000000000000001</v>
      </c>
      <c r="Y26" s="187">
        <f>Aerodinamika!K26</f>
        <v>1.0353315592396999</v>
      </c>
    </row>
    <row r="27" spans="1:25" x14ac:dyDescent="0.3">
      <c r="A27" s="36"/>
      <c r="B27" s="36"/>
      <c r="C27" s="285"/>
      <c r="D27" s="36"/>
      <c r="E27" s="36"/>
      <c r="F27" s="185">
        <f>(F6)</f>
        <v>40</v>
      </c>
      <c r="G27" s="182">
        <f>Greitis!G14*129*(SQRT(X27*(273+F27)/(H27+I27)/Greitis!L14))</f>
        <v>4.1856303808885986</v>
      </c>
      <c r="H27" s="186">
        <f>(H6)</f>
        <v>1000</v>
      </c>
      <c r="I27" s="187">
        <f>(I6)</f>
        <v>1</v>
      </c>
      <c r="J27" s="238">
        <v>100</v>
      </c>
      <c r="K27" s="185">
        <f>(K19)</f>
        <v>7</v>
      </c>
      <c r="L27" s="69">
        <f t="shared" si="28"/>
        <v>0.05</v>
      </c>
      <c r="M27" s="186">
        <f>(M6)</f>
        <v>5</v>
      </c>
      <c r="N27" s="239">
        <v>10</v>
      </c>
      <c r="O27" s="238">
        <v>10</v>
      </c>
      <c r="P27" s="187">
        <f t="shared" ref="P27:Q27" si="29">(P6)</f>
        <v>10</v>
      </c>
      <c r="Q27" s="187">
        <f t="shared" si="29"/>
        <v>4</v>
      </c>
      <c r="R27" s="36"/>
      <c r="S27" s="36"/>
      <c r="X27" s="240">
        <f>Greitis!F14</f>
        <v>0.14000000000000001</v>
      </c>
      <c r="Y27" s="187">
        <f>Aerodinamika!K27</f>
        <v>1.0353315592396999</v>
      </c>
    </row>
    <row r="28" spans="1:25" x14ac:dyDescent="0.3">
      <c r="L28" s="70">
        <f>SUM(L19:L27)</f>
        <v>0.44999999999999996</v>
      </c>
      <c r="M28" s="122">
        <f>SUM(M19:M27)</f>
        <v>45</v>
      </c>
      <c r="N28" s="123">
        <f>AVERAGE(N19:N27)</f>
        <v>10</v>
      </c>
    </row>
    <row r="29" spans="1:25" ht="28" x14ac:dyDescent="0.3">
      <c r="L29" s="68" t="s">
        <v>29</v>
      </c>
      <c r="M29" s="45" t="s">
        <v>98</v>
      </c>
      <c r="N29" s="45" t="s">
        <v>137</v>
      </c>
    </row>
    <row r="31" spans="1:25" ht="21.75" customHeight="1" x14ac:dyDescent="0.3">
      <c r="L31" s="67"/>
      <c r="M31" s="123">
        <f>(M15+M28)</f>
        <v>90</v>
      </c>
      <c r="N31" s="123">
        <f>(N15+N28)/2</f>
        <v>10</v>
      </c>
      <c r="O31" s="96"/>
      <c r="P31" s="96"/>
      <c r="Q31" s="96"/>
    </row>
    <row r="32" spans="1:25" ht="48.75" customHeight="1" x14ac:dyDescent="0.3">
      <c r="L32" s="67"/>
      <c r="M32" s="45" t="s">
        <v>99</v>
      </c>
      <c r="N32" s="45" t="s">
        <v>138</v>
      </c>
    </row>
    <row r="41" ht="15" customHeight="1" x14ac:dyDescent="0.3"/>
    <row r="78" spans="1:2" x14ac:dyDescent="0.3">
      <c r="A78" s="25"/>
      <c r="B78" s="25"/>
    </row>
    <row r="79" spans="1:2" x14ac:dyDescent="0.3">
      <c r="A79" s="25"/>
      <c r="B79" s="25"/>
    </row>
    <row r="80" spans="1:2" x14ac:dyDescent="0.3">
      <c r="A80" s="25"/>
      <c r="B80" s="25"/>
    </row>
    <row r="81" spans="1:2" x14ac:dyDescent="0.3">
      <c r="A81" s="25"/>
      <c r="B81" s="25"/>
    </row>
  </sheetData>
  <sheetProtection algorithmName="SHA-512" hashValue="FM/hUntejLzMLG+ubXaVP/HH1wVgQZkRvz1RhUwv7PPy1CpmGaSwVe2gkmU6vk7SZ0ItSbLU7mJC3TxwYWYCdA==" saltValue="Wjc3Kw+A24ALZZqWIvLT4g==" spinCount="100000" sheet="1" formatCells="0" formatColumns="0" formatRows="0"/>
  <mergeCells count="7">
    <mergeCell ref="V10:V12"/>
    <mergeCell ref="C19:C27"/>
    <mergeCell ref="T10:T12"/>
    <mergeCell ref="U10:U12"/>
    <mergeCell ref="C1:D1"/>
    <mergeCell ref="A2:S2"/>
    <mergeCell ref="C6:C14"/>
  </mergeCells>
  <phoneticPr fontId="7" type="noConversion"/>
  <pageMargins left="0.19685039370078741" right="0" top="0.74803149606299213" bottom="0.35433070866141736" header="0.31496062992125984" footer="0.31496062992125984"/>
  <pageSetup paperSize="9" scale="66" fitToHeight="0" orientation="landscape" r:id="rId1"/>
  <headerFooter alignWithMargins="0">
    <oddFooter>&amp;CPuslapių &amp;P &amp;R&amp;"Times New Roman,Paryškintasis"E5-5_02         
2022-02-01, EV</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F031F6-8C82-4AF8-AAFE-FF13BB3E8970}">
  <sheetPr codeName="Lapas3">
    <pageSetUpPr fitToPage="1"/>
  </sheetPr>
  <dimension ref="A1:Q263"/>
  <sheetViews>
    <sheetView zoomScale="80" zoomScaleNormal="80" workbookViewId="0">
      <pane ySplit="5" topLeftCell="A9" activePane="bottomLeft" state="frozen"/>
      <selection pane="bottomLeft" activeCell="Q27" sqref="P27:Q27"/>
    </sheetView>
  </sheetViews>
  <sheetFormatPr defaultColWidth="9.1796875" defaultRowHeight="14" outlineLevelCol="1" x14ac:dyDescent="0.3"/>
  <cols>
    <col min="1" max="1" width="11.26953125" style="14" customWidth="1"/>
    <col min="2" max="2" width="13.26953125" style="14" customWidth="1"/>
    <col min="3" max="3" width="20.81640625" style="14" customWidth="1"/>
    <col min="4" max="4" width="12.81640625" style="14" customWidth="1"/>
    <col min="5" max="5" width="13.54296875" style="14" customWidth="1"/>
    <col min="6" max="6" width="16.7265625" style="14" customWidth="1"/>
    <col min="7" max="7" width="13.54296875" style="14" customWidth="1"/>
    <col min="8" max="8" width="10.453125" style="14" customWidth="1"/>
    <col min="9" max="9" width="12.1796875" style="14" customWidth="1" outlineLevel="1"/>
    <col min="10" max="10" width="10" style="14" customWidth="1" outlineLevel="1"/>
    <col min="11" max="11" width="10.26953125" style="14" customWidth="1"/>
    <col min="12" max="12" width="11.54296875" style="14" customWidth="1"/>
    <col min="13" max="13" width="17" style="14" customWidth="1"/>
    <col min="14" max="14" width="14.81640625" style="14" customWidth="1"/>
    <col min="15" max="16384" width="9.1796875" style="14"/>
  </cols>
  <sheetData>
    <row r="1" spans="1:17" ht="30.75" customHeight="1" x14ac:dyDescent="0.3">
      <c r="C1" s="287" t="s">
        <v>19</v>
      </c>
      <c r="D1" s="287"/>
      <c r="Q1" s="16"/>
    </row>
    <row r="2" spans="1:17" ht="19.5" customHeight="1" x14ac:dyDescent="0.3">
      <c r="C2" s="289" t="s">
        <v>101</v>
      </c>
      <c r="D2" s="289"/>
      <c r="E2" s="289"/>
      <c r="F2" s="289"/>
      <c r="G2" s="289"/>
      <c r="H2" s="289"/>
      <c r="I2" s="289"/>
      <c r="J2" s="289"/>
      <c r="K2" s="289"/>
      <c r="L2" s="289"/>
      <c r="M2" s="289"/>
      <c r="Q2" s="16"/>
    </row>
    <row r="3" spans="1:17" ht="12" customHeight="1" x14ac:dyDescent="0.3">
      <c r="C3" s="24"/>
      <c r="H3" s="25"/>
      <c r="Q3" s="16"/>
    </row>
    <row r="4" spans="1:17" ht="8.25" customHeight="1" x14ac:dyDescent="0.3"/>
    <row r="5" spans="1:17" ht="126.75" customHeight="1" x14ac:dyDescent="0.3">
      <c r="A5" s="99" t="s">
        <v>8</v>
      </c>
      <c r="B5" s="99" t="s">
        <v>65</v>
      </c>
      <c r="C5" s="99" t="s">
        <v>9</v>
      </c>
      <c r="D5" s="12" t="s">
        <v>66</v>
      </c>
      <c r="E5" s="12" t="s">
        <v>67</v>
      </c>
      <c r="F5" s="12" t="s">
        <v>68</v>
      </c>
      <c r="G5" s="12" t="s">
        <v>69</v>
      </c>
      <c r="H5" s="12" t="s">
        <v>70</v>
      </c>
      <c r="I5" s="12" t="s">
        <v>71</v>
      </c>
      <c r="J5" s="12" t="s">
        <v>72</v>
      </c>
      <c r="K5" s="12" t="s">
        <v>16</v>
      </c>
      <c r="L5" s="12" t="s">
        <v>17</v>
      </c>
      <c r="M5" s="12" t="s">
        <v>12</v>
      </c>
      <c r="N5" s="52" t="s">
        <v>6</v>
      </c>
    </row>
    <row r="6" spans="1:17" ht="15" customHeight="1" x14ac:dyDescent="0.3">
      <c r="A6" s="191" t="str">
        <f>Paėmimas!A6</f>
        <v>XXXX-XX-XX</v>
      </c>
      <c r="B6" s="192" t="str">
        <f>Paėmimas!B6</f>
        <v>XX</v>
      </c>
      <c r="C6" s="283" t="str">
        <f>Paėmimas!C6</f>
        <v>XXXX</v>
      </c>
      <c r="D6" s="193">
        <f>Paėmimas!L6</f>
        <v>0.05</v>
      </c>
      <c r="E6" s="72">
        <f>D6*(273/(273+Paėmimas!O6)*(Paėmimas!H6-Paėmimas!J6)/1013)</f>
        <v>4.2852807495491474E-2</v>
      </c>
      <c r="F6" s="73">
        <f>SUM(E6:E14)</f>
        <v>0.38567526745942327</v>
      </c>
      <c r="G6" s="71">
        <f>((Paėmimas!Q6/100)*1.965)+((Paėmimas!P6/100)*1.429)+((1-(Paėmimas!Q6/100)-(Paėmimas!P6/100))*1.251)</f>
        <v>1.2973599999999998</v>
      </c>
      <c r="H6" s="193">
        <f>H2O!K7</f>
        <v>6.352173020933173</v>
      </c>
      <c r="I6" s="58">
        <f>(E6/(1-(H6/1000))*((273+Paėmimas!F6)/273)*(1013/(Paėmimas!H6+Paėmimas!I6)))</f>
        <v>5.0038450317896277E-2</v>
      </c>
      <c r="J6" s="58">
        <f>(I6/(Paėmimas!M6*60)/((3.142*((Paėmimas!K6/1000)*(Paėmimas!K6/1000))/4)))</f>
        <v>4.3335152286464513</v>
      </c>
      <c r="K6" s="74">
        <f>J6/Paėmimas!G6</f>
        <v>1.0353315592396999</v>
      </c>
      <c r="L6" s="75">
        <f>AVERAGE(K6:K14)</f>
        <v>1.0353315592396999</v>
      </c>
      <c r="M6" s="194" t="str">
        <f>Paėmimas!R6</f>
        <v>XX</v>
      </c>
      <c r="N6" s="195" t="str">
        <f>Paėmimas!S6</f>
        <v>1 linija, 1 filtras</v>
      </c>
    </row>
    <row r="7" spans="1:17" ht="15" customHeight="1" x14ac:dyDescent="0.3">
      <c r="A7" s="59"/>
      <c r="B7" s="23"/>
      <c r="C7" s="284"/>
      <c r="D7" s="193">
        <f>Paėmimas!L7</f>
        <v>0.05</v>
      </c>
      <c r="E7" s="72">
        <f>D7*(273/(273+Paėmimas!O7)*(Paėmimas!H7-Paėmimas!J7)/1013)</f>
        <v>4.2852807495491474E-2</v>
      </c>
      <c r="F7" s="60"/>
      <c r="G7" s="71">
        <f>((Paėmimas!Q7/100)*1.965)+((Paėmimas!P7/100)*1.429)+((1-(Paėmimas!Q7/100)-(Paėmimas!P7/100))*1.251)</f>
        <v>1.2973599999999998</v>
      </c>
      <c r="H7" s="193">
        <f>H2O!K7</f>
        <v>6.352173020933173</v>
      </c>
      <c r="I7" s="58">
        <f>(E7/(1-(H7/1000))*((273+Paėmimas!F7)/273)*(1013/(Paėmimas!H7+Paėmimas!I7)))</f>
        <v>5.0038450317896277E-2</v>
      </c>
      <c r="J7" s="58">
        <f>(I7/(Paėmimas!M7*60)/((3.142*((Paėmimas!K7/1000)*(Paėmimas!K7/1000))/4)))</f>
        <v>4.3335152286464513</v>
      </c>
      <c r="K7" s="74">
        <f>J7/Paėmimas!G7</f>
        <v>1.0353315592396999</v>
      </c>
      <c r="L7" s="19"/>
      <c r="M7" s="60"/>
      <c r="N7" s="34"/>
    </row>
    <row r="8" spans="1:17" ht="15" customHeight="1" x14ac:dyDescent="0.3">
      <c r="A8" s="59"/>
      <c r="B8" s="23"/>
      <c r="C8" s="284"/>
      <c r="D8" s="193">
        <f>Paėmimas!L8</f>
        <v>0.05</v>
      </c>
      <c r="E8" s="72">
        <f>D8*(273/(273+Paėmimas!O8)*(Paėmimas!H8-Paėmimas!J8)/1013)</f>
        <v>4.2852807495491474E-2</v>
      </c>
      <c r="F8" s="60"/>
      <c r="G8" s="71">
        <f>((Paėmimas!Q8/100)*1.965)+((Paėmimas!P8/100)*1.429)+((1-(Paėmimas!Q8/100)-(Paėmimas!P8/100))*1.251)</f>
        <v>1.2973599999999998</v>
      </c>
      <c r="H8" s="193">
        <f>H2O!K7</f>
        <v>6.352173020933173</v>
      </c>
      <c r="I8" s="58">
        <f>(E8/(1-(H8/1000))*((273+Paėmimas!F8)/273)*(1013/(Paėmimas!H8+Paėmimas!I8)))</f>
        <v>5.0038450317896277E-2</v>
      </c>
      <c r="J8" s="58">
        <f>(I8/(Paėmimas!M8*60)/((3.142*((Paėmimas!K8/1000)*(Paėmimas!K8/1000))/4)))</f>
        <v>4.3335152286464513</v>
      </c>
      <c r="K8" s="74">
        <f>J8/Paėmimas!G8</f>
        <v>1.0353315592396999</v>
      </c>
      <c r="L8" s="19"/>
      <c r="M8" s="60"/>
      <c r="N8" s="34"/>
    </row>
    <row r="9" spans="1:17" ht="15" customHeight="1" x14ac:dyDescent="0.3">
      <c r="A9" s="59"/>
      <c r="B9" s="23"/>
      <c r="C9" s="284"/>
      <c r="D9" s="193">
        <f>Paėmimas!L9</f>
        <v>0.05</v>
      </c>
      <c r="E9" s="72">
        <f>D9*(273/(273+Paėmimas!O9)*(Paėmimas!H9-Paėmimas!J9)/1013)</f>
        <v>4.2852807495491474E-2</v>
      </c>
      <c r="F9" s="60"/>
      <c r="G9" s="71">
        <f>((Paėmimas!Q9/100)*1.965)+((Paėmimas!P9/100)*1.429)+((1-(Paėmimas!Q9/100)-(Paėmimas!P9/100))*1.251)</f>
        <v>1.2973599999999998</v>
      </c>
      <c r="H9" s="193">
        <f>H2O!K7</f>
        <v>6.352173020933173</v>
      </c>
      <c r="I9" s="58">
        <f>(E9/(1-(H9/1000))*((273+Paėmimas!F9)/273)*(1013/(Paėmimas!H9+Paėmimas!I9)))</f>
        <v>5.0038450317896277E-2</v>
      </c>
      <c r="J9" s="58">
        <f>(I9/(Paėmimas!M9*60)/((3.142*((Paėmimas!K9/1000)*(Paėmimas!K9/1000))/4)))</f>
        <v>4.3335152286464513</v>
      </c>
      <c r="K9" s="74">
        <f>J9/Paėmimas!G9</f>
        <v>1.0353315592396999</v>
      </c>
      <c r="L9" s="19"/>
      <c r="M9" s="60"/>
      <c r="N9" s="34"/>
    </row>
    <row r="10" spans="1:17" ht="15" customHeight="1" x14ac:dyDescent="0.3">
      <c r="A10" s="59"/>
      <c r="B10" s="23"/>
      <c r="C10" s="284"/>
      <c r="D10" s="193">
        <f>Paėmimas!L10</f>
        <v>0.05</v>
      </c>
      <c r="E10" s="72">
        <f>D10*(273/(273+Paėmimas!O10)*(Paėmimas!H10-Paėmimas!J10)/1013)</f>
        <v>4.2852807495491474E-2</v>
      </c>
      <c r="F10" s="60"/>
      <c r="G10" s="71">
        <f>((Paėmimas!Q10/100)*1.965)+((Paėmimas!P10/100)*1.429)+((1-(Paėmimas!Q10/100)-(Paėmimas!P10/100))*1.251)</f>
        <v>1.2973599999999998</v>
      </c>
      <c r="H10" s="193">
        <f>H2O!K7</f>
        <v>6.352173020933173</v>
      </c>
      <c r="I10" s="58">
        <f>(E10/(1-(H10/1000))*((273+Paėmimas!F10)/273)*(1013/(Paėmimas!H10+Paėmimas!I10)))</f>
        <v>5.0038450317896277E-2</v>
      </c>
      <c r="J10" s="58">
        <f>(I10/(Paėmimas!M10*60)/((3.142*((Paėmimas!K10/1000)*(Paėmimas!K10/1000))/4)))</f>
        <v>4.3335152286464513</v>
      </c>
      <c r="K10" s="74">
        <f>J10/Paėmimas!G10</f>
        <v>1.0353315592396999</v>
      </c>
      <c r="L10" s="19"/>
      <c r="M10" s="60"/>
      <c r="N10" s="34"/>
    </row>
    <row r="11" spans="1:17" ht="15" customHeight="1" x14ac:dyDescent="0.3">
      <c r="A11" s="59"/>
      <c r="B11" s="23"/>
      <c r="C11" s="284"/>
      <c r="D11" s="193">
        <f>Paėmimas!L11</f>
        <v>0.05</v>
      </c>
      <c r="E11" s="72">
        <f>D11*(273/(273+Paėmimas!O11)*(Paėmimas!H11-Paėmimas!J11)/1013)</f>
        <v>4.2852807495491474E-2</v>
      </c>
      <c r="F11" s="60"/>
      <c r="G11" s="71">
        <f>((Paėmimas!Q11/100)*1.965)+((Paėmimas!P11/100)*1.429)+((1-(Paėmimas!Q11/100)-(Paėmimas!P11/100))*1.251)</f>
        <v>1.2973599999999998</v>
      </c>
      <c r="H11" s="193">
        <f>H2O!K7</f>
        <v>6.352173020933173</v>
      </c>
      <c r="I11" s="58">
        <f>(E11/(1-(H11/1000))*((273+Paėmimas!F11)/273)*(1013/(Paėmimas!H11+Paėmimas!I11)))</f>
        <v>5.0038450317896277E-2</v>
      </c>
      <c r="J11" s="58">
        <f>(I11/(Paėmimas!M11*60)/((3.142*((Paėmimas!K11/1000)*(Paėmimas!K11/1000))/4)))</f>
        <v>4.3335152286464513</v>
      </c>
      <c r="K11" s="74">
        <f>J11/Paėmimas!G11</f>
        <v>1.0353315592396999</v>
      </c>
      <c r="L11" s="19"/>
      <c r="M11" s="60"/>
      <c r="N11" s="34"/>
    </row>
    <row r="12" spans="1:17" ht="15" customHeight="1" thickBot="1" x14ac:dyDescent="0.35">
      <c r="A12" s="59"/>
      <c r="B12" s="23"/>
      <c r="C12" s="284"/>
      <c r="D12" s="193">
        <f>Paėmimas!L12</f>
        <v>0.05</v>
      </c>
      <c r="E12" s="72">
        <f>D12*(273/(273+Paėmimas!O12)*(Paėmimas!H12-Paėmimas!J12)/1013)</f>
        <v>4.2852807495491474E-2</v>
      </c>
      <c r="F12" s="60"/>
      <c r="G12" s="71">
        <f>((Paėmimas!Q12/100)*1.965)+((Paėmimas!P12/100)*1.429)+((1-(Paėmimas!Q12/100)-(Paėmimas!P12/100))*1.251)</f>
        <v>1.2973599999999998</v>
      </c>
      <c r="H12" s="193">
        <f>H2O!K7</f>
        <v>6.352173020933173</v>
      </c>
      <c r="I12" s="58">
        <f>(E12/(1-(H12/1000))*((273+Paėmimas!F12)/273)*(1013/(Paėmimas!H12+Paėmimas!I12)))</f>
        <v>5.0038450317896277E-2</v>
      </c>
      <c r="J12" s="58">
        <f>(I12/(Paėmimas!M12*60)/((3.142*((Paėmimas!K12/1000)*(Paėmimas!K12/1000))/4)))</f>
        <v>4.3335152286464513</v>
      </c>
      <c r="K12" s="74">
        <f>J12/Paėmimas!G12</f>
        <v>1.0353315592396999</v>
      </c>
      <c r="L12" s="19"/>
      <c r="M12" s="60"/>
      <c r="N12" s="34"/>
    </row>
    <row r="13" spans="1:17" ht="15" customHeight="1" x14ac:dyDescent="0.3">
      <c r="A13" s="59"/>
      <c r="B13" s="23"/>
      <c r="C13" s="284"/>
      <c r="D13" s="193">
        <f>Paėmimas!L13</f>
        <v>0.05</v>
      </c>
      <c r="E13" s="72">
        <f>D13*(273/(273+Paėmimas!O13)*(Paėmimas!H13-Paėmimas!J13)/1013)</f>
        <v>4.2852807495491474E-2</v>
      </c>
      <c r="F13" s="60"/>
      <c r="G13" s="71">
        <f>((Paėmimas!Q13/100)*1.965)+((Paėmimas!P13/100)*1.429)+((1-(Paėmimas!Q13/100)-(Paėmimas!P13/100))*1.251)</f>
        <v>1.2973599999999998</v>
      </c>
      <c r="H13" s="193">
        <f>H2O!K7</f>
        <v>6.352173020933173</v>
      </c>
      <c r="I13" s="58">
        <f>(E13/(1-(H13/1000))*((273+Paėmimas!F13)/273)*(1013/(Paėmimas!H13+Paėmimas!I13)))</f>
        <v>5.0038450317896277E-2</v>
      </c>
      <c r="J13" s="58">
        <f>(I13/(Paėmimas!M13*60)/((3.142*((Paėmimas!K13/1000)*(Paėmimas!K13/1000))/4)))</f>
        <v>4.3335152286464513</v>
      </c>
      <c r="K13" s="74">
        <f>J13/Paėmimas!G13</f>
        <v>1.0353315592396999</v>
      </c>
      <c r="L13" s="19"/>
      <c r="M13" s="60"/>
      <c r="N13" s="34"/>
    </row>
    <row r="14" spans="1:17" ht="15" customHeight="1" x14ac:dyDescent="0.3">
      <c r="A14" s="61"/>
      <c r="B14" s="62"/>
      <c r="C14" s="285"/>
      <c r="D14" s="193">
        <f>Paėmimas!L14</f>
        <v>0.05</v>
      </c>
      <c r="E14" s="72">
        <f>D14*(273/(273+Paėmimas!O14)*(Paėmimas!H14-Paėmimas!J14)/1013)</f>
        <v>4.2852807495491474E-2</v>
      </c>
      <c r="F14" s="63"/>
      <c r="G14" s="71">
        <f>((Paėmimas!Q14/100)*1.965)+((Paėmimas!P14/100)*1.429)+((1-(Paėmimas!Q14/100)-(Paėmimas!P14/100))*1.251)</f>
        <v>1.2973599999999998</v>
      </c>
      <c r="H14" s="193">
        <f>H2O!K7</f>
        <v>6.352173020933173</v>
      </c>
      <c r="I14" s="58">
        <f>(E14/(1-(H14/1000))*((273+Paėmimas!F14)/273)*(1013/(Paėmimas!H14+Paėmimas!I14)))</f>
        <v>5.0038450317896277E-2</v>
      </c>
      <c r="J14" s="58">
        <f>(I14/(Paėmimas!M14*60)/((3.142*((Paėmimas!K14/1000)*(Paėmimas!K14/1000))/4)))</f>
        <v>4.3335152286464513</v>
      </c>
      <c r="K14" s="74">
        <f>J14/Paėmimas!G14</f>
        <v>1.0353315592396999</v>
      </c>
      <c r="L14" s="64"/>
      <c r="M14" s="63"/>
      <c r="N14" s="22"/>
    </row>
    <row r="15" spans="1:17" ht="17.25" customHeight="1" x14ac:dyDescent="0.3">
      <c r="C15" s="78"/>
      <c r="D15" s="78"/>
      <c r="E15" s="78"/>
      <c r="F15" s="78"/>
      <c r="G15" s="74">
        <f>AVERAGE(G6:G14)</f>
        <v>1.2973599999999996</v>
      </c>
      <c r="H15" s="78"/>
      <c r="I15" s="124">
        <f>SUM(I6:I14)</f>
        <v>0.45034605286106649</v>
      </c>
      <c r="J15" s="78"/>
    </row>
    <row r="16" spans="1:17" ht="34.5" customHeight="1" x14ac:dyDescent="0.3">
      <c r="C16" s="79"/>
      <c r="D16" s="79"/>
      <c r="E16" s="79"/>
      <c r="F16" s="79"/>
      <c r="G16" s="45" t="s">
        <v>28</v>
      </c>
      <c r="H16" s="79"/>
      <c r="I16" s="45" t="s">
        <v>139</v>
      </c>
      <c r="J16" s="79"/>
    </row>
    <row r="17" spans="1:14" ht="15" customHeight="1" x14ac:dyDescent="0.3">
      <c r="C17" s="79"/>
      <c r="D17" s="79"/>
      <c r="E17" s="79"/>
      <c r="F17" s="79"/>
      <c r="G17" s="55"/>
      <c r="H17" s="79"/>
      <c r="I17" s="79"/>
      <c r="J17" s="79"/>
    </row>
    <row r="19" spans="1:14" x14ac:dyDescent="0.3">
      <c r="A19" s="191" t="str">
        <f>Paėmimas!A19</f>
        <v>XXXX-XX-XX</v>
      </c>
      <c r="B19" s="192" t="str">
        <f>Paėmimas!B19</f>
        <v>XX</v>
      </c>
      <c r="C19" s="283" t="str">
        <f>Paėmimas!C19</f>
        <v>XXXX</v>
      </c>
      <c r="D19" s="193">
        <f>Paėmimas!L19</f>
        <v>0.05</v>
      </c>
      <c r="E19" s="72">
        <f>D19*(273/(273+Paėmimas!O19)*(Paėmimas!H19-Paėmimas!J19)/1013)</f>
        <v>4.2852807495491474E-2</v>
      </c>
      <c r="F19" s="73">
        <f>SUM(E19:E27)</f>
        <v>0.38567526745942327</v>
      </c>
      <c r="G19" s="71">
        <f>((Paėmimas!Q19/100)*1.965)+((Paėmimas!P19/100)*1.429)+((1-(Paėmimas!Q19/100)-(Paėmimas!P19/100))*1.251)</f>
        <v>1.2973599999999998</v>
      </c>
      <c r="H19" s="193">
        <f>H2O!K7</f>
        <v>6.352173020933173</v>
      </c>
      <c r="I19" s="58">
        <f>(E19/(1-(H19/1000))*((273+Paėmimas!F19)/273)*(1013/(Paėmimas!H19+Paėmimas!I19)))</f>
        <v>5.0038450317896277E-2</v>
      </c>
      <c r="J19" s="58">
        <f>(I19/(Paėmimas!M19*60)/((3.142*((Paėmimas!K19/1000)*(Paėmimas!K19/1000))/4)))</f>
        <v>4.3335152286464513</v>
      </c>
      <c r="K19" s="74">
        <f>J19/Paėmimas!G19</f>
        <v>1.0353315592396999</v>
      </c>
      <c r="L19" s="75">
        <f>AVERAGE(K19:K27)</f>
        <v>1.0353315592396999</v>
      </c>
      <c r="M19" s="194" t="str">
        <f>Paėmimas!R19</f>
        <v>XX</v>
      </c>
      <c r="N19" s="195" t="str">
        <f>Paėmimas!S19</f>
        <v>2 linija, 2 filtras</v>
      </c>
    </row>
    <row r="20" spans="1:14" x14ac:dyDescent="0.3">
      <c r="A20" s="59"/>
      <c r="B20" s="23"/>
      <c r="C20" s="284"/>
      <c r="D20" s="193">
        <f>Paėmimas!L20</f>
        <v>0.05</v>
      </c>
      <c r="E20" s="72">
        <f>D20*(273/(273+Paėmimas!O20)*(Paėmimas!H20-Paėmimas!J20)/1013)</f>
        <v>4.2852807495491474E-2</v>
      </c>
      <c r="F20" s="60"/>
      <c r="G20" s="71">
        <f>((Paėmimas!Q20/100)*1.965)+((Paėmimas!P20/100)*1.429)+((1-(Paėmimas!Q20/100)-(Paėmimas!P20/100))*1.251)</f>
        <v>1.2973599999999998</v>
      </c>
      <c r="H20" s="193">
        <f>H2O!K7</f>
        <v>6.352173020933173</v>
      </c>
      <c r="I20" s="58">
        <f>(E20/(1-(H20/1000))*((273+Paėmimas!F20)/273)*(1013/(Paėmimas!H20+Paėmimas!I20)))</f>
        <v>5.0038450317896277E-2</v>
      </c>
      <c r="J20" s="58">
        <f>(I20/(Paėmimas!M20*60)/((3.142*((Paėmimas!K20/1000)*(Paėmimas!K20/1000))/4)))</f>
        <v>4.3335152286464513</v>
      </c>
      <c r="K20" s="74">
        <f>J20/Paėmimas!G20</f>
        <v>1.0353315592396999</v>
      </c>
      <c r="L20" s="19"/>
      <c r="M20" s="60"/>
      <c r="N20" s="34"/>
    </row>
    <row r="21" spans="1:14" x14ac:dyDescent="0.3">
      <c r="A21" s="59"/>
      <c r="B21" s="23"/>
      <c r="C21" s="284"/>
      <c r="D21" s="193">
        <f>Paėmimas!L21</f>
        <v>0.05</v>
      </c>
      <c r="E21" s="72">
        <f>D21*(273/(273+Paėmimas!O21)*(Paėmimas!H21-Paėmimas!J21)/1013)</f>
        <v>4.2852807495491474E-2</v>
      </c>
      <c r="F21" s="60"/>
      <c r="G21" s="71">
        <f>((Paėmimas!Q21/100)*1.965)+((Paėmimas!P21/100)*1.429)+((1-(Paėmimas!Q21/100)-(Paėmimas!P21/100))*1.251)</f>
        <v>1.2973599999999998</v>
      </c>
      <c r="H21" s="193">
        <f>H2O!K7</f>
        <v>6.352173020933173</v>
      </c>
      <c r="I21" s="58">
        <f>(E21/(1-(H21/1000))*((273+Paėmimas!F21)/273)*(1013/(Paėmimas!H21+Paėmimas!I21)))</f>
        <v>5.0038450317896277E-2</v>
      </c>
      <c r="J21" s="58">
        <f>(I21/(Paėmimas!M21*60)/((3.142*((Paėmimas!K21/1000)*(Paėmimas!K21/1000))/4)))</f>
        <v>4.3335152286464513</v>
      </c>
      <c r="K21" s="74">
        <f>J21/Paėmimas!G21</f>
        <v>1.0353315592396999</v>
      </c>
      <c r="L21" s="19"/>
      <c r="M21" s="60"/>
      <c r="N21" s="34"/>
    </row>
    <row r="22" spans="1:14" x14ac:dyDescent="0.3">
      <c r="A22" s="59"/>
      <c r="B22" s="23"/>
      <c r="C22" s="284"/>
      <c r="D22" s="193">
        <f>Paėmimas!L22</f>
        <v>0.05</v>
      </c>
      <c r="E22" s="72">
        <f>D22*(273/(273+Paėmimas!O22)*(Paėmimas!H22-Paėmimas!J22)/1013)</f>
        <v>4.2852807495491474E-2</v>
      </c>
      <c r="F22" s="60"/>
      <c r="G22" s="71">
        <f>((Paėmimas!Q22/100)*1.965)+((Paėmimas!P22/100)*1.429)+((1-(Paėmimas!Q22/100)-(Paėmimas!P22/100))*1.251)</f>
        <v>1.2973599999999998</v>
      </c>
      <c r="H22" s="193">
        <f>H2O!K7</f>
        <v>6.352173020933173</v>
      </c>
      <c r="I22" s="58">
        <f>(E22/(1-(H22/1000))*((273+Paėmimas!F22)/273)*(1013/(Paėmimas!H22+Paėmimas!I22)))</f>
        <v>5.0038450317896277E-2</v>
      </c>
      <c r="J22" s="58">
        <f>(I22/(Paėmimas!M22*60)/((3.142*((Paėmimas!K22/1000)*(Paėmimas!K22/1000))/4)))</f>
        <v>4.3335152286464513</v>
      </c>
      <c r="K22" s="74">
        <f>J22/Paėmimas!G22</f>
        <v>1.0353315592396999</v>
      </c>
      <c r="L22" s="19"/>
      <c r="M22" s="60"/>
      <c r="N22" s="34"/>
    </row>
    <row r="23" spans="1:14" x14ac:dyDescent="0.3">
      <c r="A23" s="59"/>
      <c r="B23" s="23"/>
      <c r="C23" s="284"/>
      <c r="D23" s="193">
        <f>Paėmimas!L23</f>
        <v>0.05</v>
      </c>
      <c r="E23" s="72">
        <f>D23*(273/(273+Paėmimas!O23)*(Paėmimas!H23-Paėmimas!J23)/1013)</f>
        <v>4.2852807495491474E-2</v>
      </c>
      <c r="F23" s="60"/>
      <c r="G23" s="71">
        <f>((Paėmimas!Q23/100)*1.965)+((Paėmimas!P23/100)*1.429)+((1-(Paėmimas!Q23/100)-(Paėmimas!P23/100))*1.251)</f>
        <v>1.2973599999999998</v>
      </c>
      <c r="H23" s="193">
        <f>H2O!K7</f>
        <v>6.352173020933173</v>
      </c>
      <c r="I23" s="58">
        <f>(E23/(1-(H23/1000))*((273+Paėmimas!F23)/273)*(1013/(Paėmimas!H23+Paėmimas!I23)))</f>
        <v>5.0038450317896277E-2</v>
      </c>
      <c r="J23" s="58">
        <f>(I23/(Paėmimas!M23*60)/((3.142*((Paėmimas!K23/1000)*(Paėmimas!K23/1000))/4)))</f>
        <v>4.3335152286464513</v>
      </c>
      <c r="K23" s="74">
        <f>J23/Paėmimas!G23</f>
        <v>1.0353315592396999</v>
      </c>
      <c r="L23" s="19"/>
      <c r="M23" s="60"/>
      <c r="N23" s="34"/>
    </row>
    <row r="24" spans="1:14" x14ac:dyDescent="0.3">
      <c r="A24" s="59"/>
      <c r="B24" s="23"/>
      <c r="C24" s="284"/>
      <c r="D24" s="193">
        <f>Paėmimas!L24</f>
        <v>0.05</v>
      </c>
      <c r="E24" s="72">
        <f>D24*(273/(273+Paėmimas!O24)*(Paėmimas!H24-Paėmimas!J24)/1013)</f>
        <v>4.2852807495491474E-2</v>
      </c>
      <c r="F24" s="60"/>
      <c r="G24" s="71">
        <f>((Paėmimas!Q24/100)*1.965)+((Paėmimas!P24/100)*1.429)+((1-(Paėmimas!Q24/100)-(Paėmimas!P24/100))*1.251)</f>
        <v>1.2973599999999998</v>
      </c>
      <c r="H24" s="193">
        <f>H2O!K7</f>
        <v>6.352173020933173</v>
      </c>
      <c r="I24" s="58">
        <f>(E24/(1-(H24/1000))*((273+Paėmimas!F24)/273)*(1013/(Paėmimas!H24+Paėmimas!I24)))</f>
        <v>5.0038450317896277E-2</v>
      </c>
      <c r="J24" s="58">
        <f>(I24/(Paėmimas!M24*60)/((3.142*((Paėmimas!K24/1000)*(Paėmimas!K24/1000))/4)))</f>
        <v>4.3335152286464513</v>
      </c>
      <c r="K24" s="74">
        <f>J24/Paėmimas!G24</f>
        <v>1.0353315592396999</v>
      </c>
      <c r="L24" s="19"/>
      <c r="M24" s="60"/>
      <c r="N24" s="34"/>
    </row>
    <row r="25" spans="1:14" x14ac:dyDescent="0.3">
      <c r="A25" s="59"/>
      <c r="B25" s="23"/>
      <c r="C25" s="284"/>
      <c r="D25" s="193">
        <f>Paėmimas!L25</f>
        <v>0.05</v>
      </c>
      <c r="E25" s="72">
        <f>D25*(273/(273+Paėmimas!O25)*(Paėmimas!H25-Paėmimas!J25)/1013)</f>
        <v>4.2852807495491474E-2</v>
      </c>
      <c r="F25" s="60"/>
      <c r="G25" s="71">
        <f>((Paėmimas!Q25/100)*1.965)+((Paėmimas!P25/100)*1.429)+((1-(Paėmimas!Q25/100)-(Paėmimas!P25/100))*1.251)</f>
        <v>1.2973599999999998</v>
      </c>
      <c r="H25" s="193">
        <f>H2O!K7</f>
        <v>6.352173020933173</v>
      </c>
      <c r="I25" s="58">
        <f>(E25/(1-(H25/1000))*((273+Paėmimas!F25)/273)*(1013/(Paėmimas!H25+Paėmimas!I25)))</f>
        <v>5.0038450317896277E-2</v>
      </c>
      <c r="J25" s="58">
        <f>(I25/(Paėmimas!M25*60)/((3.142*((Paėmimas!K25/1000)*(Paėmimas!K25/1000))/4)))</f>
        <v>4.3335152286464513</v>
      </c>
      <c r="K25" s="74">
        <f>J25/Paėmimas!G25</f>
        <v>1.0353315592396999</v>
      </c>
      <c r="L25" s="19"/>
      <c r="M25" s="60"/>
      <c r="N25" s="34"/>
    </row>
    <row r="26" spans="1:14" x14ac:dyDescent="0.3">
      <c r="A26" s="59"/>
      <c r="B26" s="23"/>
      <c r="C26" s="284"/>
      <c r="D26" s="193">
        <f>Paėmimas!L26</f>
        <v>0.05</v>
      </c>
      <c r="E26" s="72">
        <f>D26*(273/(273+Paėmimas!O26)*(Paėmimas!H26-Paėmimas!J26)/1013)</f>
        <v>4.2852807495491474E-2</v>
      </c>
      <c r="F26" s="60"/>
      <c r="G26" s="71">
        <f>((Paėmimas!Q26/100)*1.965)+((Paėmimas!P26/100)*1.429)+((1-(Paėmimas!Q26/100)-(Paėmimas!P26/100))*1.251)</f>
        <v>1.2973599999999998</v>
      </c>
      <c r="H26" s="193">
        <f>H2O!K7</f>
        <v>6.352173020933173</v>
      </c>
      <c r="I26" s="58">
        <f>(E26/(1-(H26/1000))*((273+Paėmimas!F26)/273)*(1013/(Paėmimas!H26+Paėmimas!I26)))</f>
        <v>5.0038450317896277E-2</v>
      </c>
      <c r="J26" s="58">
        <f>(I26/(Paėmimas!M26*60)/((3.142*((Paėmimas!K26/1000)*(Paėmimas!K26/1000))/4)))</f>
        <v>4.3335152286464513</v>
      </c>
      <c r="K26" s="74">
        <f>J26/Paėmimas!G26</f>
        <v>1.0353315592396999</v>
      </c>
      <c r="L26" s="19"/>
      <c r="M26" s="60"/>
      <c r="N26" s="34"/>
    </row>
    <row r="27" spans="1:14" x14ac:dyDescent="0.3">
      <c r="A27" s="61"/>
      <c r="B27" s="62"/>
      <c r="C27" s="285"/>
      <c r="D27" s="193">
        <f>Paėmimas!L27</f>
        <v>0.05</v>
      </c>
      <c r="E27" s="72">
        <f>D27*(273/(273+Paėmimas!O27)*(Paėmimas!H27-Paėmimas!J27)/1013)</f>
        <v>4.2852807495491474E-2</v>
      </c>
      <c r="F27" s="63"/>
      <c r="G27" s="71">
        <f>((Paėmimas!Q27/100)*1.965)+((Paėmimas!P27/100)*1.429)+((1-(Paėmimas!Q27/100)-(Paėmimas!P27/100))*1.251)</f>
        <v>1.2973599999999998</v>
      </c>
      <c r="H27" s="193">
        <f>H2O!K7</f>
        <v>6.352173020933173</v>
      </c>
      <c r="I27" s="58">
        <f>(E27/(1-(H27/1000))*((273+Paėmimas!F27)/273)*(1013/(Paėmimas!H27+Paėmimas!I27)))</f>
        <v>5.0038450317896277E-2</v>
      </c>
      <c r="J27" s="58">
        <f>(I27/(Paėmimas!M27*60)/((3.142*((Paėmimas!K27/1000)*(Paėmimas!K27/1000))/4)))</f>
        <v>4.3335152286464513</v>
      </c>
      <c r="K27" s="74">
        <f>J27/Paėmimas!G27</f>
        <v>1.0353315592396999</v>
      </c>
      <c r="L27" s="64"/>
      <c r="M27" s="63"/>
      <c r="N27" s="22"/>
    </row>
    <row r="28" spans="1:14" x14ac:dyDescent="0.3">
      <c r="C28" s="78"/>
      <c r="D28" s="78"/>
      <c r="E28" s="78"/>
      <c r="F28" s="76">
        <f>SUM(F6+F19)</f>
        <v>0.77135053491884653</v>
      </c>
      <c r="G28" s="74">
        <f>AVERAGE(G19:G27)</f>
        <v>1.2973599999999996</v>
      </c>
      <c r="H28" s="78"/>
      <c r="I28" s="124">
        <f>SUM(I19:I27)</f>
        <v>0.45034605286106649</v>
      </c>
      <c r="J28" s="78"/>
      <c r="L28" s="77">
        <f>(L6+L19)/2</f>
        <v>1.0353315592396999</v>
      </c>
    </row>
    <row r="29" spans="1:14" ht="56" x14ac:dyDescent="0.3">
      <c r="C29" s="79"/>
      <c r="D29" s="79"/>
      <c r="E29" s="79"/>
      <c r="F29" s="45" t="s">
        <v>36</v>
      </c>
      <c r="G29" s="45" t="s">
        <v>28</v>
      </c>
      <c r="H29" s="79"/>
      <c r="I29" s="45" t="s">
        <v>139</v>
      </c>
      <c r="J29" s="79"/>
      <c r="L29" s="45" t="s">
        <v>35</v>
      </c>
    </row>
    <row r="30" spans="1:14" x14ac:dyDescent="0.3">
      <c r="C30" s="80"/>
      <c r="D30" s="80"/>
      <c r="E30" s="80"/>
      <c r="F30" s="80"/>
      <c r="G30" s="80"/>
      <c r="H30" s="80"/>
      <c r="I30" s="80"/>
      <c r="J30" s="80"/>
    </row>
    <row r="31" spans="1:14" x14ac:dyDescent="0.3">
      <c r="C31" s="80"/>
      <c r="D31" s="80"/>
      <c r="E31" s="80"/>
      <c r="F31" s="80"/>
      <c r="G31" s="74">
        <f>(G15+G28)/2</f>
        <v>1.2973599999999996</v>
      </c>
      <c r="H31" s="80"/>
      <c r="I31" s="124">
        <f>SUM(I15+I28)</f>
        <v>0.90069210572213299</v>
      </c>
      <c r="J31" s="80"/>
    </row>
    <row r="32" spans="1:14" ht="55.5" customHeight="1" x14ac:dyDescent="0.3">
      <c r="C32" s="80"/>
      <c r="D32" s="80"/>
      <c r="E32" s="80"/>
      <c r="F32" s="80"/>
      <c r="G32" s="45" t="s">
        <v>34</v>
      </c>
      <c r="H32" s="80"/>
      <c r="I32" s="45" t="s">
        <v>140</v>
      </c>
      <c r="J32" s="80"/>
    </row>
    <row r="33" spans="3:10" x14ac:dyDescent="0.3">
      <c r="C33" s="80"/>
      <c r="D33" s="80"/>
      <c r="E33" s="80"/>
      <c r="F33" s="80"/>
      <c r="G33" s="80"/>
      <c r="H33" s="80"/>
      <c r="I33" s="80"/>
      <c r="J33" s="80"/>
    </row>
    <row r="34" spans="3:10" x14ac:dyDescent="0.3">
      <c r="C34" s="80"/>
      <c r="D34" s="80"/>
      <c r="E34" s="80"/>
      <c r="F34" s="80"/>
      <c r="G34" s="80"/>
      <c r="H34" s="80"/>
      <c r="I34" s="80"/>
      <c r="J34" s="80"/>
    </row>
    <row r="262" spans="3:4" x14ac:dyDescent="0.3">
      <c r="C262" s="26"/>
      <c r="D262" s="14" t="s">
        <v>10</v>
      </c>
    </row>
    <row r="263" spans="3:4" x14ac:dyDescent="0.3">
      <c r="C263" s="27"/>
      <c r="D263" s="14" t="s">
        <v>11</v>
      </c>
    </row>
  </sheetData>
  <sheetProtection algorithmName="SHA-512" hashValue="yZn1XDZ0GfIMtX0c0M+kgo7/jbk2XvxUK225K1ymuSLwmWf5HqclhZ6+E09hmJKwba12surd9OiZ8taqWKPeKw==" saltValue="t9J1Yq/68VM1+6jrkSfprQ==" spinCount="100000" sheet="1" formatCells="0" formatColumns="0" formatRows="0"/>
  <mergeCells count="4">
    <mergeCell ref="C2:M2"/>
    <mergeCell ref="C1:D1"/>
    <mergeCell ref="C6:C14"/>
    <mergeCell ref="C19:C27"/>
  </mergeCells>
  <phoneticPr fontId="0" type="noConversion"/>
  <pageMargins left="0.39370078740157483" right="0" top="0.74803149606299213" bottom="0.19685039370078741" header="0.31496062992125984" footer="0.31496062992125984"/>
  <pageSetup paperSize="9" scale="68" fitToHeight="0" orientation="landscape" r:id="rId1"/>
  <headerFooter alignWithMargins="0">
    <oddFooter>&amp;CPuslapių &amp;P &amp;R&amp;"Times New Roman,Paryškintasis"E5-5_02         
2022-02-01, EV</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C1EDA9-7C25-4C01-9DCA-8D685240AFBD}">
  <sheetPr codeName="Lapas4">
    <pageSetUpPr fitToPage="1"/>
  </sheetPr>
  <dimension ref="A1:R8"/>
  <sheetViews>
    <sheetView topLeftCell="A5" zoomScale="110" zoomScaleNormal="110" workbookViewId="0">
      <selection activeCell="C12" sqref="C12"/>
    </sheetView>
  </sheetViews>
  <sheetFormatPr defaultColWidth="9.1796875" defaultRowHeight="14" x14ac:dyDescent="0.3"/>
  <cols>
    <col min="1" max="1" width="11.7265625" style="14" customWidth="1"/>
    <col min="2" max="2" width="13.453125" style="14" customWidth="1"/>
    <col min="3" max="3" width="24.54296875" style="14" customWidth="1"/>
    <col min="4" max="4" width="8.1796875" style="14" customWidth="1"/>
    <col min="5" max="5" width="11.54296875" style="14" customWidth="1"/>
    <col min="6" max="6" width="12.26953125" style="14" customWidth="1"/>
    <col min="7" max="7" width="11" style="14" customWidth="1"/>
    <col min="8" max="9" width="10.26953125" style="14" customWidth="1"/>
    <col min="10" max="10" width="11.1796875" style="14" customWidth="1"/>
    <col min="11" max="11" width="14.26953125" style="14" customWidth="1"/>
    <col min="12" max="12" width="11.26953125" style="14" customWidth="1"/>
    <col min="13" max="13" width="10.54296875" style="14" customWidth="1"/>
    <col min="14" max="14" width="17.7265625" style="14" customWidth="1"/>
    <col min="15" max="15" width="8.26953125" style="14" customWidth="1"/>
    <col min="16" max="16" width="12.7265625" style="14" customWidth="1"/>
    <col min="17" max="17" width="9.1796875" style="14"/>
    <col min="18" max="18" width="9.54296875" style="14" bestFit="1" customWidth="1"/>
    <col min="19" max="16384" width="9.1796875" style="14"/>
  </cols>
  <sheetData>
    <row r="1" spans="1:18" ht="27.75" customHeight="1" x14ac:dyDescent="0.3">
      <c r="C1" s="287" t="s">
        <v>20</v>
      </c>
      <c r="D1" s="287"/>
      <c r="R1" s="16"/>
    </row>
    <row r="2" spans="1:18" x14ac:dyDescent="0.3">
      <c r="A2" s="289" t="s">
        <v>102</v>
      </c>
      <c r="B2" s="289"/>
      <c r="C2" s="289"/>
      <c r="D2" s="289"/>
      <c r="E2" s="289"/>
      <c r="F2" s="289"/>
      <c r="G2" s="289"/>
      <c r="H2" s="289"/>
      <c r="I2" s="289"/>
      <c r="J2" s="289"/>
      <c r="K2" s="289"/>
      <c r="L2" s="289"/>
      <c r="M2" s="289"/>
      <c r="N2" s="289"/>
      <c r="O2" s="125"/>
    </row>
    <row r="3" spans="1:18" x14ac:dyDescent="0.3">
      <c r="F3" s="29"/>
      <c r="L3" s="16"/>
      <c r="M3" s="16"/>
    </row>
    <row r="4" spans="1:18" ht="12.75" customHeight="1" x14ac:dyDescent="0.3">
      <c r="L4" s="16"/>
      <c r="M4" s="16"/>
    </row>
    <row r="5" spans="1:18" ht="88.5" customHeight="1" x14ac:dyDescent="0.3">
      <c r="A5" s="99" t="s">
        <v>8</v>
      </c>
      <c r="B5" s="99" t="s">
        <v>49</v>
      </c>
      <c r="C5" s="12" t="s">
        <v>9</v>
      </c>
      <c r="D5" s="12" t="s">
        <v>7</v>
      </c>
      <c r="E5" s="115" t="s">
        <v>73</v>
      </c>
      <c r="F5" s="115" t="s">
        <v>74</v>
      </c>
      <c r="G5" s="115" t="s">
        <v>75</v>
      </c>
      <c r="H5" s="115" t="s">
        <v>76</v>
      </c>
      <c r="I5" s="115" t="s">
        <v>77</v>
      </c>
      <c r="J5" s="115" t="s">
        <v>78</v>
      </c>
      <c r="K5" s="115" t="s">
        <v>79</v>
      </c>
      <c r="L5" s="115" t="s">
        <v>80</v>
      </c>
      <c r="M5" s="249" t="s">
        <v>81</v>
      </c>
      <c r="N5" s="12" t="s">
        <v>12</v>
      </c>
      <c r="O5" s="12" t="s">
        <v>104</v>
      </c>
      <c r="P5" s="52" t="s">
        <v>6</v>
      </c>
    </row>
    <row r="6" spans="1:18" ht="17.25" customHeight="1" x14ac:dyDescent="0.3">
      <c r="A6" s="196" t="str">
        <f>Paėmimas!A6</f>
        <v>XXXX-XX-XX</v>
      </c>
      <c r="B6" s="197" t="str">
        <f>Svėrimas!A6</f>
        <v>XX</v>
      </c>
      <c r="C6" s="290" t="str">
        <f>Paėmimas!C6</f>
        <v>XXXX</v>
      </c>
      <c r="D6" s="198">
        <f>Svėrimas!C6</f>
        <v>1</v>
      </c>
      <c r="E6" s="199">
        <f>Svėrimas!G6</f>
        <v>4.0517000000000003</v>
      </c>
      <c r="F6" s="200">
        <f>Svėrimas!L6</f>
        <v>4.0567000000000002</v>
      </c>
      <c r="G6" s="200">
        <f>Svėrimas!M9</f>
        <v>1.0000000000021103E-4</v>
      </c>
      <c r="H6" s="126">
        <f>Svėrimas!M11/O6</f>
        <v>4.9999999998107114E-5</v>
      </c>
      <c r="I6" s="200">
        <f>Svėrimas!M16</f>
        <v>0</v>
      </c>
      <c r="J6" s="203">
        <f>Aerodinamika!F6</f>
        <v>0.38567526745942327</v>
      </c>
      <c r="K6" s="100">
        <f>((F6-E6-G6+H6+I6)/J6)*1000</f>
        <v>12.834631664625933</v>
      </c>
      <c r="L6" s="183">
        <f>G6/Paėmimas!L15*1000</f>
        <v>0.2222222222226912</v>
      </c>
      <c r="M6" s="101">
        <f>(((F6-E6)+H6)+((F7-E7)+H7))/G6</f>
        <v>100.99999999974688</v>
      </c>
      <c r="N6" s="205" t="str">
        <f>Svėrimas!N6</f>
        <v>XX</v>
      </c>
      <c r="O6" s="50">
        <v>2</v>
      </c>
      <c r="P6" s="206" t="str">
        <f>Paėmimas!S6</f>
        <v>1 linija, 1 filtras</v>
      </c>
    </row>
    <row r="7" spans="1:18" ht="19.5" customHeight="1" x14ac:dyDescent="0.3">
      <c r="A7" s="207"/>
      <c r="B7" s="208"/>
      <c r="C7" s="290"/>
      <c r="D7" s="201">
        <f>Svėrimas!C7</f>
        <v>2</v>
      </c>
      <c r="E7" s="199">
        <f>Svėrimas!G7</f>
        <v>4.0517000000000003</v>
      </c>
      <c r="F7" s="202">
        <f>Svėrimas!L7</f>
        <v>4.0567000000000002</v>
      </c>
      <c r="G7" s="200">
        <f>Svėrimas!M9</f>
        <v>1.0000000000021103E-4</v>
      </c>
      <c r="H7" s="126">
        <f>Svėrimas!M11/O6</f>
        <v>4.9999999998107114E-5</v>
      </c>
      <c r="I7" s="200">
        <f>Svėrimas!M16</f>
        <v>0</v>
      </c>
      <c r="J7" s="204">
        <f>Aerodinamika!F19</f>
        <v>0.38567526745942327</v>
      </c>
      <c r="K7" s="98">
        <f>((F7-E7-G7+H7+I7)/J7)*1000</f>
        <v>12.834631664625933</v>
      </c>
      <c r="L7" s="183">
        <f>G7/Paėmimas!L28*1000</f>
        <v>0.2222222222226912</v>
      </c>
      <c r="M7" s="102"/>
      <c r="N7" s="217"/>
      <c r="O7" s="34"/>
      <c r="P7" s="206" t="str">
        <f>Paėmimas!S19</f>
        <v>2 linija, 2 filtras</v>
      </c>
    </row>
    <row r="8" spans="1:18" ht="22.5" customHeight="1" x14ac:dyDescent="0.3">
      <c r="A8" s="209"/>
      <c r="B8" s="210"/>
      <c r="C8" s="291"/>
      <c r="D8" s="211"/>
      <c r="E8" s="212"/>
      <c r="F8" s="213"/>
      <c r="G8" s="213"/>
      <c r="H8" s="213"/>
      <c r="I8" s="213"/>
      <c r="J8" s="214"/>
      <c r="K8" s="215"/>
      <c r="L8" s="216"/>
      <c r="M8" s="103"/>
      <c r="N8" s="218"/>
      <c r="O8" s="22"/>
      <c r="P8" s="219"/>
    </row>
  </sheetData>
  <sheetProtection algorithmName="SHA-512" hashValue="ieqiJL1WxT84xM0k666oCEmNfoWReeXzs0vrOc8nReKwH1pTB8/U/pemJ1qa5tJCEy36XaGRMWCHclwNALw8Mw==" saltValue="sF01Xq3vGPf/99H6AuS/5g==" spinCount="100000" sheet="1" formatCells="0" formatColumns="0" formatRows="0"/>
  <mergeCells count="3">
    <mergeCell ref="C6:C8"/>
    <mergeCell ref="C1:D1"/>
    <mergeCell ref="A2:N2"/>
  </mergeCells>
  <phoneticPr fontId="0" type="noConversion"/>
  <pageMargins left="0.59055118110236227" right="0.39370078740157483" top="0.74803149606299213" bottom="0.35433070866141736" header="0.31496062992125984" footer="0.31496062992125984"/>
  <pageSetup paperSize="9" fitToHeight="0" orientation="landscape" r:id="rId1"/>
  <headerFooter alignWithMargins="0">
    <oddFooter>&amp;CPuslapių &amp;P &amp;R&amp;"Times New Roman,Paryškintasis"E5-5_02         
2022-02-01, EV</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ECBA1-822C-4C0F-89AB-CB2C7AD5643F}">
  <dimension ref="A1:P18"/>
  <sheetViews>
    <sheetView tabSelected="1" zoomScale="80" zoomScaleNormal="80" workbookViewId="0">
      <pane ySplit="5" topLeftCell="A6" activePane="bottomLeft" state="frozen"/>
      <selection pane="bottomLeft" activeCell="F9" sqref="F9"/>
    </sheetView>
  </sheetViews>
  <sheetFormatPr defaultColWidth="9.1796875" defaultRowHeight="14" x14ac:dyDescent="0.25"/>
  <cols>
    <col min="1" max="1" width="13.7265625" style="95" customWidth="1"/>
    <col min="2" max="2" width="25.1796875" style="95" customWidth="1"/>
    <col min="3" max="3" width="7.453125" style="95" customWidth="1"/>
    <col min="4" max="4" width="12.81640625" style="95" customWidth="1"/>
    <col min="5" max="5" width="11.1796875" style="95" customWidth="1"/>
    <col min="6" max="6" width="10.81640625" style="95" customWidth="1"/>
    <col min="7" max="7" width="10.453125" style="95" customWidth="1"/>
    <col min="8" max="8" width="18" style="95" customWidth="1"/>
    <col min="9" max="9" width="11.26953125" style="95" customWidth="1"/>
    <col min="10" max="10" width="10.81640625" style="95" customWidth="1"/>
    <col min="11" max="11" width="11" style="95" customWidth="1"/>
    <col min="12" max="12" width="11.1796875" style="95" customWidth="1"/>
    <col min="13" max="13" width="20.26953125" style="95" customWidth="1"/>
    <col min="14" max="14" width="16.81640625" style="95" customWidth="1"/>
    <col min="15" max="15" width="31.26953125" style="95" customWidth="1"/>
    <col min="16" max="16384" width="9.1796875" style="95"/>
  </cols>
  <sheetData>
    <row r="1" spans="1:16" ht="26.25" customHeight="1" x14ac:dyDescent="0.25">
      <c r="C1" s="287" t="s">
        <v>21</v>
      </c>
      <c r="D1" s="287"/>
      <c r="E1" s="287"/>
      <c r="F1" s="287"/>
    </row>
    <row r="2" spans="1:16" ht="19.5" customHeight="1" x14ac:dyDescent="0.25">
      <c r="A2" s="289" t="s">
        <v>103</v>
      </c>
      <c r="B2" s="289"/>
      <c r="C2" s="289"/>
      <c r="D2" s="289"/>
      <c r="E2" s="289"/>
      <c r="F2" s="289"/>
      <c r="G2" s="289"/>
      <c r="H2" s="289"/>
      <c r="I2" s="289"/>
      <c r="J2" s="289"/>
      <c r="K2" s="289"/>
      <c r="L2" s="289"/>
      <c r="M2" s="289"/>
      <c r="N2" s="289"/>
      <c r="O2" s="289"/>
    </row>
    <row r="4" spans="1:16" ht="60" customHeight="1" x14ac:dyDescent="0.25">
      <c r="A4" s="298" t="s">
        <v>82</v>
      </c>
      <c r="B4" s="298" t="s">
        <v>9</v>
      </c>
      <c r="C4" s="295" t="s">
        <v>83</v>
      </c>
      <c r="D4" s="295" t="s">
        <v>84</v>
      </c>
      <c r="E4" s="295" t="s">
        <v>85</v>
      </c>
      <c r="F4" s="295"/>
      <c r="G4" s="295"/>
      <c r="H4" s="295" t="s">
        <v>15</v>
      </c>
      <c r="I4" s="302" t="s">
        <v>86</v>
      </c>
      <c r="J4" s="297" t="s">
        <v>87</v>
      </c>
      <c r="K4" s="297"/>
      <c r="L4" s="297"/>
      <c r="M4" s="304" t="s">
        <v>88</v>
      </c>
      <c r="N4" s="297" t="s">
        <v>15</v>
      </c>
      <c r="O4" s="300" t="s">
        <v>6</v>
      </c>
    </row>
    <row r="5" spans="1:16" ht="14.25" customHeight="1" x14ac:dyDescent="0.25">
      <c r="A5" s="299"/>
      <c r="B5" s="299"/>
      <c r="C5" s="296"/>
      <c r="D5" s="295"/>
      <c r="E5" s="116">
        <v>1</v>
      </c>
      <c r="F5" s="116">
        <v>2</v>
      </c>
      <c r="G5" s="116">
        <v>3</v>
      </c>
      <c r="H5" s="295"/>
      <c r="I5" s="303"/>
      <c r="J5" s="12">
        <v>1</v>
      </c>
      <c r="K5" s="12">
        <v>2</v>
      </c>
      <c r="L5" s="12">
        <v>3</v>
      </c>
      <c r="M5" s="305"/>
      <c r="N5" s="297"/>
      <c r="O5" s="301"/>
    </row>
    <row r="6" spans="1:16" ht="15" customHeight="1" x14ac:dyDescent="0.25">
      <c r="A6" s="220" t="str">
        <f>Paėmimas!B6</f>
        <v>XX</v>
      </c>
      <c r="B6" s="292" t="str">
        <f>Paėmimas!C6</f>
        <v>XXXX</v>
      </c>
      <c r="C6" s="91">
        <v>1</v>
      </c>
      <c r="D6" s="221" t="str">
        <f>Paėmimas!A6</f>
        <v>XXXX-XX-XX</v>
      </c>
      <c r="E6" s="250">
        <v>4.0517000000000003</v>
      </c>
      <c r="F6" s="250">
        <v>4.0517000000000003</v>
      </c>
      <c r="G6" s="250">
        <v>4.0517000000000003</v>
      </c>
      <c r="H6" s="222" t="str">
        <f>Paėmimas!R6</f>
        <v>XX</v>
      </c>
      <c r="I6" s="30" t="s">
        <v>150</v>
      </c>
      <c r="J6" s="250">
        <v>4.0567000000000002</v>
      </c>
      <c r="K6" s="250">
        <v>4.0567000000000002</v>
      </c>
      <c r="L6" s="250">
        <v>4.0567000000000002</v>
      </c>
      <c r="M6" s="175">
        <f>L6-G6</f>
        <v>4.9999999999998934E-3</v>
      </c>
      <c r="N6" s="32" t="s">
        <v>146</v>
      </c>
      <c r="O6" s="220" t="str">
        <f>Paėmimas!S6</f>
        <v>1 linija, 1 filtras</v>
      </c>
    </row>
    <row r="7" spans="1:16" ht="15" customHeight="1" x14ac:dyDescent="0.25">
      <c r="A7" s="34"/>
      <c r="B7" s="293"/>
      <c r="C7" s="33">
        <v>2</v>
      </c>
      <c r="D7" s="30"/>
      <c r="E7" s="250">
        <v>4.0517000000000003</v>
      </c>
      <c r="F7" s="250">
        <v>4.0517000000000003</v>
      </c>
      <c r="G7" s="250">
        <v>4.0517000000000003</v>
      </c>
      <c r="H7" s="31"/>
      <c r="I7" s="30"/>
      <c r="J7" s="250">
        <v>4.0567000000000002</v>
      </c>
      <c r="K7" s="250">
        <v>4.0567000000000002</v>
      </c>
      <c r="L7" s="250">
        <v>4.0567000000000002</v>
      </c>
      <c r="M7" s="178">
        <f>L7-G7</f>
        <v>4.9999999999998934E-3</v>
      </c>
      <c r="N7" s="32"/>
      <c r="O7" s="223" t="str">
        <f>Paėmimas!S19</f>
        <v>2 linija, 2 filtras</v>
      </c>
    </row>
    <row r="8" spans="1:16" ht="15" customHeight="1" x14ac:dyDescent="0.25">
      <c r="A8" s="34"/>
      <c r="B8" s="293"/>
      <c r="C8" s="33"/>
      <c r="D8" s="89"/>
      <c r="E8" s="176"/>
      <c r="F8" s="176"/>
      <c r="G8" s="176"/>
      <c r="H8" s="90"/>
      <c r="I8" s="89"/>
      <c r="J8" s="176"/>
      <c r="K8" s="176"/>
      <c r="L8" s="176"/>
      <c r="M8" s="259">
        <f>L8-G8</f>
        <v>0</v>
      </c>
      <c r="N8" s="90"/>
      <c r="O8" s="224"/>
    </row>
    <row r="9" spans="1:16" ht="17" x14ac:dyDescent="0.45">
      <c r="A9" s="34"/>
      <c r="B9" s="293"/>
      <c r="C9" s="33">
        <v>3</v>
      </c>
      <c r="D9" s="89"/>
      <c r="E9" s="251">
        <v>3.7018</v>
      </c>
      <c r="F9" s="251">
        <v>3.7018</v>
      </c>
      <c r="G9" s="251">
        <v>3.7018</v>
      </c>
      <c r="H9" s="90"/>
      <c r="I9" s="89"/>
      <c r="J9" s="251">
        <v>3.7019000000000002</v>
      </c>
      <c r="K9" s="251">
        <v>3.7019000000000002</v>
      </c>
      <c r="L9" s="251">
        <v>3.7019000000000002</v>
      </c>
      <c r="M9" s="178">
        <f>L9-G9</f>
        <v>1.0000000000021103E-4</v>
      </c>
      <c r="N9" s="90"/>
      <c r="O9" s="35" t="s">
        <v>91</v>
      </c>
      <c r="P9" s="97"/>
    </row>
    <row r="10" spans="1:16" x14ac:dyDescent="0.3">
      <c r="A10" s="34"/>
      <c r="B10" s="293"/>
      <c r="C10" s="33"/>
      <c r="D10" s="89"/>
      <c r="E10" s="176"/>
      <c r="F10" s="176"/>
      <c r="G10" s="177"/>
      <c r="H10" s="90"/>
      <c r="I10" s="89"/>
      <c r="J10" s="179"/>
      <c r="K10" s="176"/>
      <c r="L10" s="177"/>
      <c r="M10" s="259"/>
      <c r="N10" s="90"/>
      <c r="O10" s="117"/>
    </row>
    <row r="11" spans="1:16" ht="17" x14ac:dyDescent="0.45">
      <c r="A11" s="34"/>
      <c r="B11" s="293"/>
      <c r="C11" s="33">
        <v>41</v>
      </c>
      <c r="D11" s="89"/>
      <c r="E11" s="251">
        <v>56.4998</v>
      </c>
      <c r="F11" s="251">
        <v>56.4998</v>
      </c>
      <c r="G11" s="252">
        <v>56.4998</v>
      </c>
      <c r="H11" s="90"/>
      <c r="I11" s="89"/>
      <c r="J11" s="256">
        <v>56.499899999999997</v>
      </c>
      <c r="K11" s="251">
        <v>56.499899999999997</v>
      </c>
      <c r="L11" s="252">
        <v>56.499899999999997</v>
      </c>
      <c r="M11" s="178">
        <f>L11-G11</f>
        <v>9.9999999996214228E-5</v>
      </c>
      <c r="N11" s="90"/>
      <c r="O11" s="94" t="s">
        <v>92</v>
      </c>
    </row>
    <row r="12" spans="1:16" ht="30.75" customHeight="1" x14ac:dyDescent="0.45">
      <c r="A12" s="34"/>
      <c r="B12" s="293"/>
      <c r="C12" s="112" t="s">
        <v>45</v>
      </c>
      <c r="D12" s="89"/>
      <c r="E12" s="253">
        <v>49.838799999999999</v>
      </c>
      <c r="F12" s="253">
        <v>49.838799999999999</v>
      </c>
      <c r="G12" s="254">
        <v>49.838799999999999</v>
      </c>
      <c r="H12" s="90"/>
      <c r="I12" s="89"/>
      <c r="J12" s="257">
        <v>49.838799999999999</v>
      </c>
      <c r="K12" s="253">
        <v>49.838799999999999</v>
      </c>
      <c r="L12" s="254">
        <v>49.838799999999999</v>
      </c>
      <c r="M12" s="178">
        <f t="shared" ref="M12:M15" si="0">L12-G12</f>
        <v>0</v>
      </c>
      <c r="N12" s="90"/>
      <c r="O12" s="118" t="s">
        <v>93</v>
      </c>
    </row>
    <row r="13" spans="1:16" ht="17" x14ac:dyDescent="0.45">
      <c r="A13" s="34"/>
      <c r="B13" s="293"/>
      <c r="C13" s="113" t="s">
        <v>46</v>
      </c>
      <c r="D13" s="89"/>
      <c r="E13" s="251">
        <v>54.789299999999997</v>
      </c>
      <c r="F13" s="251">
        <v>54.789299999999997</v>
      </c>
      <c r="G13" s="251">
        <v>54.789299999999997</v>
      </c>
      <c r="H13" s="90"/>
      <c r="I13" s="89"/>
      <c r="J13" s="251">
        <v>54.789400000000001</v>
      </c>
      <c r="K13" s="251">
        <v>54.789400000000001</v>
      </c>
      <c r="L13" s="251">
        <v>54.789400000000001</v>
      </c>
      <c r="M13" s="178">
        <f t="shared" si="0"/>
        <v>1.0000000000331966E-4</v>
      </c>
      <c r="N13" s="90"/>
      <c r="O13" s="119" t="s">
        <v>94</v>
      </c>
    </row>
    <row r="14" spans="1:16" ht="17" x14ac:dyDescent="0.45">
      <c r="A14" s="34"/>
      <c r="B14" s="293"/>
      <c r="C14" s="113" t="s">
        <v>47</v>
      </c>
      <c r="D14" s="89"/>
      <c r="E14" s="251">
        <v>57.3979</v>
      </c>
      <c r="F14" s="251">
        <v>57.3979</v>
      </c>
      <c r="G14" s="251">
        <v>57.3979</v>
      </c>
      <c r="H14" s="90"/>
      <c r="I14" s="89"/>
      <c r="J14" s="251">
        <v>57.397799999999997</v>
      </c>
      <c r="K14" s="251">
        <v>57.397799999999997</v>
      </c>
      <c r="L14" s="251">
        <v>57.397799999999997</v>
      </c>
      <c r="M14" s="178">
        <f t="shared" si="0"/>
        <v>-1.0000000000331966E-4</v>
      </c>
      <c r="N14" s="90"/>
      <c r="O14" s="120" t="s">
        <v>95</v>
      </c>
    </row>
    <row r="15" spans="1:16" ht="17" x14ac:dyDescent="0.45">
      <c r="A15" s="34"/>
      <c r="B15" s="293"/>
      <c r="C15" s="114" t="s">
        <v>48</v>
      </c>
      <c r="D15" s="89"/>
      <c r="E15" s="250">
        <v>53.927900000000001</v>
      </c>
      <c r="F15" s="250">
        <v>53.927900000000001</v>
      </c>
      <c r="G15" s="255">
        <v>53.927900000000001</v>
      </c>
      <c r="H15" s="90"/>
      <c r="I15" s="89"/>
      <c r="J15" s="258">
        <v>53.927900000000001</v>
      </c>
      <c r="K15" s="250">
        <v>53.927900000000001</v>
      </c>
      <c r="L15" s="255">
        <v>53.927900000000001</v>
      </c>
      <c r="M15" s="178">
        <f t="shared" si="0"/>
        <v>0</v>
      </c>
      <c r="N15" s="90"/>
      <c r="O15" s="120" t="s">
        <v>96</v>
      </c>
    </row>
    <row r="16" spans="1:16" ht="32.25" customHeight="1" x14ac:dyDescent="0.45">
      <c r="A16" s="22"/>
      <c r="B16" s="294"/>
      <c r="C16" s="33"/>
      <c r="D16" s="92"/>
      <c r="E16" s="21"/>
      <c r="F16" s="21"/>
      <c r="G16" s="33"/>
      <c r="H16" s="93"/>
      <c r="I16" s="92"/>
      <c r="J16" s="179"/>
      <c r="K16" s="180"/>
      <c r="L16" s="177"/>
      <c r="M16" s="178">
        <f>AVERAGE(M13:M15)+M12</f>
        <v>0</v>
      </c>
      <c r="N16" s="93"/>
      <c r="O16" s="121" t="s">
        <v>97</v>
      </c>
    </row>
    <row r="17" spans="11:11" x14ac:dyDescent="0.25">
      <c r="K17" s="96"/>
    </row>
    <row r="18" spans="11:11" x14ac:dyDescent="0.25">
      <c r="K18" s="96"/>
    </row>
  </sheetData>
  <sheetProtection algorithmName="SHA-512" hashValue="WnQNHsM7ArUDBYispT9oYR2lzpRq1JiI8mzLuUdWXzZWzwNMbHjDHu0OdLUTrB85VlMGe8IlEZp8qA+LpZROVw==" saltValue="PZDR2vTLZJuUhRb+STTKKA==" spinCount="100000" sheet="1" formatCells="0" formatColumns="0" formatRows="0"/>
  <autoFilter ref="C4:O6" xr:uid="{0AF1360B-BFDA-4695-966E-202C6D97088E}">
    <sortState xmlns:xlrd2="http://schemas.microsoft.com/office/spreadsheetml/2017/richdata2" ref="C7:T14">
      <sortCondition ref="H4:H6"/>
    </sortState>
  </autoFilter>
  <mergeCells count="14">
    <mergeCell ref="J4:L4"/>
    <mergeCell ref="C1:F1"/>
    <mergeCell ref="A2:O2"/>
    <mergeCell ref="N4:N5"/>
    <mergeCell ref="A4:A5"/>
    <mergeCell ref="B4:B5"/>
    <mergeCell ref="O4:O5"/>
    <mergeCell ref="I4:I5"/>
    <mergeCell ref="M4:M5"/>
    <mergeCell ref="B6:B16"/>
    <mergeCell ref="C4:C5"/>
    <mergeCell ref="D4:D5"/>
    <mergeCell ref="E4:G4"/>
    <mergeCell ref="H4:H5"/>
  </mergeCells>
  <phoneticPr fontId="6" type="noConversion"/>
  <pageMargins left="0.70866141732283472" right="0.70866141732283472" top="0.74803149606299213" bottom="0.74803149606299213" header="0.31496062992125984" footer="0.31496062992125984"/>
  <pageSetup paperSize="9" scale="89" orientation="landscape" r:id="rId1"/>
  <headerFooter>
    <oddHeader>&amp;L     
   FSVP5/3-76-5
AAA Aplinkos tyrimų departamentas</oddHeader>
    <oddFooter>&amp;CPuslapių &amp;P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3C0327-CFDD-498C-87C1-8E379F217A35}">
  <dimension ref="A3:D10"/>
  <sheetViews>
    <sheetView workbookViewId="0">
      <selection activeCell="C10" sqref="C10"/>
    </sheetView>
  </sheetViews>
  <sheetFormatPr defaultColWidth="9.1796875" defaultRowHeight="15.5" x14ac:dyDescent="0.25"/>
  <cols>
    <col min="1" max="1" width="14.7265625" style="104" customWidth="1"/>
    <col min="2" max="2" width="15.26953125" style="104" customWidth="1"/>
    <col min="3" max="3" width="13.453125" style="104" customWidth="1"/>
    <col min="4" max="4" width="21.26953125" style="104" customWidth="1"/>
    <col min="5" max="16384" width="9.1796875" style="104"/>
  </cols>
  <sheetData>
    <row r="3" spans="1:4" ht="32.25" customHeight="1" x14ac:dyDescent="0.25">
      <c r="A3" s="306" t="s">
        <v>41</v>
      </c>
      <c r="B3" s="306"/>
      <c r="C3" s="306"/>
      <c r="D3" s="306"/>
    </row>
    <row r="5" spans="1:4" ht="72.75" customHeight="1" x14ac:dyDescent="0.25">
      <c r="A5" s="105" t="s">
        <v>89</v>
      </c>
      <c r="B5" s="106" t="s">
        <v>42</v>
      </c>
      <c r="C5" s="106" t="s">
        <v>43</v>
      </c>
      <c r="D5" s="106" t="s">
        <v>44</v>
      </c>
    </row>
    <row r="6" spans="1:4" ht="20.25" customHeight="1" x14ac:dyDescent="0.25">
      <c r="A6" s="107">
        <f>(B6*C6*D6)/1000000</f>
        <v>1.944</v>
      </c>
      <c r="B6" s="108">
        <v>30</v>
      </c>
      <c r="C6" s="109">
        <v>5400</v>
      </c>
      <c r="D6" s="110">
        <v>12</v>
      </c>
    </row>
    <row r="10" spans="1:4" x14ac:dyDescent="0.25">
      <c r="C10" s="111"/>
    </row>
  </sheetData>
  <sheetProtection algorithmName="SHA-512" hashValue="4Z2E9szuFTaWWNWRU2u3opMvo03L8tMnQa/8G5MF/+ApnJN4lYB9X8CrY3qVeXgxYUwLgw4E3G31zN/33BdPHA==" saltValue="TYKCYs0aKODv8WsM9uknlw==" spinCount="100000" sheet="1" objects="1" scenarios="1" formatCells="0" formatColumns="0" formatRows="0"/>
  <mergeCells count="1">
    <mergeCell ref="A3:D3"/>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kumentas" ma:contentTypeID="0x010100BAB57CF81AE55C4698AAD22D302297F0" ma:contentTypeVersion="18" ma:contentTypeDescription="Kurkite naują dokumentą." ma:contentTypeScope="" ma:versionID="49ab401eb4052690d2a2629974c22fd6">
  <xsd:schema xmlns:xsd="http://www.w3.org/2001/XMLSchema" xmlns:xs="http://www.w3.org/2001/XMLSchema" xmlns:p="http://schemas.microsoft.com/office/2006/metadata/properties" xmlns:ns2="453e7e53-5eb2-45cf-b2ab-34c867e554b8" xmlns:ns3="aa0d983d-359a-438c-9953-3af1a8ac0831" targetNamespace="http://schemas.microsoft.com/office/2006/metadata/properties" ma:root="true" ma:fieldsID="ab9969d50e0b13c63bc5bd0499c928dc" ns2:_="" ns3:_="">
    <xsd:import namespace="453e7e53-5eb2-45cf-b2ab-34c867e554b8"/>
    <xsd:import namespace="aa0d983d-359a-438c-9953-3af1a8ac0831"/>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ServiceAutoKeyPoints" minOccurs="0"/>
                <xsd:element ref="ns2:MediaServiceKeyPoints" minOccurs="0"/>
                <xsd:element ref="ns2:lcf76f155ced4ddcb4097134ff3c332f" minOccurs="0"/>
                <xsd:element ref="ns3:TaxCatchAll" minOccurs="0"/>
                <xsd:element ref="ns2:MediaServiceLocation" minOccurs="0"/>
                <xsd:element ref="ns3:SharedWithUsers" minOccurs="0"/>
                <xsd:element ref="ns3:SharedWithDetails" minOccurs="0"/>
                <xsd:element ref="ns2:MediaServiceObjectDetectorVersions" minOccurs="0"/>
                <xsd:element ref="ns2:MediaLengthInSecond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53e7e53-5eb2-45cf-b2ab-34c867e554b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Tags" ma:index="11" nillable="true" ma:displayName="Tags" ma:internalName="MediaServiceAutoTags" ma:readOnly="true">
      <xsd:simpleType>
        <xsd:restriction base="dms:Text"/>
      </xsd:simpleType>
    </xsd:element>
    <xsd:element name="MediaServiceOCR" ma:index="12" nillable="true" ma:displayName="Extracted Text" ma:internalName="MediaServiceOCR" ma:readOnly="true">
      <xsd:simpleType>
        <xsd:restriction base="dms:Note">
          <xsd:maxLength value="255"/>
        </xsd:restriction>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AutoKeyPoints" ma:index="15" nillable="true" ma:displayName="MediaServiceAutoKeyPoints" ma:hidden="true" ma:internalName="MediaServiceAutoKeyPoints" ma:readOnly="true">
      <xsd:simpleType>
        <xsd:restriction base="dms:Note"/>
      </xsd:simpleType>
    </xsd:element>
    <xsd:element name="MediaServiceKeyPoints" ma:index="16" nillable="true" ma:displayName="KeyPoints" ma:internalName="MediaServiceKeyPoints" ma:readOnly="true">
      <xsd:simpleType>
        <xsd:restriction base="dms:Note">
          <xsd:maxLength value="255"/>
        </xsd:restriction>
      </xsd:simpleType>
    </xsd:element>
    <xsd:element name="lcf76f155ced4ddcb4097134ff3c332f" ma:index="18" nillable="true" ma:taxonomy="true" ma:internalName="lcf76f155ced4ddcb4097134ff3c332f" ma:taxonomyFieldName="MediaServiceImageTags" ma:displayName="Vaizdų žymės" ma:readOnly="false" ma:fieldId="{5cf76f15-5ced-4ddc-b409-7134ff3c332f}" ma:taxonomyMulti="true" ma:sspId="993cf2ba-b7a7-49f7-97d1-76e12a88c412" ma:termSetId="09814cd3-568e-fe90-9814-8d621ff8fb84" ma:anchorId="fba54fb3-c3e1-fe81-a776-ca4b69148c4d" ma:open="true" ma:isKeyword="false">
      <xsd:complexType>
        <xsd:sequence>
          <xsd:element ref="pc:Terms" minOccurs="0" maxOccurs="1"/>
        </xsd:sequence>
      </xsd:complexType>
    </xsd:element>
    <xsd:element name="MediaServiceLocation" ma:index="20" nillable="true" ma:displayName="Location" ma:indexed="true" ma:internalName="MediaServiceLocation" ma:readOnly="true">
      <xsd:simpleType>
        <xsd:restriction base="dms:Text"/>
      </xsd:simple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LengthInSeconds" ma:index="24" nillable="true" ma:displayName="MediaLengthInSeconds" ma:hidden="true" ma:internalName="MediaLengthInSeconds" ma:readOnly="true">
      <xsd:simpleType>
        <xsd:restriction base="dms:Unknown"/>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a0d983d-359a-438c-9953-3af1a8ac0831"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82c4fa3c-500e-4213-91e5-1b9e2014ea63}" ma:internalName="TaxCatchAll" ma:showField="CatchAllData" ma:web="aa0d983d-359a-438c-9953-3af1a8ac0831">
      <xsd:complexType>
        <xsd:complexContent>
          <xsd:extension base="dms:MultiChoiceLookup">
            <xsd:sequence>
              <xsd:element name="Value" type="dms:Lookup" maxOccurs="unbounded" minOccurs="0" nillable="true"/>
            </xsd:sequence>
          </xsd:extension>
        </xsd:complexContent>
      </xsd:complexType>
    </xsd:element>
    <xsd:element name="SharedWithUsers" ma:index="21" nillable="true" ma:displayName="Bendrinama su"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2" nillable="true" ma:displayName="Bendrinta su išsamia informacija"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urinio tipas"/>
        <xsd:element ref="dc:title" minOccurs="0" maxOccurs="1" ma:index="4" ma:displayName="Antraštė"/>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453e7e53-5eb2-45cf-b2ab-34c867e554b8">
      <Terms xmlns="http://schemas.microsoft.com/office/infopath/2007/PartnerControls"/>
    </lcf76f155ced4ddcb4097134ff3c332f>
    <TaxCatchAll xmlns="aa0d983d-359a-438c-9953-3af1a8ac0831" xsi:nil="true"/>
  </documentManagement>
</p:properties>
</file>

<file path=customXml/itemProps1.xml><?xml version="1.0" encoding="utf-8"?>
<ds:datastoreItem xmlns:ds="http://schemas.openxmlformats.org/officeDocument/2006/customXml" ds:itemID="{0108C608-980F-44FC-9F17-65C384873DE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53e7e53-5eb2-45cf-b2ab-34c867e554b8"/>
    <ds:schemaRef ds:uri="aa0d983d-359a-438c-9953-3af1a8ac083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605DD0A7-BC00-4D8E-8AD3-26E2A9FDEA54}">
  <ds:schemaRefs>
    <ds:schemaRef ds:uri="http://schemas.microsoft.com/sharepoint/v3/contenttype/forms"/>
  </ds:schemaRefs>
</ds:datastoreItem>
</file>

<file path=customXml/itemProps3.xml><?xml version="1.0" encoding="utf-8"?>
<ds:datastoreItem xmlns:ds="http://schemas.openxmlformats.org/officeDocument/2006/customXml" ds:itemID="{709F4DDD-DF1A-450D-8BF1-976CA47CFD58}">
  <ds:schemaRefs>
    <ds:schemaRef ds:uri="http://schemas.microsoft.com/office/2006/metadata/properties"/>
    <ds:schemaRef ds:uri="http://schemas.microsoft.com/office/infopath/2007/PartnerControls"/>
    <ds:schemaRef ds:uri="453e7e53-5eb2-45cf-b2ab-34c867e554b8"/>
    <ds:schemaRef ds:uri="aa0d983d-359a-438c-9953-3af1a8ac0831"/>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Darbalapiai</vt:lpstr>
      </vt:variant>
      <vt:variant>
        <vt:i4>8</vt:i4>
      </vt:variant>
      <vt:variant>
        <vt:lpstr>Įvardytieji diapazonai</vt:lpstr>
      </vt:variant>
      <vt:variant>
        <vt:i4>8</vt:i4>
      </vt:variant>
    </vt:vector>
  </HeadingPairs>
  <TitlesOfParts>
    <vt:vector size="16" baseType="lpstr">
      <vt:lpstr>Compatibility Report</vt:lpstr>
      <vt:lpstr>Greitis</vt:lpstr>
      <vt:lpstr>H2O</vt:lpstr>
      <vt:lpstr>Paėmimas</vt:lpstr>
      <vt:lpstr>Aerodinamika</vt:lpstr>
      <vt:lpstr>Koncentracija </vt:lpstr>
      <vt:lpstr>Svėrimas</vt:lpstr>
      <vt:lpstr>Koncentracijos ribinės vertės</vt:lpstr>
      <vt:lpstr>Aerodinamika!Print_Area</vt:lpstr>
      <vt:lpstr>'Koncentracija '!Print_Area</vt:lpstr>
      <vt:lpstr>Paėmimas!Print_Area</vt:lpstr>
      <vt:lpstr>Svėrimas!Print_Area</vt:lpstr>
      <vt:lpstr>Aerodinamika!Print_Titles</vt:lpstr>
      <vt:lpstr>'Koncentracija '!Print_Titles</vt:lpstr>
      <vt:lpstr>Paėmimas!Print_Titles</vt:lpstr>
      <vt:lpstr>Svėrimas!Print_Titles</vt:lpstr>
    </vt:vector>
  </TitlesOfParts>
  <Company>VAKS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Tomas Vilkickas</cp:lastModifiedBy>
  <cp:lastPrinted>2025-03-10T12:38:23Z</cp:lastPrinted>
  <dcterms:created xsi:type="dcterms:W3CDTF">2010-09-30T07:40:58Z</dcterms:created>
  <dcterms:modified xsi:type="dcterms:W3CDTF">2026-03-23T08:22:50Z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tatusas">
    <vt:lpwstr/>
  </property>
  <property fmtid="{D5CDD505-2E9C-101B-9397-08002B2CF9AE}" pid="3" name="Statusas_2">
    <vt:lpwstr/>
  </property>
  <property fmtid="{D5CDD505-2E9C-101B-9397-08002B2CF9AE}" pid="4" name="lcf76f155ced4ddcb4097134ff3c332f">
    <vt:lpwstr/>
  </property>
  <property fmtid="{D5CDD505-2E9C-101B-9397-08002B2CF9AE}" pid="5" name="TaxCatchAll">
    <vt:lpwstr/>
  </property>
  <property fmtid="{D5CDD505-2E9C-101B-9397-08002B2CF9AE}" pid="6" name="MediaServiceImageTags">
    <vt:lpwstr/>
  </property>
  <property fmtid="{D5CDD505-2E9C-101B-9397-08002B2CF9AE}" pid="7" name="ContentTypeId">
    <vt:lpwstr>0x010100BAB57CF81AE55C4698AAD22D302297F0</vt:lpwstr>
  </property>
</Properties>
</file>