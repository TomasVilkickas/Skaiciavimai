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Šios_darbaknygės" defaultThemeVersion="124226"/>
  <mc:AlternateContent xmlns:mc="http://schemas.openxmlformats.org/markup-compatibility/2006">
    <mc:Choice Requires="x15">
      <x15ac:absPath xmlns:x15ac="http://schemas.microsoft.com/office/spreadsheetml/2010/11/ac" url="https://agentura2020-my.sharepoint.com/personal/sigitas_cekanauskas_gamta_lt/Documents/Dokumentai/STACIONARUS ORO TARSOS SALTINIAI/2026 m/Skaiciuokles KD, GR/"/>
    </mc:Choice>
  </mc:AlternateContent>
  <xr:revisionPtr revIDLastSave="262" documentId="13_ncr:1_{D8ED3FA4-1188-4E70-924F-660A50F19C4F}" xr6:coauthVersionLast="47" xr6:coauthVersionMax="47" xr10:uidLastSave="{ED64DD58-D285-4600-9422-E0BE97374520}"/>
  <bookViews>
    <workbookView xWindow="-120" yWindow="-120" windowWidth="29040" windowHeight="15720" tabRatio="821" firstSheet="1" activeTab="1" xr2:uid="{B097D0E3-85A4-46F7-964F-ABE00A6941B9}"/>
  </bookViews>
  <sheets>
    <sheet name="Compatibility Report" sheetId="4" state="hidden" r:id="rId1"/>
    <sheet name="Greitis" sheetId="22" r:id="rId2"/>
    <sheet name="H2O" sheetId="20" r:id="rId3"/>
    <sheet name="Paėmimas" sheetId="11" r:id="rId4"/>
    <sheet name="Aerodinamika" sheetId="1" r:id="rId5"/>
    <sheet name="Koncentracija " sheetId="2" r:id="rId6"/>
    <sheet name="Svėrimas" sheetId="12" r:id="rId7"/>
    <sheet name="Koncentracijos ribinės vertės" sheetId="21" r:id="rId8"/>
  </sheets>
  <definedNames>
    <definedName name="_xlnm._FilterDatabase" localSheetId="6" hidden="1">Svėrimas!$C$4:$O$6</definedName>
    <definedName name="_xlnm.Print_Area" localSheetId="4">Aerodinamika!$C$1:$M$5</definedName>
    <definedName name="_xlnm.Print_Area" localSheetId="5">'Koncentracija '!$C$1:$N$5</definedName>
    <definedName name="_xlnm.Print_Area" localSheetId="3">Paėmimas!$A$1:$S$5</definedName>
    <definedName name="_xlnm.Print_Area" localSheetId="6">Svėrimas!$C$1:$O$11</definedName>
    <definedName name="_xlnm.Print_Titles" localSheetId="4">Aerodinamika!$1:$5</definedName>
    <definedName name="_xlnm.Print_Titles" localSheetId="5">'Koncentracija '!$2:$5</definedName>
    <definedName name="_xlnm.Print_Titles" localSheetId="3">Paėmimas!$1:$5</definedName>
    <definedName name="_xlnm.Print_Titles" localSheetId="6">Svėrimas!$3:$4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1" l="1"/>
  <c r="K18" i="1"/>
  <c r="K19" i="1"/>
  <c r="K20" i="1"/>
  <c r="K21" i="1"/>
  <c r="K22" i="1"/>
  <c r="K23" i="1"/>
  <c r="K17" i="1"/>
  <c r="K7" i="1"/>
  <c r="K8" i="1"/>
  <c r="K9" i="1"/>
  <c r="K10" i="1"/>
  <c r="K11" i="1"/>
  <c r="K12" i="1"/>
  <c r="K6" i="1"/>
  <c r="N27" i="11"/>
  <c r="N24" i="11"/>
  <c r="N13" i="11"/>
  <c r="I27" i="1"/>
  <c r="I13" i="1"/>
  <c r="I24" i="1"/>
  <c r="A6" i="11" l="1"/>
  <c r="K17" i="11"/>
  <c r="I6" i="11"/>
  <c r="H6" i="11"/>
  <c r="D7" i="20"/>
  <c r="G7" i="20" s="1"/>
  <c r="H7" i="20" s="1"/>
  <c r="T6" i="22"/>
  <c r="T5" i="22"/>
  <c r="L26" i="22"/>
  <c r="K26" i="22"/>
  <c r="L25" i="22"/>
  <c r="K25" i="22"/>
  <c r="L24" i="22"/>
  <c r="K24" i="22"/>
  <c r="L23" i="22"/>
  <c r="K23" i="22"/>
  <c r="L22" i="22"/>
  <c r="K22" i="22"/>
  <c r="U21" i="22"/>
  <c r="R21" i="22"/>
  <c r="S21" i="22" s="1"/>
  <c r="V21" i="22" s="1"/>
  <c r="Y21" i="22" s="1"/>
  <c r="Q21" i="22"/>
  <c r="L21" i="22"/>
  <c r="K21" i="22"/>
  <c r="U20" i="22"/>
  <c r="Q20" i="22"/>
  <c r="O20" i="22"/>
  <c r="R20" i="22" s="1"/>
  <c r="S20" i="22" s="1"/>
  <c r="V20" i="22" s="1"/>
  <c r="Y20" i="22" s="1"/>
  <c r="L20" i="22"/>
  <c r="K20" i="22"/>
  <c r="J11" i="22"/>
  <c r="I11" i="22"/>
  <c r="G11" i="22"/>
  <c r="J10" i="22"/>
  <c r="I10" i="22"/>
  <c r="K10" i="22" s="1"/>
  <c r="G10" i="22"/>
  <c r="J9" i="22"/>
  <c r="I9" i="22"/>
  <c r="K9" i="22" s="1"/>
  <c r="G9" i="22"/>
  <c r="J8" i="22"/>
  <c r="I8" i="22"/>
  <c r="G8" i="22"/>
  <c r="J7" i="22"/>
  <c r="I7" i="22"/>
  <c r="K7" i="22" s="1"/>
  <c r="G7" i="22"/>
  <c r="Q6" i="22"/>
  <c r="J6" i="22"/>
  <c r="K6" i="22" s="1"/>
  <c r="I6" i="22"/>
  <c r="G6" i="22"/>
  <c r="Q5" i="22"/>
  <c r="K5" i="22"/>
  <c r="A6" i="12"/>
  <c r="P6" i="2"/>
  <c r="K8" i="22" l="1"/>
  <c r="K11" i="22"/>
  <c r="W5" i="22"/>
  <c r="U5" i="22" s="1"/>
  <c r="W6" i="22"/>
  <c r="U6" i="22" s="1"/>
  <c r="Z20" i="22"/>
  <c r="Z21" i="22"/>
  <c r="A6" i="21"/>
  <c r="M12" i="12"/>
  <c r="M13" i="12"/>
  <c r="M14" i="12"/>
  <c r="M15" i="12"/>
  <c r="M16" i="12" l="1"/>
  <c r="I6" i="2" s="1"/>
  <c r="K23" i="11"/>
  <c r="K22" i="11"/>
  <c r="K21" i="11"/>
  <c r="K20" i="11"/>
  <c r="K19" i="11"/>
  <c r="K18" i="11"/>
  <c r="V9" i="11"/>
  <c r="F6" i="11" l="1"/>
  <c r="H5" i="22"/>
  <c r="R17" i="11"/>
  <c r="M23" i="11"/>
  <c r="M22" i="11"/>
  <c r="M21" i="11"/>
  <c r="M20" i="11"/>
  <c r="M19" i="11"/>
  <c r="M18" i="11"/>
  <c r="M17" i="11"/>
  <c r="I23" i="11"/>
  <c r="H23" i="11"/>
  <c r="I22" i="11"/>
  <c r="H22" i="11"/>
  <c r="I21" i="11"/>
  <c r="H21" i="11"/>
  <c r="I20" i="11"/>
  <c r="H20" i="11"/>
  <c r="I19" i="11"/>
  <c r="H19" i="11"/>
  <c r="I18" i="11"/>
  <c r="H18" i="11"/>
  <c r="I17" i="11"/>
  <c r="H17" i="11"/>
  <c r="F23" i="11"/>
  <c r="F22" i="11"/>
  <c r="F21" i="11"/>
  <c r="F20" i="11"/>
  <c r="F19" i="11"/>
  <c r="F18" i="11"/>
  <c r="F17" i="11"/>
  <c r="M12" i="11"/>
  <c r="M11" i="11"/>
  <c r="M10" i="11"/>
  <c r="M9" i="11"/>
  <c r="M8" i="11"/>
  <c r="M7" i="11"/>
  <c r="K12" i="11"/>
  <c r="I12" i="11"/>
  <c r="K11" i="11"/>
  <c r="I11" i="11"/>
  <c r="K10" i="11"/>
  <c r="I10" i="11"/>
  <c r="K9" i="11"/>
  <c r="I9" i="11"/>
  <c r="K8" i="11"/>
  <c r="I8" i="11"/>
  <c r="K7" i="11"/>
  <c r="I7" i="11"/>
  <c r="H12" i="11"/>
  <c r="H11" i="11"/>
  <c r="H10" i="11"/>
  <c r="H9" i="11"/>
  <c r="H8" i="11"/>
  <c r="H7" i="11"/>
  <c r="F12" i="11"/>
  <c r="F11" i="11"/>
  <c r="F10" i="11"/>
  <c r="F9" i="11"/>
  <c r="F8" i="11"/>
  <c r="H7" i="22" l="1"/>
  <c r="H9" i="22"/>
  <c r="H10" i="22"/>
  <c r="H6" i="22"/>
  <c r="H8" i="22"/>
  <c r="H11" i="22"/>
  <c r="M13" i="11"/>
  <c r="M24" i="11"/>
  <c r="F7" i="11"/>
  <c r="E17" i="11"/>
  <c r="D17" i="11"/>
  <c r="C17" i="11"/>
  <c r="B17" i="11"/>
  <c r="A17" i="11"/>
  <c r="U9" i="11"/>
  <c r="Q6" i="11" s="1"/>
  <c r="T9" i="11"/>
  <c r="P6" i="11" s="1"/>
  <c r="C6" i="2"/>
  <c r="P22" i="11" l="1"/>
  <c r="P19" i="11"/>
  <c r="P11" i="11"/>
  <c r="P8" i="11"/>
  <c r="P21" i="11"/>
  <c r="P18" i="11"/>
  <c r="P10" i="11"/>
  <c r="P7" i="11"/>
  <c r="P23" i="11"/>
  <c r="P20" i="11"/>
  <c r="P17" i="11"/>
  <c r="P12" i="11"/>
  <c r="P9" i="11"/>
  <c r="Q22" i="11"/>
  <c r="Q19" i="11"/>
  <c r="Q11" i="11"/>
  <c r="Q8" i="11"/>
  <c r="Q21" i="11"/>
  <c r="Q18" i="11"/>
  <c r="Q10" i="11"/>
  <c r="Q7" i="11"/>
  <c r="Q23" i="11"/>
  <c r="Q20" i="11"/>
  <c r="Q17" i="11"/>
  <c r="Q12" i="11"/>
  <c r="Q9" i="11"/>
  <c r="M27" i="11"/>
  <c r="G23" i="1" l="1"/>
  <c r="G22" i="1"/>
  <c r="G21" i="1"/>
  <c r="G20" i="1"/>
  <c r="G19" i="1"/>
  <c r="G18" i="1"/>
  <c r="N17" i="1"/>
  <c r="M17" i="1"/>
  <c r="G17" i="1"/>
  <c r="C17" i="1"/>
  <c r="B17" i="1"/>
  <c r="A17" i="1"/>
  <c r="G24" i="1" l="1"/>
  <c r="L23" i="11" l="1"/>
  <c r="D23" i="1" s="1"/>
  <c r="E23" i="1" s="1"/>
  <c r="L22" i="11"/>
  <c r="D22" i="1" s="1"/>
  <c r="E22" i="1" s="1"/>
  <c r="L21" i="11"/>
  <c r="D21" i="1" s="1"/>
  <c r="E21" i="1" s="1"/>
  <c r="L20" i="11"/>
  <c r="D20" i="1" s="1"/>
  <c r="E20" i="1" s="1"/>
  <c r="L19" i="11"/>
  <c r="D19" i="1" s="1"/>
  <c r="E19" i="1" s="1"/>
  <c r="L18" i="11"/>
  <c r="D18" i="1" s="1"/>
  <c r="E18" i="1" s="1"/>
  <c r="L17" i="11"/>
  <c r="D17" i="1" s="1"/>
  <c r="E17" i="1" l="1"/>
  <c r="L24" i="11"/>
  <c r="F17" i="1" l="1"/>
  <c r="G9" i="1"/>
  <c r="G10" i="1"/>
  <c r="G11" i="1"/>
  <c r="G12" i="1"/>
  <c r="N6" i="1" l="1"/>
  <c r="L9" i="11" l="1"/>
  <c r="D9" i="1" s="1"/>
  <c r="E9" i="1" s="1"/>
  <c r="L10" i="11"/>
  <c r="D10" i="1" s="1"/>
  <c r="E10" i="1" s="1"/>
  <c r="L11" i="11"/>
  <c r="D11" i="1" s="1"/>
  <c r="E11" i="1" s="1"/>
  <c r="L12" i="11"/>
  <c r="D12" i="1" s="1"/>
  <c r="E12" i="1" s="1"/>
  <c r="G7" i="1" l="1"/>
  <c r="G8" i="1"/>
  <c r="G6" i="1" l="1"/>
  <c r="G13" i="1" s="1"/>
  <c r="G27" i="1" s="1"/>
  <c r="A6" i="1"/>
  <c r="B6" i="1"/>
  <c r="C6" i="1"/>
  <c r="B6" i="12"/>
  <c r="H6" i="12"/>
  <c r="D6" i="12"/>
  <c r="J7" i="20" l="1"/>
  <c r="K7" i="20" s="1"/>
  <c r="AA5" i="22"/>
  <c r="B6" i="2"/>
  <c r="N6" i="2"/>
  <c r="M9" i="12"/>
  <c r="G6" i="2" s="1"/>
  <c r="M6" i="1"/>
  <c r="A6" i="2"/>
  <c r="M11" i="12"/>
  <c r="H6" i="2" s="1"/>
  <c r="M8" i="12"/>
  <c r="M7" i="12"/>
  <c r="M6" i="12"/>
  <c r="F6" i="2"/>
  <c r="E6" i="2"/>
  <c r="D6" i="2"/>
  <c r="L7" i="11"/>
  <c r="D7" i="1" s="1"/>
  <c r="E7" i="1" s="1"/>
  <c r="L8" i="11"/>
  <c r="D8" i="1" s="1"/>
  <c r="E8" i="1" s="1"/>
  <c r="L6" i="11"/>
  <c r="M6" i="2" l="1"/>
  <c r="H20" i="1"/>
  <c r="I20" i="1" s="1"/>
  <c r="J20" i="1" s="1"/>
  <c r="H9" i="1"/>
  <c r="I9" i="1" s="1"/>
  <c r="J9" i="1" s="1"/>
  <c r="H22" i="1"/>
  <c r="I22" i="1" s="1"/>
  <c r="J22" i="1" s="1"/>
  <c r="H11" i="1"/>
  <c r="I11" i="1" s="1"/>
  <c r="J11" i="1" s="1"/>
  <c r="H18" i="1"/>
  <c r="I18" i="1" s="1"/>
  <c r="J18" i="1" s="1"/>
  <c r="H17" i="1"/>
  <c r="I17" i="1" s="1"/>
  <c r="J17" i="1" s="1"/>
  <c r="H21" i="1"/>
  <c r="I21" i="1" s="1"/>
  <c r="J21" i="1" s="1"/>
  <c r="H7" i="1"/>
  <c r="I7" i="1" s="1"/>
  <c r="J7" i="1" s="1"/>
  <c r="H19" i="1"/>
  <c r="I19" i="1" s="1"/>
  <c r="J19" i="1" s="1"/>
  <c r="H12" i="1"/>
  <c r="I12" i="1" s="1"/>
  <c r="J12" i="1" s="1"/>
  <c r="H6" i="1"/>
  <c r="H10" i="1"/>
  <c r="I10" i="1" s="1"/>
  <c r="J10" i="1" s="1"/>
  <c r="H23" i="1"/>
  <c r="I23" i="1" s="1"/>
  <c r="J23" i="1" s="1"/>
  <c r="H8" i="1"/>
  <c r="I8" i="1" s="1"/>
  <c r="J8" i="1" s="1"/>
  <c r="L10" i="22"/>
  <c r="L11" i="22"/>
  <c r="L9" i="22"/>
  <c r="L8" i="22"/>
  <c r="L6" i="22"/>
  <c r="L5" i="22"/>
  <c r="L7" i="22"/>
  <c r="L13" i="11"/>
  <c r="L6" i="2" s="1"/>
  <c r="D6" i="1"/>
  <c r="N7" i="22" l="1"/>
  <c r="G19" i="11" s="1"/>
  <c r="M7" i="22"/>
  <c r="G8" i="11" s="1"/>
  <c r="N5" i="22"/>
  <c r="G17" i="11" s="1"/>
  <c r="M5" i="22"/>
  <c r="M11" i="22"/>
  <c r="G12" i="11" s="1"/>
  <c r="N11" i="22"/>
  <c r="G23" i="11" s="1"/>
  <c r="M6" i="22"/>
  <c r="G7" i="11" s="1"/>
  <c r="N6" i="22"/>
  <c r="G18" i="11" s="1"/>
  <c r="N8" i="22"/>
  <c r="G20" i="11" s="1"/>
  <c r="M8" i="22"/>
  <c r="G9" i="11" s="1"/>
  <c r="M9" i="22"/>
  <c r="G10" i="11" s="1"/>
  <c r="N9" i="22"/>
  <c r="G21" i="11" s="1"/>
  <c r="N10" i="22"/>
  <c r="G22" i="11" s="1"/>
  <c r="M10" i="22"/>
  <c r="G11" i="11" s="1"/>
  <c r="E6" i="1"/>
  <c r="L17" i="1" l="1"/>
  <c r="G6" i="11"/>
  <c r="O5" i="22"/>
  <c r="F6" i="1"/>
  <c r="Z5" i="22" l="1"/>
  <c r="R5" i="22"/>
  <c r="S5" i="22" s="1"/>
  <c r="V5" i="22" s="1"/>
  <c r="Y5" i="22" s="1"/>
  <c r="R6" i="22"/>
  <c r="S6" i="22" s="1"/>
  <c r="V6" i="22" s="1"/>
  <c r="Y6" i="22" s="1"/>
  <c r="Z6" i="22"/>
  <c r="F24" i="1"/>
  <c r="I6" i="1"/>
  <c r="J6" i="1" s="1"/>
  <c r="L6" i="1" s="1"/>
  <c r="L24" i="1" s="1"/>
  <c r="J6" i="2" l="1"/>
  <c r="K6" i="2" s="1"/>
</calcChain>
</file>

<file path=xl/sharedStrings.xml><?xml version="1.0" encoding="utf-8"?>
<sst xmlns="http://schemas.openxmlformats.org/spreadsheetml/2006/main" count="203" uniqueCount="149">
  <si>
    <t>Compatibility Report for Izo dulkes.xls</t>
  </si>
  <si>
    <t>Run on 2010.09.30 22:52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</si>
  <si>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</si>
  <si>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</si>
  <si>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</si>
  <si>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</si>
  <si>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Pastabos</t>
  </si>
  <si>
    <t xml:space="preserve">Filtro Nr. </t>
  </si>
  <si>
    <t>Matavimo data</t>
  </si>
  <si>
    <t>Objekto pavadinimas, adresas, taršos šaltinio Nr.</t>
  </si>
  <si>
    <t>Skaičiavimus atlikusio asmens inicialai, data</t>
  </si>
  <si>
    <t>Darbuotojo inicialai, data</t>
  </si>
  <si>
    <t xml:space="preserve"> </t>
  </si>
  <si>
    <t>Atsakingo asmens inicialai, data</t>
  </si>
  <si>
    <t>EFSVPATD/3-3-1
AAA Aplinkos tyrimų departamentas</t>
  </si>
  <si>
    <t>EFSVPATD/3-3-2
AAA Aplinkos tyrimų departamentas</t>
  </si>
  <si>
    <t>EFSVPATD/3-3-3
AAA Aplinkos tyrimų departamentas</t>
  </si>
  <si>
    <t>FSVPATD/3-3-4
AAA Aplinkos tyrimų departamentas</t>
  </si>
  <si>
    <t>Išretėjimas, -hPa</t>
  </si>
  <si>
    <t>Paėmimo greitis, l/min</t>
  </si>
  <si>
    <t>Atmosf. Slėgis, hPa</t>
  </si>
  <si>
    <t>TŠ 001   H2O</t>
  </si>
  <si>
    <t>Vandens kondensato masė m H2O, kg</t>
  </si>
  <si>
    <t>Prasiurbtas dujų tūris normaliosiomis sąlygomis Vmn, Nm3</t>
  </si>
  <si>
    <t>Vidurkis qn, (kg/m3)</t>
  </si>
  <si>
    <t>Suma Vm, m3</t>
  </si>
  <si>
    <t>Pratraukto dujų tūrio suma H2O, Nm3. Įrašyti į "Dujų tūris pagal ISO" W stulpelį</t>
  </si>
  <si>
    <t>Išmatuotas vandens kiekis 10ltr*10 min.  Įrašyti iš "Dujų tūris pagal ISO" T stulpelio</t>
  </si>
  <si>
    <t>O2iš, (%) vidurkis</t>
  </si>
  <si>
    <t>CO2iš, (%) vidurkis</t>
  </si>
  <si>
    <t>Vidurkių vidurkis qn, (kg/m3)</t>
  </si>
  <si>
    <t xml:space="preserve"> Izokine-tiškumo vidurkių vidurkis</t>
  </si>
  <si>
    <t>Viso suma Vmn(sum), Nm3.</t>
  </si>
  <si>
    <t xml:space="preserve"> Ėminių ėmimo laikas t, min.</t>
  </si>
  <si>
    <t>Temp. prie aspirato-riaus, Vtr oC</t>
  </si>
  <si>
    <t>Dujų tūris normaliom sąlygom, Vn   l.</t>
  </si>
  <si>
    <t xml:space="preserve"> tor vidurkis, °C</t>
  </si>
  <si>
    <t>Patikrinimas, ar planuojamas surinkti dulkių kiekis suderinamas su tuščiojo ėminio verte ir ar filtras nebus per daug apkrautas</t>
  </si>
  <si>
    <t>Mažiausia ėminio ėmimo trukmė t, 30 min</t>
  </si>
  <si>
    <t>Tikėtina dulkių koncentracija cexs, mg/Nm3;</t>
  </si>
  <si>
    <t>Planuojamas dujų tūrio siurbimo greitis matavimo metu ortakio sąlygomis Vo, l/min.</t>
  </si>
  <si>
    <t>00</t>
  </si>
  <si>
    <t>01</t>
  </si>
  <si>
    <t>02</t>
  </si>
  <si>
    <t>03</t>
  </si>
  <si>
    <t>Ėminių   registracijos Nr. T-107-2026-E-</t>
  </si>
  <si>
    <t>Ortakio skersmuo d (m)</t>
  </si>
  <si>
    <t>Skerspjūvio plotas A  (m2)</t>
  </si>
  <si>
    <r>
      <t>Temperatūra ortakyje t</t>
    </r>
    <r>
      <rPr>
        <b/>
        <vertAlign val="subscript"/>
        <sz val="11"/>
        <rFont val="Times New Roman"/>
        <family val="1"/>
        <charset val="186"/>
      </rPr>
      <t>or</t>
    </r>
    <r>
      <rPr>
        <b/>
        <sz val="11"/>
        <rFont val="Times New Roman"/>
        <family val="1"/>
        <charset val="186"/>
      </rPr>
      <t xml:space="preserve"> (°C)</t>
    </r>
  </si>
  <si>
    <r>
      <t>Vidutinis srauto greitis ortakyje w</t>
    </r>
    <r>
      <rPr>
        <b/>
        <vertAlign val="subscript"/>
        <sz val="11"/>
        <rFont val="Times New Roman"/>
        <family val="1"/>
        <charset val="186"/>
      </rPr>
      <t>or</t>
    </r>
    <r>
      <rPr>
        <b/>
        <sz val="11"/>
        <rFont val="Times New Roman"/>
        <family val="1"/>
        <charset val="186"/>
      </rPr>
      <t xml:space="preserve"> (m/s)</t>
    </r>
  </si>
  <si>
    <t>Atmosfe-rinis slėgis  P (hPa)</t>
  </si>
  <si>
    <r>
      <t>Statinis slėgis ortakyje  ΔP</t>
    </r>
    <r>
      <rPr>
        <b/>
        <vertAlign val="subscript"/>
        <sz val="11"/>
        <rFont val="Times New Roman"/>
        <family val="1"/>
        <charset val="186"/>
      </rPr>
      <t>or</t>
    </r>
    <r>
      <rPr>
        <b/>
        <sz val="11"/>
        <rFont val="Times New Roman"/>
        <family val="1"/>
        <charset val="186"/>
      </rPr>
      <t xml:space="preserve"> (hPa)</t>
    </r>
  </si>
  <si>
    <r>
      <t>Slėgis prieš rotametrą ΔP</t>
    </r>
    <r>
      <rPr>
        <b/>
        <vertAlign val="subscript"/>
        <sz val="11"/>
        <rFont val="Times New Roman"/>
        <family val="1"/>
        <charset val="186"/>
      </rPr>
      <t>r</t>
    </r>
    <r>
      <rPr>
        <b/>
        <sz val="11"/>
        <rFont val="Times New Roman"/>
        <family val="1"/>
        <charset val="186"/>
      </rPr>
      <t xml:space="preserve"> (±hPa)</t>
    </r>
  </si>
  <si>
    <r>
      <t>Antgalio diametras d</t>
    </r>
    <r>
      <rPr>
        <b/>
        <vertAlign val="subscript"/>
        <sz val="11"/>
        <rFont val="Times New Roman"/>
        <family val="1"/>
        <charset val="186"/>
      </rPr>
      <t>a</t>
    </r>
    <r>
      <rPr>
        <b/>
        <sz val="11"/>
        <rFont val="Times New Roman"/>
        <family val="1"/>
        <charset val="186"/>
      </rPr>
      <t xml:space="preserve"> (mm)</t>
    </r>
  </si>
  <si>
    <r>
      <t>Prasiurbtas  dujų tūris V</t>
    </r>
    <r>
      <rPr>
        <b/>
        <vertAlign val="subscript"/>
        <sz val="11"/>
        <rFont val="Times New Roman"/>
        <family val="1"/>
        <charset val="186"/>
      </rPr>
      <t>m</t>
    </r>
    <r>
      <rPr>
        <b/>
        <sz val="11"/>
        <rFont val="Times New Roman"/>
        <family val="1"/>
        <charset val="186"/>
      </rPr>
      <t xml:space="preserve"> (m3)</t>
    </r>
  </si>
  <si>
    <t xml:space="preserve">Siurbimo laikas t (min) </t>
  </si>
  <si>
    <t xml:space="preserve">Siurbimo greitis Vo (l/min) </t>
  </si>
  <si>
    <r>
      <t>Siurbiamų dujų temperatūra prieš rotametrą t</t>
    </r>
    <r>
      <rPr>
        <b/>
        <vertAlign val="subscript"/>
        <sz val="11"/>
        <rFont val="Times New Roman"/>
        <family val="1"/>
        <charset val="186"/>
      </rPr>
      <t>r</t>
    </r>
    <r>
      <rPr>
        <b/>
        <sz val="11"/>
        <rFont val="Times New Roman"/>
        <family val="1"/>
        <charset val="186"/>
      </rPr>
      <t xml:space="preserve"> (°C)</t>
    </r>
  </si>
  <si>
    <r>
      <t>O</t>
    </r>
    <r>
      <rPr>
        <b/>
        <vertAlign val="subscript"/>
        <sz val="11"/>
        <rFont val="Times New Roman"/>
        <family val="1"/>
        <charset val="186"/>
      </rPr>
      <t>2iš</t>
    </r>
    <r>
      <rPr>
        <b/>
        <sz val="11"/>
        <rFont val="Times New Roman"/>
        <family val="1"/>
        <charset val="186"/>
      </rPr>
      <t xml:space="preserve"> (%) (ore 21 %)</t>
    </r>
  </si>
  <si>
    <r>
      <t>CO</t>
    </r>
    <r>
      <rPr>
        <b/>
        <vertAlign val="subscript"/>
        <sz val="11"/>
        <rFont val="Times New Roman"/>
        <family val="1"/>
        <charset val="186"/>
      </rPr>
      <t>2iš</t>
    </r>
    <r>
      <rPr>
        <b/>
        <sz val="11"/>
        <rFont val="Times New Roman"/>
        <family val="1"/>
        <charset val="186"/>
      </rPr>
      <t xml:space="preserve"> (%) (ore 0,04 %)</t>
    </r>
  </si>
  <si>
    <t>Išmatuota O2 koncentracija (%)</t>
  </si>
  <si>
    <t>Išmatuota CO2 koncentracija (%)</t>
  </si>
  <si>
    <t>Temperatūra ortakyje tor (°C)</t>
  </si>
  <si>
    <t>Ėminių  registracijos Nr. T-107-2026-E-</t>
  </si>
  <si>
    <t>Prasiurbtas  dujų tūris Vm (m3)</t>
  </si>
  <si>
    <t>Prasiurbtas dujų tūris normaliosiomis sąlygomis Vmn (Nm3)</t>
  </si>
  <si>
    <t>Prasiurbto dujų tūrio normaliosiomis sąlygomis suma Vmn(sum) (Nm3)</t>
  </si>
  <si>
    <t>Sausų dujų tankis normaliosioms sąlygomis qn (kg/m3)</t>
  </si>
  <si>
    <t>Drėgmės kiekis X (%)</t>
  </si>
  <si>
    <r>
      <t>Pratrauktas drėgnų dujų tūris realiomis sąlygomis V</t>
    </r>
    <r>
      <rPr>
        <b/>
        <vertAlign val="subscript"/>
        <sz val="11"/>
        <rFont val="Times New Roman"/>
        <family val="1"/>
        <charset val="186"/>
      </rPr>
      <t xml:space="preserve">mk </t>
    </r>
    <r>
      <rPr>
        <b/>
        <sz val="11"/>
        <rFont val="Times New Roman"/>
        <family val="1"/>
        <charset val="186"/>
      </rPr>
      <t>(m</t>
    </r>
    <r>
      <rPr>
        <b/>
        <vertAlign val="superscript"/>
        <sz val="11"/>
        <rFont val="Times New Roman"/>
        <family val="1"/>
        <charset val="186"/>
      </rPr>
      <t>3</t>
    </r>
    <r>
      <rPr>
        <b/>
        <sz val="11"/>
        <rFont val="Times New Roman"/>
        <family val="1"/>
        <charset val="186"/>
      </rPr>
      <t>)</t>
    </r>
  </si>
  <si>
    <r>
      <t xml:space="preserve">Dujų srauto greitis antgalyje v </t>
    </r>
    <r>
      <rPr>
        <b/>
        <vertAlign val="subscript"/>
        <sz val="11"/>
        <rFont val="Times New Roman"/>
        <family val="1"/>
        <charset val="186"/>
      </rPr>
      <t>antg.</t>
    </r>
    <r>
      <rPr>
        <b/>
        <sz val="11"/>
        <rFont val="Times New Roman"/>
        <family val="1"/>
        <charset val="186"/>
      </rPr>
      <t xml:space="preserve"> (m/s)</t>
    </r>
  </si>
  <si>
    <r>
      <t>Filtro svoris prieš KD ėmimą m</t>
    </r>
    <r>
      <rPr>
        <b/>
        <vertAlign val="subscript"/>
        <sz val="10"/>
        <rFont val="Times New Roman"/>
        <family val="1"/>
        <charset val="186"/>
      </rPr>
      <t>pr</t>
    </r>
    <r>
      <rPr>
        <b/>
        <sz val="10"/>
        <rFont val="Times New Roman"/>
        <family val="1"/>
        <charset val="186"/>
      </rPr>
      <t xml:space="preserve"> (g)</t>
    </r>
  </si>
  <si>
    <r>
      <t xml:space="preserve"> Filtro svoris po KD ėmimo m</t>
    </r>
    <r>
      <rPr>
        <b/>
        <vertAlign val="subscript"/>
        <sz val="10"/>
        <rFont val="Times New Roman"/>
        <family val="1"/>
        <charset val="186"/>
      </rPr>
      <t>po</t>
    </r>
    <r>
      <rPr>
        <b/>
        <sz val="10"/>
        <rFont val="Times New Roman"/>
        <family val="1"/>
        <charset val="186"/>
      </rPr>
      <t xml:space="preserve"> (g)</t>
    </r>
  </si>
  <si>
    <r>
      <t>Tuščiojo ėminio KD svoris m</t>
    </r>
    <r>
      <rPr>
        <b/>
        <vertAlign val="subscript"/>
        <sz val="10"/>
        <rFont val="Times New Roman"/>
        <family val="1"/>
        <charset val="186"/>
      </rPr>
      <t>t</t>
    </r>
    <r>
      <rPr>
        <b/>
        <sz val="10"/>
        <rFont val="Times New Roman"/>
        <family val="1"/>
        <charset val="186"/>
      </rPr>
      <t xml:space="preserve"> (g)</t>
    </r>
  </si>
  <si>
    <r>
      <t>Nuosėdų kiekis m</t>
    </r>
    <r>
      <rPr>
        <b/>
        <vertAlign val="subscript"/>
        <sz val="10"/>
        <rFont val="Times New Roman"/>
        <family val="1"/>
        <charset val="186"/>
      </rPr>
      <t>n</t>
    </r>
    <r>
      <rPr>
        <b/>
        <sz val="10"/>
        <rFont val="Times New Roman"/>
        <family val="1"/>
        <charset val="186"/>
      </rPr>
      <t xml:space="preserve"> (g)</t>
    </r>
  </si>
  <si>
    <r>
      <t>Indų svorių pokytis m</t>
    </r>
    <r>
      <rPr>
        <b/>
        <vertAlign val="subscript"/>
        <sz val="10"/>
        <rFont val="Times New Roman"/>
        <family val="1"/>
        <charset val="186"/>
      </rPr>
      <t>It</t>
    </r>
    <r>
      <rPr>
        <b/>
        <sz val="10"/>
        <rFont val="Times New Roman"/>
        <family val="1"/>
        <charset val="186"/>
      </rPr>
      <t xml:space="preserve"> (g)</t>
    </r>
  </si>
  <si>
    <r>
      <t>Sausų dujų tūris n.s. Vmn</t>
    </r>
    <r>
      <rPr>
        <b/>
        <vertAlign val="subscript"/>
        <sz val="10"/>
        <rFont val="Times New Roman"/>
        <family val="1"/>
        <charset val="186"/>
      </rPr>
      <t xml:space="preserve"> </t>
    </r>
    <r>
      <rPr>
        <b/>
        <sz val="10"/>
        <rFont val="Times New Roman"/>
        <family val="1"/>
        <charset val="186"/>
      </rPr>
      <t>(Nm</t>
    </r>
    <r>
      <rPr>
        <b/>
        <vertAlign val="superscript"/>
        <sz val="10"/>
        <rFont val="Times New Roman"/>
        <family val="1"/>
        <charset val="186"/>
      </rPr>
      <t>3</t>
    </r>
    <r>
      <rPr>
        <b/>
        <sz val="10"/>
        <rFont val="Times New Roman"/>
        <family val="1"/>
        <charset val="186"/>
      </rPr>
      <t>)</t>
    </r>
  </si>
  <si>
    <r>
      <t>Kietų dalelių koncentracija c</t>
    </r>
    <r>
      <rPr>
        <b/>
        <vertAlign val="subscript"/>
        <sz val="10"/>
        <rFont val="Times New Roman"/>
        <family val="1"/>
        <charset val="186"/>
      </rPr>
      <t>1</t>
    </r>
    <r>
      <rPr>
        <b/>
        <sz val="10"/>
        <rFont val="Times New Roman"/>
        <family val="1"/>
        <charset val="186"/>
      </rPr>
      <t xml:space="preserve">  (neįvert. O2</t>
    </r>
    <r>
      <rPr>
        <b/>
        <vertAlign val="subscript"/>
        <sz val="10"/>
        <rFont val="Times New Roman"/>
        <family val="1"/>
        <charset val="186"/>
      </rPr>
      <t xml:space="preserve">) </t>
    </r>
    <r>
      <rPr>
        <b/>
        <sz val="10"/>
        <rFont val="Times New Roman"/>
        <family val="1"/>
        <charset val="186"/>
      </rPr>
      <t>(mg/Nm</t>
    </r>
    <r>
      <rPr>
        <b/>
        <vertAlign val="superscript"/>
        <sz val="10"/>
        <rFont val="Times New Roman"/>
        <family val="1"/>
        <charset val="186"/>
      </rPr>
      <t>3</t>
    </r>
    <r>
      <rPr>
        <b/>
        <sz val="10"/>
        <rFont val="Times New Roman"/>
        <family val="1"/>
        <charset val="186"/>
      </rPr>
      <t>)</t>
    </r>
  </si>
  <si>
    <r>
      <t>Tuščiojo filtro vertė m</t>
    </r>
    <r>
      <rPr>
        <b/>
        <i/>
        <sz val="10"/>
        <rFont val="Times New Roman"/>
        <family val="1"/>
        <charset val="186"/>
      </rPr>
      <t>ft</t>
    </r>
    <r>
      <rPr>
        <b/>
        <sz val="10"/>
        <rFont val="Times New Roman"/>
        <family val="1"/>
        <charset val="186"/>
      </rPr>
      <t xml:space="preserve"> (mg/m3) (</t>
    </r>
    <r>
      <rPr>
        <b/>
        <sz val="10"/>
        <color rgb="FFFF0000"/>
        <rFont val="Times New Roman"/>
        <family val="1"/>
        <charset val="186"/>
      </rPr>
      <t>&lt; 2 mg/m3</t>
    </r>
    <r>
      <rPr>
        <b/>
        <sz val="10"/>
        <rFont val="Times New Roman"/>
        <family val="1"/>
        <charset val="186"/>
      </rPr>
      <t>)</t>
    </r>
  </si>
  <si>
    <r>
      <t>Surinktų dulkių ir tuščiojo ėminio santykis mFtk (</t>
    </r>
    <r>
      <rPr>
        <b/>
        <sz val="10"/>
        <color rgb="FFFF0000"/>
        <rFont val="Times New Roman"/>
        <family val="1"/>
        <charset val="186"/>
      </rPr>
      <t>&gt;5</t>
    </r>
    <r>
      <rPr>
        <b/>
        <sz val="10"/>
        <rFont val="Times New Roman"/>
        <family val="1"/>
        <charset val="186"/>
      </rPr>
      <t>)</t>
    </r>
  </si>
  <si>
    <t>Ėminių registracijos Nr. T-107-2026-E-</t>
  </si>
  <si>
    <t xml:space="preserve">Filtro/ indo Nr. </t>
  </si>
  <si>
    <t>Tuščio filtro/indo svėrimo data</t>
  </si>
  <si>
    <r>
      <t>Filtro/indo svoris prieš KD ėmimą m</t>
    </r>
    <r>
      <rPr>
        <b/>
        <vertAlign val="subscript"/>
        <sz val="11"/>
        <rFont val="Times New Roman"/>
        <family val="1"/>
      </rPr>
      <t>pr</t>
    </r>
    <r>
      <rPr>
        <b/>
        <sz val="11"/>
        <rFont val="Times New Roman"/>
        <family val="1"/>
        <charset val="186"/>
      </rPr>
      <t xml:space="preserve"> (g)</t>
    </r>
  </si>
  <si>
    <t xml:space="preserve"> Filtro/indo su ėminiu svėrimo data</t>
  </si>
  <si>
    <r>
      <t xml:space="preserve"> Filtro/indo svoris po KD ėmimo m</t>
    </r>
    <r>
      <rPr>
        <b/>
        <vertAlign val="subscript"/>
        <sz val="11"/>
        <rFont val="Times New Roman"/>
        <family val="1"/>
      </rPr>
      <t>po</t>
    </r>
    <r>
      <rPr>
        <b/>
        <sz val="11"/>
        <rFont val="Times New Roman"/>
        <family val="1"/>
        <charset val="186"/>
      </rPr>
      <t xml:space="preserve"> (g)</t>
    </r>
  </si>
  <si>
    <r>
      <t>Kietųjų dalelių svoris  m</t>
    </r>
    <r>
      <rPr>
        <b/>
        <vertAlign val="subscript"/>
        <sz val="11"/>
        <rFont val="Times New Roman"/>
        <family val="1"/>
      </rPr>
      <t>f</t>
    </r>
    <r>
      <rPr>
        <b/>
        <sz val="11"/>
        <rFont val="Times New Roman"/>
        <family val="1"/>
      </rPr>
      <t>/Svorių pokytis (g) (</t>
    </r>
    <r>
      <rPr>
        <b/>
        <sz val="11"/>
        <color rgb="FFFF0000"/>
        <rFont val="Times New Roman"/>
        <family val="1"/>
        <charset val="186"/>
      </rPr>
      <t>&lt;2,20 g</t>
    </r>
    <r>
      <rPr>
        <b/>
        <sz val="11"/>
        <rFont val="Times New Roman"/>
        <family val="1"/>
      </rPr>
      <t xml:space="preserve"> </t>
    </r>
    <r>
      <rPr>
        <b/>
        <sz val="10"/>
        <rFont val="Times New Roman"/>
        <family val="1"/>
      </rPr>
      <t>filtro talpumas)</t>
    </r>
  </si>
  <si>
    <r>
      <t>Tuščiasis ėminys (m</t>
    </r>
    <r>
      <rPr>
        <vertAlign val="subscript"/>
        <sz val="11"/>
        <rFont val="Times New Roman"/>
        <family val="1"/>
      </rPr>
      <t>t)</t>
    </r>
  </si>
  <si>
    <r>
      <t>Išplautos nuosėdos (m</t>
    </r>
    <r>
      <rPr>
        <vertAlign val="subscript"/>
        <sz val="11"/>
        <rFont val="Times New Roman"/>
        <family val="1"/>
      </rPr>
      <t>n)</t>
    </r>
  </si>
  <si>
    <r>
      <t>Išvalytos ėminių sistemos tuščiasis ėminys (m</t>
    </r>
    <r>
      <rPr>
        <vertAlign val="subscript"/>
        <sz val="11"/>
        <rFont val="Times New Roman"/>
        <family val="1"/>
      </rPr>
      <t>It)</t>
    </r>
  </si>
  <si>
    <r>
      <t>Tušti indai svorio kontrolei (m</t>
    </r>
    <r>
      <rPr>
        <vertAlign val="subscript"/>
        <sz val="11"/>
        <rFont val="Times New Roman"/>
        <family val="1"/>
      </rPr>
      <t>It1)</t>
    </r>
  </si>
  <si>
    <r>
      <t>Tušti indai svorio kontrolei (m</t>
    </r>
    <r>
      <rPr>
        <vertAlign val="subscript"/>
        <sz val="11"/>
        <rFont val="Times New Roman"/>
        <family val="1"/>
      </rPr>
      <t>It2)</t>
    </r>
  </si>
  <si>
    <r>
      <t>Tušti indai svorio kontrolei (m</t>
    </r>
    <r>
      <rPr>
        <vertAlign val="subscript"/>
        <sz val="11"/>
        <rFont val="Times New Roman"/>
        <family val="1"/>
      </rPr>
      <t>It3)</t>
    </r>
  </si>
  <si>
    <r>
      <t>Tuščių indų ir išvalytos ėminių sistemos tuščiojo ėminio svorio pokytis (m</t>
    </r>
    <r>
      <rPr>
        <vertAlign val="subscript"/>
        <sz val="11"/>
        <rFont val="Times New Roman"/>
        <family val="1"/>
      </rPr>
      <t>Itp)</t>
    </r>
  </si>
  <si>
    <r>
      <t>Planuojama surinkti dulkių masė m, g (</t>
    </r>
    <r>
      <rPr>
        <sz val="12"/>
        <color rgb="FFFF0000"/>
        <rFont val="Times New Roman"/>
        <family val="1"/>
        <charset val="186"/>
      </rPr>
      <t>&lt;2,20 g</t>
    </r>
    <r>
      <rPr>
        <sz val="12"/>
        <rFont val="Times New Roman"/>
        <family val="1"/>
        <charset val="186"/>
      </rPr>
      <t>)</t>
    </r>
  </si>
  <si>
    <t>Suma t, min</t>
  </si>
  <si>
    <t>Viso suma t, min</t>
  </si>
  <si>
    <t>Skaičiuoklė kietųjų dalelių koncentracijai nustatyti. Pradinių duomenų nustatymas</t>
  </si>
  <si>
    <t>Skaičiuoklė kietųjų dalelių koncentracijai nustatyti. Izokinetiškumo nustatymas</t>
  </si>
  <si>
    <t>Skaičiuoklė kietųjų dalelių koncentracijai nustatyti. Kietųjų dalelių koncentracijos nustatymas</t>
  </si>
  <si>
    <t>Skaičiuoklė kietųjų dalelių koncentracijai nustatyti. Svėrimas</t>
  </si>
  <si>
    <t>Filtrų skaičius Fsk (vnt.)</t>
  </si>
  <si>
    <t>Drėgmės kiekis X (%) (izokinetinei sistemai)</t>
  </si>
  <si>
    <t>S.Č., 2026-05-02</t>
  </si>
  <si>
    <t>1 linija, 1 filtras</t>
  </si>
  <si>
    <t>2 linija, 1 filtras</t>
  </si>
  <si>
    <t>1 ir 2 linijos, 1 filtras</t>
  </si>
  <si>
    <t>Skaičiuoklė kietųjų dalelių koncentracijai nustatyti. H2O skaičiavimas</t>
  </si>
  <si>
    <t>Debitas pagal matuotą diferencinį slėgį</t>
  </si>
  <si>
    <t>Matavimo taškai ortakyje nuo vidinės sienelės, cm</t>
  </si>
  <si>
    <t>Išmatuotas diferencinis slėgis tašuose    1 linija, Pdi, hPa</t>
  </si>
  <si>
    <t>Išmatuotas diferencinis slėgis  tašuose    2 linija, Pdi, hPa</t>
  </si>
  <si>
    <t>Pito vamzdelio koeficientas, K</t>
  </si>
  <si>
    <t>Temperatūra ortakyje t, oC</t>
  </si>
  <si>
    <t>Atmosferinis slėgis P,  hPa</t>
  </si>
  <si>
    <t>Statinis slėgis ortakyje ± ΔP, hPa</t>
  </si>
  <si>
    <t>Dujų slėgis kamine Pk= P+ ΔP, hPa</t>
  </si>
  <si>
    <t>Dujų mol. masė Ms= qn *22.4, kg/
kmol</t>
  </si>
  <si>
    <t>Dujų srauto greitis matavimo taškuose, 1 linija, wi = K*129 *√t *√Pdi/ √Pk/√Ms,  m/s</t>
  </si>
  <si>
    <t>Dujų srauto greitis matavimo taškuose, 2 linija wi = K*129 *√t *√Pdi/ √Pk/√Ms,  m/s</t>
  </si>
  <si>
    <t>Vidutinis dujų srauto greitis ortakyje w, m/s</t>
  </si>
  <si>
    <t>Ortakio diametras, matmenys,  m</t>
  </si>
  <si>
    <t>Ortakio skerspjūvio plotas F, m2</t>
  </si>
  <si>
    <t>Dujų tūrio debitas realiomis sąlygomis Vk = wvid × F, m3/s</t>
  </si>
  <si>
    <t>Dujų tūrio debitas normaliosiomis sąlygomis Vdr n.s =Vk *0,269*(P±ΔP)/(273+t), m3/s</t>
  </si>
  <si>
    <t xml:space="preserve">Vandens garų konc. dujose    x=mH2O/Vmn*qn, kg/kg                                                                                                                                                                                                         
                                                                                                                                                      </t>
  </si>
  <si>
    <t>Sausų dujų tūrio debitas normaliosiomis sąlygomis Vn= Vdr n.s *((1/(1+(x*qn/0.8038)))</t>
  </si>
  <si>
    <t>Išplėsinės neapibrėžties koef. A</t>
  </si>
  <si>
    <t>Išplėstinė neapibrėžtis (dujų tūrio debitas) Uv</t>
  </si>
  <si>
    <t>Išplėstinė neapibrėžtis (dujų srauto greitis) Uw</t>
  </si>
  <si>
    <t>Sausų dujų tankis normaliosioms sąlygomis qn, (kg/m3)</t>
  </si>
  <si>
    <t xml:space="preserve">Skaičiavimus atliko (inicialai, data) </t>
  </si>
  <si>
    <t>Iš Aerodinamika</t>
  </si>
  <si>
    <t xml:space="preserve">   </t>
  </si>
  <si>
    <t xml:space="preserve">                                                                                                                                                                                                                                                                                                                                                                                                                                                                                                                                                                                                                                                                                                                                                                                                                                                                                                                                                                                                                                                                                                                                                                                                                                                                                                                                                        </t>
  </si>
  <si>
    <t>RPU**</t>
  </si>
  <si>
    <t>Kai bus 2 linijos, RPU** yra 2 linijos vidurinis taškas.</t>
  </si>
  <si>
    <t xml:space="preserve">                     </t>
  </si>
  <si>
    <t>Debitas pagal matuotą dujų greitį</t>
  </si>
  <si>
    <t>S.Č. 2026-02-10</t>
  </si>
  <si>
    <t>UAB ,,Ekopartneris", L. Ivinskio g. 65, Kaunas. Katilinė. Taršos šaltinis  Nr. 001.</t>
  </si>
  <si>
    <t>3</t>
  </si>
  <si>
    <t>S.Č., 2026-02-11</t>
  </si>
  <si>
    <t>Suma Vmk (m3)</t>
  </si>
  <si>
    <t>Viso suma Vmk(sum), m3.</t>
  </si>
  <si>
    <t xml:space="preserve">Vidurkis Vo (l/min) </t>
  </si>
  <si>
    <t xml:space="preserve">Vidurkių vidurkis Vo vid (l/min) </t>
  </si>
  <si>
    <t>Izokine-tiškumas (0,95-1,15)</t>
  </si>
  <si>
    <t xml:space="preserve"> Izokine-tiškumo vidurkis  (0,95-1,15)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</si>
</sst>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00000"/>
    <numFmt numFmtId="169" formatCode="0.0;[Red]0.0"/>
    <numFmt numFmtId="170" formatCode="yyyy\-mm\-dd;@"/>
    <numFmt numFmtId="171" formatCode="0;[Red]0"/>
    <numFmt numFmtId="172" formatCode="yyyy\-mm\-dd"/>
  </numFmts>
  <fonts count="31" x14ac:knownFonts="1">
    <font>
      <sz val="10"/>
      <name val="Arial"/>
      <charset val="186"/>
    </font>
    <font>
      <sz val="10"/>
      <name val="Arial"/>
      <family val="2"/>
      <charset val="186"/>
    </font>
    <font>
      <b/>
      <sz val="10"/>
      <name val="Arial"/>
      <family val="2"/>
      <charset val="186"/>
    </font>
    <font>
      <sz val="10"/>
      <name val="Times New Roman"/>
      <family val="1"/>
      <charset val="186"/>
    </font>
    <font>
      <sz val="11"/>
      <name val="Times New Roman"/>
      <family val="1"/>
      <charset val="186"/>
    </font>
    <font>
      <sz val="10"/>
      <name val="Arial"/>
      <family val="2"/>
      <charset val="186"/>
    </font>
    <font>
      <sz val="8"/>
      <name val="Arial"/>
      <family val="2"/>
      <charset val="186"/>
    </font>
    <font>
      <sz val="8"/>
      <name val="Arial"/>
      <family val="2"/>
      <charset val="186"/>
    </font>
    <font>
      <b/>
      <sz val="11"/>
      <name val="Times New Roman"/>
      <family val="1"/>
      <charset val="186"/>
    </font>
    <font>
      <b/>
      <sz val="12"/>
      <name val="Times New Roman"/>
      <family val="1"/>
      <charset val="186"/>
    </font>
    <font>
      <sz val="11"/>
      <color theme="1"/>
      <name val="Times New Roman"/>
      <family val="1"/>
      <charset val="186"/>
    </font>
    <font>
      <b/>
      <sz val="11"/>
      <color theme="1"/>
      <name val="Times New Roman"/>
      <family val="1"/>
      <charset val="186"/>
    </font>
    <font>
      <b/>
      <sz val="12"/>
      <color theme="1"/>
      <name val="Times New Roman"/>
      <family val="1"/>
      <charset val="186"/>
    </font>
    <font>
      <b/>
      <sz val="10"/>
      <name val="Times New Roman"/>
      <family val="1"/>
      <charset val="186"/>
    </font>
    <font>
      <b/>
      <sz val="12"/>
      <color rgb="FFFF0000"/>
      <name val="Times New Roman"/>
      <family val="1"/>
      <charset val="186"/>
    </font>
    <font>
      <b/>
      <i/>
      <sz val="10"/>
      <name val="Times New Roman"/>
      <family val="1"/>
      <charset val="186"/>
    </font>
    <font>
      <b/>
      <sz val="10"/>
      <color rgb="FFFF0000"/>
      <name val="Times New Roman"/>
      <family val="1"/>
      <charset val="186"/>
    </font>
    <font>
      <sz val="12"/>
      <name val="Times New Roman"/>
      <family val="1"/>
      <charset val="186"/>
    </font>
    <font>
      <sz val="12"/>
      <color rgb="FFFF0000"/>
      <name val="Times New Roman"/>
      <family val="1"/>
      <charset val="186"/>
    </font>
    <font>
      <sz val="12"/>
      <name val="Times New Roman"/>
      <family val="2"/>
      <charset val="186"/>
    </font>
    <font>
      <b/>
      <sz val="11"/>
      <color rgb="FFFF0000"/>
      <name val="Times New Roman"/>
      <family val="1"/>
      <charset val="186"/>
    </font>
    <font>
      <b/>
      <vertAlign val="subscript"/>
      <sz val="11"/>
      <name val="Times New Roman"/>
      <family val="1"/>
      <charset val="186"/>
    </font>
    <font>
      <b/>
      <vertAlign val="superscript"/>
      <sz val="11"/>
      <name val="Times New Roman"/>
      <family val="1"/>
      <charset val="186"/>
    </font>
    <font>
      <b/>
      <vertAlign val="subscript"/>
      <sz val="10"/>
      <name val="Times New Roman"/>
      <family val="1"/>
      <charset val="186"/>
    </font>
    <font>
      <b/>
      <vertAlign val="superscript"/>
      <sz val="10"/>
      <name val="Times New Roman"/>
      <family val="1"/>
      <charset val="186"/>
    </font>
    <font>
      <b/>
      <vertAlign val="subscript"/>
      <sz val="11"/>
      <name val="Times New Roman"/>
      <family val="1"/>
    </font>
    <font>
      <b/>
      <sz val="11"/>
      <name val="Times New Roman"/>
      <family val="1"/>
    </font>
    <font>
      <b/>
      <sz val="10"/>
      <name val="Times New Roman"/>
      <family val="1"/>
    </font>
    <font>
      <vertAlign val="subscript"/>
      <sz val="11"/>
      <name val="Times New Roman"/>
      <family val="1"/>
    </font>
    <font>
      <sz val="11"/>
      <name val="Times New Roman"/>
      <family val="1"/>
    </font>
    <font>
      <sz val="12"/>
      <color theme="1"/>
      <name val="Times New Roman"/>
      <family val="1"/>
      <charset val="186"/>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s>
  <borders count="22">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4">
    <xf numFmtId="0" fontId="0" fillId="0" borderId="0"/>
    <xf numFmtId="0" fontId="1" fillId="0" borderId="0"/>
    <xf numFmtId="9" fontId="5" fillId="0" borderId="0" applyFont="0" applyFill="0" applyBorder="0" applyAlignment="0" applyProtection="0"/>
    <xf numFmtId="9" fontId="1" fillId="0" borderId="0" applyFont="0" applyFill="0" applyBorder="0" applyAlignment="0" applyProtection="0"/>
  </cellStyleXfs>
  <cellXfs count="294">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0" fillId="0" borderId="4"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8" fillId="0" borderId="5" xfId="1"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protection locked="0"/>
    </xf>
    <xf numFmtId="0" fontId="4" fillId="0" borderId="0" xfId="0" applyFont="1" applyProtection="1">
      <protection locked="0"/>
    </xf>
    <xf numFmtId="0" fontId="10" fillId="0" borderId="0" xfId="0" applyFont="1" applyAlignment="1" applyProtection="1">
      <alignment horizontal="center" vertical="center" wrapText="1"/>
      <protection locked="0"/>
    </xf>
    <xf numFmtId="0" fontId="4" fillId="0" borderId="0" xfId="0" applyFont="1" applyAlignment="1" applyProtection="1">
      <alignment horizontal="right"/>
      <protection locked="0"/>
    </xf>
    <xf numFmtId="0" fontId="8" fillId="0" borderId="0" xfId="0" applyFont="1" applyAlignment="1" applyProtection="1">
      <alignment horizontal="center"/>
      <protection locked="0"/>
    </xf>
    <xf numFmtId="0" fontId="4" fillId="0" borderId="0" xfId="0" applyFont="1" applyAlignment="1" applyProtection="1">
      <alignment horizontal="center"/>
      <protection locked="0"/>
    </xf>
    <xf numFmtId="2" fontId="4" fillId="0" borderId="10"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0" xfId="0" applyFont="1" applyBorder="1" applyAlignment="1" applyProtection="1">
      <alignment horizontal="center" vertical="center" wrapText="1"/>
      <protection locked="0"/>
    </xf>
    <xf numFmtId="0" fontId="10" fillId="0" borderId="0" xfId="0" applyFont="1" applyAlignment="1" applyProtection="1">
      <alignment horizontal="center" wrapText="1"/>
      <protection locked="0"/>
    </xf>
    <xf numFmtId="0" fontId="4" fillId="0" borderId="0" xfId="1" applyFont="1" applyProtection="1">
      <protection locked="0"/>
    </xf>
    <xf numFmtId="2" fontId="4" fillId="0" borderId="0" xfId="0" applyNumberFormat="1" applyFont="1" applyAlignment="1" applyProtection="1">
      <alignment vertical="center"/>
      <protection locked="0"/>
    </xf>
    <xf numFmtId="0" fontId="8" fillId="0" borderId="0" xfId="0" applyFont="1" applyProtection="1">
      <protection locked="0"/>
    </xf>
    <xf numFmtId="172" fontId="4" fillId="0" borderId="10" xfId="0" applyNumberFormat="1" applyFont="1" applyBorder="1" applyAlignment="1" applyProtection="1">
      <alignment horizontal="center" vertical="center"/>
      <protection locked="0"/>
    </xf>
    <xf numFmtId="164" fontId="4" fillId="0" borderId="11"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7" xfId="0" applyFont="1" applyBorder="1" applyProtection="1">
      <protection locked="0"/>
    </xf>
    <xf numFmtId="0" fontId="4" fillId="0" borderId="8" xfId="0" applyFont="1" applyBorder="1" applyProtection="1">
      <protection locked="0"/>
    </xf>
    <xf numFmtId="170" fontId="4" fillId="0" borderId="10" xfId="0" applyNumberFormat="1" applyFont="1" applyBorder="1" applyAlignment="1" applyProtection="1">
      <alignment horizontal="center" vertical="center"/>
      <protection locked="0"/>
    </xf>
    <xf numFmtId="0" fontId="8" fillId="3" borderId="4" xfId="0" applyFont="1" applyFill="1" applyBorder="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3" fillId="0" borderId="0" xfId="0" applyFont="1" applyProtection="1">
      <protection locked="0"/>
    </xf>
    <xf numFmtId="49" fontId="9" fillId="0" borderId="0" xfId="0" applyNumberFormat="1" applyFont="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167" fontId="9" fillId="0" borderId="4"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167" fontId="4" fillId="0" borderId="5" xfId="0" applyNumberFormat="1" applyFont="1" applyBorder="1" applyAlignment="1" applyProtection="1">
      <alignment horizontal="center"/>
      <protection locked="0"/>
    </xf>
    <xf numFmtId="0" fontId="4" fillId="0" borderId="4" xfId="0" applyFont="1" applyBorder="1" applyAlignment="1" applyProtection="1">
      <alignment horizontal="center" vertical="center" wrapText="1"/>
      <protection locked="0"/>
    </xf>
    <xf numFmtId="0" fontId="3" fillId="0" borderId="4" xfId="0" applyFont="1" applyBorder="1" applyProtection="1">
      <protection locked="0"/>
    </xf>
    <xf numFmtId="166" fontId="12" fillId="0" borderId="4" xfId="0" applyNumberFormat="1" applyFont="1" applyBorder="1" applyAlignment="1" applyProtection="1">
      <alignment horizontal="center" vertical="center"/>
      <protection locked="0"/>
    </xf>
    <xf numFmtId="0" fontId="4" fillId="3" borderId="4" xfId="0" applyFont="1" applyFill="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4" fillId="0" borderId="10" xfId="0" applyFont="1" applyBorder="1" applyProtection="1">
      <protection locked="0"/>
    </xf>
    <xf numFmtId="0" fontId="4" fillId="0" borderId="5" xfId="0" applyFont="1" applyBorder="1" applyAlignment="1" applyProtection="1">
      <alignment horizontal="center" vertical="center"/>
      <protection locked="0"/>
    </xf>
    <xf numFmtId="167" fontId="4" fillId="0" borderId="10" xfId="0" applyNumberFormat="1" applyFont="1" applyBorder="1" applyAlignment="1" applyProtection="1">
      <alignment horizontal="center"/>
      <protection locked="0"/>
    </xf>
    <xf numFmtId="0" fontId="8" fillId="0" borderId="4"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167" fontId="4" fillId="0" borderId="5" xfId="0" applyNumberFormat="1"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center" vertical="top" wrapText="1"/>
      <protection locked="0"/>
    </xf>
    <xf numFmtId="166" fontId="4" fillId="2" borderId="4" xfId="0" applyNumberFormat="1" applyFont="1" applyFill="1" applyBorder="1" applyAlignment="1">
      <alignment horizontal="center" vertical="center"/>
    </xf>
    <xf numFmtId="170" fontId="4" fillId="0" borderId="10" xfId="0" applyNumberFormat="1" applyFont="1" applyBorder="1" applyAlignment="1" applyProtection="1">
      <alignment vertical="center"/>
      <protection locked="0"/>
    </xf>
    <xf numFmtId="166" fontId="4" fillId="0" borderId="10" xfId="0" applyNumberFormat="1" applyFont="1" applyBorder="1" applyAlignment="1" applyProtection="1">
      <alignment horizontal="center" vertical="center"/>
      <protection locked="0"/>
    </xf>
    <xf numFmtId="170" fontId="4" fillId="0" borderId="8" xfId="0" applyNumberFormat="1" applyFont="1" applyBorder="1" applyAlignment="1" applyProtection="1">
      <alignment vertical="center"/>
      <protection locked="0"/>
    </xf>
    <xf numFmtId="0" fontId="4" fillId="0" borderId="8" xfId="0" applyFont="1" applyBorder="1" applyAlignment="1" applyProtection="1">
      <alignment horizontal="center" vertical="center" wrapText="1"/>
      <protection locked="0"/>
    </xf>
    <xf numFmtId="166" fontId="4" fillId="0" borderId="8" xfId="0" applyNumberFormat="1" applyFont="1" applyBorder="1" applyAlignment="1" applyProtection="1">
      <alignment horizontal="center" vertical="center"/>
      <protection locked="0"/>
    </xf>
    <xf numFmtId="2" fontId="4" fillId="0" borderId="8" xfId="0" applyNumberFormat="1" applyFont="1" applyBorder="1" applyAlignment="1" applyProtection="1">
      <alignment horizontal="center" vertical="center"/>
      <protection locked="0"/>
    </xf>
    <xf numFmtId="0" fontId="4" fillId="2" borderId="8" xfId="0" applyFont="1" applyFill="1" applyBorder="1" applyAlignment="1">
      <alignment horizontal="center" vertical="center"/>
    </xf>
    <xf numFmtId="14" fontId="4" fillId="2" borderId="10" xfId="0" applyNumberFormat="1" applyFont="1" applyFill="1" applyBorder="1" applyAlignment="1">
      <alignment vertical="center"/>
    </xf>
    <xf numFmtId="0" fontId="4" fillId="2" borderId="10" xfId="0" applyFont="1" applyFill="1" applyBorder="1" applyAlignment="1">
      <alignment horizontal="center" vertical="center" wrapText="1"/>
    </xf>
    <xf numFmtId="171" fontId="4" fillId="2" borderId="4" xfId="0" applyNumberFormat="1" applyFont="1" applyFill="1" applyBorder="1" applyAlignment="1">
      <alignment horizontal="center" vertical="center" wrapText="1"/>
    </xf>
    <xf numFmtId="167" fontId="4" fillId="2" borderId="6" xfId="0" applyNumberFormat="1" applyFont="1" applyFill="1" applyBorder="1" applyAlignment="1">
      <alignment horizontal="center" vertical="center"/>
    </xf>
    <xf numFmtId="166" fontId="4" fillId="2" borderId="12" xfId="0" applyNumberFormat="1" applyFont="1" applyFill="1" applyBorder="1" applyAlignment="1">
      <alignment horizontal="center" vertical="center"/>
    </xf>
    <xf numFmtId="0" fontId="4" fillId="2" borderId="4" xfId="0" applyFont="1" applyFill="1" applyBorder="1" applyAlignment="1">
      <alignment horizontal="center" vertical="center"/>
    </xf>
    <xf numFmtId="2" fontId="9" fillId="2" borderId="4" xfId="0" applyNumberFormat="1" applyFont="1" applyFill="1" applyBorder="1" applyAlignment="1">
      <alignment horizontal="center" vertical="center"/>
    </xf>
    <xf numFmtId="168" fontId="9" fillId="2" borderId="4" xfId="0" applyNumberFormat="1" applyFont="1" applyFill="1" applyBorder="1" applyAlignment="1">
      <alignment horizontal="center" vertical="center"/>
    </xf>
    <xf numFmtId="166" fontId="4" fillId="0" borderId="0" xfId="0" applyNumberFormat="1" applyFont="1" applyAlignment="1" applyProtection="1">
      <alignment horizontal="center" vertical="top" wrapText="1"/>
      <protection locked="0"/>
    </xf>
    <xf numFmtId="166" fontId="4" fillId="0" borderId="4" xfId="0" applyNumberFormat="1" applyFont="1" applyBorder="1" applyAlignment="1" applyProtection="1">
      <alignment horizontal="center" vertical="top" wrapText="1"/>
      <protection locked="0"/>
    </xf>
    <xf numFmtId="14" fontId="4" fillId="2" borderId="8" xfId="0" applyNumberFormat="1" applyFont="1" applyFill="1" applyBorder="1" applyAlignment="1">
      <alignment vertical="center"/>
    </xf>
    <xf numFmtId="166" fontId="4" fillId="2" borderId="13" xfId="0" applyNumberFormat="1" applyFont="1" applyFill="1" applyBorder="1" applyAlignment="1">
      <alignment horizontal="center" vertical="center"/>
    </xf>
    <xf numFmtId="167" fontId="4" fillId="2" borderId="4"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166" fontId="4" fillId="2" borderId="5" xfId="0" applyNumberFormat="1" applyFont="1" applyFill="1" applyBorder="1" applyAlignment="1">
      <alignment horizontal="center" vertical="center"/>
    </xf>
    <xf numFmtId="166" fontId="8" fillId="2" borderId="4" xfId="0" applyNumberFormat="1" applyFont="1" applyFill="1" applyBorder="1" applyAlignment="1">
      <alignment horizontal="center" vertical="top"/>
    </xf>
    <xf numFmtId="2" fontId="4" fillId="2" borderId="4" xfId="0" applyNumberFormat="1" applyFont="1" applyFill="1" applyBorder="1" applyAlignment="1">
      <alignment horizontal="center" vertical="center"/>
    </xf>
    <xf numFmtId="170" fontId="4" fillId="2"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2" fontId="4" fillId="2" borderId="5" xfId="0" applyNumberFormat="1" applyFont="1" applyFill="1" applyBorder="1" applyAlignment="1">
      <alignment horizontal="center" vertical="center"/>
    </xf>
    <xf numFmtId="165" fontId="4" fillId="2" borderId="5" xfId="0" applyNumberFormat="1" applyFont="1" applyFill="1" applyBorder="1" applyAlignment="1">
      <alignment horizontal="center" vertical="center"/>
    </xf>
    <xf numFmtId="170" fontId="4" fillId="2" borderId="5" xfId="0" applyNumberFormat="1" applyFont="1" applyFill="1" applyBorder="1" applyAlignment="1">
      <alignment vertical="center"/>
    </xf>
    <xf numFmtId="0" fontId="4" fillId="2" borderId="5" xfId="0" applyFont="1" applyFill="1" applyBorder="1" applyAlignment="1">
      <alignment horizontal="center" vertical="center" wrapText="1"/>
    </xf>
    <xf numFmtId="168" fontId="4" fillId="2" borderId="4"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2" fontId="8" fillId="2" borderId="4"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68" fontId="8" fillId="2" borderId="15" xfId="0" applyNumberFormat="1" applyFont="1" applyFill="1" applyBorder="1" applyAlignment="1">
      <alignment horizontal="center" vertical="center"/>
    </xf>
    <xf numFmtId="166" fontId="8" fillId="0" borderId="16" xfId="0" applyNumberFormat="1" applyFont="1" applyBorder="1" applyAlignment="1">
      <alignment vertical="center"/>
    </xf>
    <xf numFmtId="166" fontId="8" fillId="0" borderId="0" xfId="0" applyNumberFormat="1" applyFont="1" applyAlignment="1">
      <alignment vertical="center"/>
    </xf>
    <xf numFmtId="168" fontId="8" fillId="0" borderId="0" xfId="0" applyNumberFormat="1" applyFont="1" applyAlignment="1">
      <alignment vertical="center"/>
    </xf>
    <xf numFmtId="0" fontId="9" fillId="0" borderId="4" xfId="0" applyFont="1" applyBorder="1" applyAlignment="1">
      <alignment horizontal="center" vertical="center"/>
    </xf>
    <xf numFmtId="166" fontId="9" fillId="0" borderId="4" xfId="0" applyNumberFormat="1" applyFont="1" applyBorder="1" applyAlignment="1" applyProtection="1">
      <alignment horizontal="center" vertical="center"/>
      <protection locked="0"/>
    </xf>
    <xf numFmtId="2" fontId="9" fillId="0" borderId="4" xfId="0" applyNumberFormat="1" applyFont="1" applyBorder="1" applyAlignment="1">
      <alignment horizontal="center" vertical="center"/>
    </xf>
    <xf numFmtId="168"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4" xfId="0" applyFont="1" applyBorder="1" applyAlignment="1" applyProtection="1">
      <alignment horizontal="center" vertical="center" wrapText="1"/>
      <protection locked="0"/>
    </xf>
    <xf numFmtId="168" fontId="12" fillId="0" borderId="4" xfId="0" applyNumberFormat="1" applyFont="1" applyBorder="1" applyAlignment="1">
      <alignment horizontal="center" vertical="center"/>
    </xf>
    <xf numFmtId="166" fontId="12" fillId="0" borderId="4" xfId="0" applyNumberFormat="1" applyFont="1" applyBorder="1" applyAlignment="1">
      <alignment horizontal="center" vertical="center"/>
    </xf>
    <xf numFmtId="0" fontId="13" fillId="3" borderId="4" xfId="0" applyFont="1" applyFill="1" applyBorder="1" applyAlignment="1" applyProtection="1">
      <alignment horizontal="center" vertical="center" wrapText="1"/>
      <protection locked="0"/>
    </xf>
    <xf numFmtId="172" fontId="4" fillId="0" borderId="10" xfId="0" applyNumberFormat="1" applyFont="1" applyBorder="1" applyAlignment="1" applyProtection="1">
      <alignment vertical="center"/>
      <protection locked="0"/>
    </xf>
    <xf numFmtId="164" fontId="4" fillId="0" borderId="10" xfId="0" applyNumberFormat="1" applyFont="1" applyBorder="1" applyAlignment="1" applyProtection="1">
      <alignment vertical="center"/>
      <protection locked="0"/>
    </xf>
    <xf numFmtId="0" fontId="4" fillId="0" borderId="9" xfId="0" applyFont="1" applyBorder="1" applyAlignment="1" applyProtection="1">
      <alignment horizontal="center" vertical="center"/>
      <protection locked="0"/>
    </xf>
    <xf numFmtId="172" fontId="4"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4" fillId="0" borderId="13" xfId="0" applyFont="1" applyBorder="1" applyProtection="1">
      <protection locked="0"/>
    </xf>
    <xf numFmtId="0" fontId="4"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4" fillId="0" borderId="11" xfId="0" applyFont="1" applyBorder="1" applyAlignment="1" applyProtection="1">
      <alignment horizontal="center" vertical="center"/>
      <protection locked="0"/>
    </xf>
    <xf numFmtId="171" fontId="4" fillId="2" borderId="10" xfId="0" applyNumberFormat="1" applyFont="1" applyFill="1" applyBorder="1" applyAlignment="1">
      <alignment horizontal="center" vertical="center" wrapText="1"/>
    </xf>
    <xf numFmtId="167" fontId="8" fillId="2" borderId="11" xfId="0" applyNumberFormat="1" applyFont="1" applyFill="1" applyBorder="1" applyAlignment="1">
      <alignment horizontal="center" vertical="center"/>
    </xf>
    <xf numFmtId="0" fontId="8" fillId="0" borderId="4" xfId="1" applyFont="1" applyBorder="1" applyAlignment="1" applyProtection="1">
      <alignment horizontal="center" vertical="center" wrapText="1"/>
      <protection locked="0"/>
    </xf>
    <xf numFmtId="167" fontId="8" fillId="2" borderId="4" xfId="0" applyNumberFormat="1" applyFont="1" applyFill="1" applyBorder="1" applyAlignment="1">
      <alignment horizontal="center" vertical="center"/>
    </xf>
    <xf numFmtId="164" fontId="8" fillId="2" borderId="5" xfId="0" applyNumberFormat="1" applyFont="1" applyFill="1" applyBorder="1" applyAlignment="1">
      <alignment horizontal="center" vertical="center"/>
    </xf>
    <xf numFmtId="164" fontId="8" fillId="2" borderId="10" xfId="0" applyNumberFormat="1" applyFont="1" applyFill="1" applyBorder="1" applyAlignment="1">
      <alignment vertical="center"/>
    </xf>
    <xf numFmtId="164" fontId="8" fillId="2" borderId="8" xfId="0" applyNumberFormat="1" applyFont="1" applyFill="1" applyBorder="1" applyAlignment="1">
      <alignment vertical="center"/>
    </xf>
    <xf numFmtId="167" fontId="8" fillId="2" borderId="5" xfId="0" applyNumberFormat="1" applyFont="1" applyFill="1" applyBorder="1" applyAlignment="1">
      <alignment horizontal="center" vertical="center"/>
    </xf>
    <xf numFmtId="167" fontId="8" fillId="2" borderId="10" xfId="0" applyNumberFormat="1" applyFont="1" applyFill="1" applyBorder="1" applyAlignment="1">
      <alignment horizontal="center" vertical="center"/>
    </xf>
    <xf numFmtId="167" fontId="8" fillId="2" borderId="8" xfId="0" applyNumberFormat="1" applyFont="1" applyFill="1" applyBorder="1" applyAlignment="1">
      <alignment horizontal="center" vertical="center"/>
    </xf>
    <xf numFmtId="172" fontId="4" fillId="2" borderId="10" xfId="0" applyNumberFormat="1" applyFont="1" applyFill="1" applyBorder="1" applyAlignment="1">
      <alignment horizontal="center" vertical="center"/>
    </xf>
    <xf numFmtId="164" fontId="4" fillId="2" borderId="11"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2" borderId="8" xfId="0" applyNumberFormat="1" applyFont="1" applyFill="1" applyBorder="1" applyAlignment="1">
      <alignment horizontal="center" vertical="center"/>
    </xf>
    <xf numFmtId="165" fontId="4" fillId="2" borderId="4" xfId="0" applyNumberFormat="1" applyFont="1" applyFill="1" applyBorder="1" applyAlignment="1">
      <alignment horizontal="center" vertical="center"/>
    </xf>
    <xf numFmtId="0" fontId="17" fillId="0" borderId="0" xfId="0" applyFont="1" applyAlignment="1" applyProtection="1">
      <alignment horizontal="center" vertical="center"/>
      <protection locked="0"/>
    </xf>
    <xf numFmtId="0" fontId="17" fillId="6"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2" fontId="17" fillId="2" borderId="4" xfId="0" applyNumberFormat="1" applyFont="1" applyFill="1" applyBorder="1" applyAlignment="1">
      <alignment horizontal="center" vertical="center"/>
    </xf>
    <xf numFmtId="0" fontId="17" fillId="0" borderId="4"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1" fontId="18" fillId="0" borderId="4" xfId="0" applyNumberFormat="1"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49" fontId="4" fillId="0" borderId="14" xfId="0" applyNumberFormat="1"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13" fillId="0" borderId="4" xfId="0" applyFont="1" applyBorder="1" applyAlignment="1" applyProtection="1">
      <alignment horizontal="center" vertical="center" wrapText="1"/>
      <protection locked="0"/>
    </xf>
    <xf numFmtId="0" fontId="13" fillId="3" borderId="5"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4" fillId="0" borderId="4" xfId="0" applyFont="1" applyBorder="1" applyProtection="1">
      <protection locked="0"/>
    </xf>
    <xf numFmtId="0" fontId="29" fillId="0" borderId="17" xfId="0" applyFont="1" applyBorder="1" applyAlignment="1" applyProtection="1">
      <alignment wrapText="1"/>
      <protection locked="0"/>
    </xf>
    <xf numFmtId="0" fontId="29" fillId="0" borderId="7" xfId="0" applyFont="1" applyBorder="1" applyProtection="1">
      <protection locked="0"/>
    </xf>
    <xf numFmtId="0" fontId="29" fillId="0" borderId="13" xfId="0" applyFont="1" applyBorder="1" applyProtection="1">
      <protection locked="0"/>
    </xf>
    <xf numFmtId="0" fontId="29" fillId="0" borderId="13" xfId="0" applyFont="1" applyBorder="1" applyAlignment="1" applyProtection="1">
      <alignment wrapText="1"/>
      <protection locked="0"/>
    </xf>
    <xf numFmtId="1" fontId="8" fillId="2" borderId="4" xfId="0" applyNumberFormat="1" applyFont="1" applyFill="1" applyBorder="1" applyAlignment="1">
      <alignment horizontal="center" vertical="top"/>
    </xf>
    <xf numFmtId="1" fontId="8" fillId="2" borderId="4" xfId="0" applyNumberFormat="1" applyFont="1" applyFill="1" applyBorder="1" applyAlignment="1">
      <alignment horizontal="center" vertical="center"/>
    </xf>
    <xf numFmtId="166" fontId="8" fillId="2" borderId="4" xfId="0" applyNumberFormat="1" applyFont="1" applyFill="1" applyBorder="1" applyAlignment="1">
      <alignment horizontal="center" vertical="center"/>
    </xf>
    <xf numFmtId="168" fontId="4" fillId="2" borderId="10" xfId="0" applyNumberFormat="1" applyFont="1" applyFill="1" applyBorder="1" applyAlignment="1">
      <alignment horizontal="center" vertical="center"/>
    </xf>
    <xf numFmtId="0" fontId="8" fillId="0" borderId="0" xfId="0" applyFont="1" applyAlignment="1" applyProtection="1">
      <alignment horizontal="center" vertical="center"/>
      <protection locked="0"/>
    </xf>
    <xf numFmtId="0" fontId="9" fillId="3" borderId="4" xfId="0" applyFont="1" applyFill="1" applyBorder="1" applyAlignment="1" applyProtection="1">
      <alignment horizontal="center" vertical="center"/>
      <protection locked="0"/>
    </xf>
    <xf numFmtId="1" fontId="9" fillId="3" borderId="4" xfId="0" applyNumberFormat="1" applyFont="1" applyFill="1" applyBorder="1" applyAlignment="1" applyProtection="1">
      <alignment horizontal="center" vertical="center"/>
      <protection locked="0"/>
    </xf>
    <xf numFmtId="0" fontId="14" fillId="3" borderId="4" xfId="0" applyFont="1" applyFill="1" applyBorder="1" applyAlignment="1" applyProtection="1">
      <alignment horizontal="center" vertical="center"/>
      <protection locked="0"/>
    </xf>
    <xf numFmtId="167" fontId="14" fillId="3" borderId="4" xfId="0" applyNumberFormat="1" applyFont="1" applyFill="1" applyBorder="1" applyAlignment="1" applyProtection="1">
      <alignment horizontal="center" vertical="center"/>
      <protection locked="0"/>
    </xf>
    <xf numFmtId="166" fontId="14" fillId="3" borderId="4" xfId="0" applyNumberFormat="1" applyFont="1" applyFill="1" applyBorder="1" applyAlignment="1" applyProtection="1">
      <alignment horizontal="center" vertical="center"/>
      <protection locked="0"/>
    </xf>
    <xf numFmtId="2" fontId="8" fillId="0" borderId="4" xfId="0" applyNumberFormat="1" applyFont="1" applyBorder="1" applyAlignment="1" applyProtection="1">
      <alignment horizontal="center" vertical="center" wrapText="1"/>
      <protection locked="0"/>
    </xf>
    <xf numFmtId="2" fontId="20" fillId="3" borderId="4" xfId="0" applyNumberFormat="1" applyFont="1" applyFill="1" applyBorder="1" applyAlignment="1" applyProtection="1">
      <alignment horizontal="center" vertical="center"/>
      <protection locked="0"/>
    </xf>
    <xf numFmtId="167" fontId="20" fillId="3" borderId="4" xfId="0" applyNumberFormat="1" applyFont="1" applyFill="1" applyBorder="1" applyAlignment="1" applyProtection="1">
      <alignment horizontal="center" vertical="center"/>
      <protection locked="0"/>
    </xf>
    <xf numFmtId="167" fontId="8" fillId="5" borderId="4" xfId="0" applyNumberFormat="1" applyFont="1" applyFill="1" applyBorder="1" applyAlignment="1">
      <alignment horizontal="center" vertical="center"/>
    </xf>
    <xf numFmtId="2" fontId="20" fillId="3" borderId="5" xfId="0" applyNumberFormat="1" applyFont="1" applyFill="1" applyBorder="1" applyAlignment="1" applyProtection="1">
      <alignment horizontal="center" vertical="center"/>
      <protection locked="0"/>
    </xf>
    <xf numFmtId="165" fontId="20" fillId="3" borderId="5" xfId="0" applyNumberFormat="1" applyFont="1" applyFill="1" applyBorder="1" applyAlignment="1" applyProtection="1">
      <alignment horizontal="center" vertical="center"/>
      <protection locked="0"/>
    </xf>
    <xf numFmtId="1" fontId="20" fillId="3" borderId="4" xfId="0" applyNumberFormat="1" applyFont="1" applyFill="1" applyBorder="1" applyAlignment="1" applyProtection="1">
      <alignment horizontal="center" vertical="center"/>
      <protection locked="0"/>
    </xf>
    <xf numFmtId="0" fontId="20" fillId="3" borderId="4" xfId="0" applyFont="1" applyFill="1" applyBorder="1" applyAlignment="1" applyProtection="1">
      <alignment horizontal="center" vertical="center"/>
      <protection locked="0"/>
    </xf>
    <xf numFmtId="1" fontId="4" fillId="2" borderId="11" xfId="0" applyNumberFormat="1" applyFont="1" applyFill="1" applyBorder="1" applyAlignment="1">
      <alignment horizontal="center" vertical="center"/>
    </xf>
    <xf numFmtId="0" fontId="30" fillId="0" borderId="0" xfId="0" applyFont="1" applyAlignment="1" applyProtection="1">
      <alignment horizontal="center" vertical="center"/>
      <protection locked="0"/>
    </xf>
    <xf numFmtId="0" fontId="10" fillId="6" borderId="4" xfId="0" applyFont="1" applyFill="1" applyBorder="1" applyAlignment="1">
      <alignment horizontal="center" vertical="center" wrapText="1"/>
    </xf>
    <xf numFmtId="0" fontId="10" fillId="6" borderId="4" xfId="0" applyFont="1" applyFill="1" applyBorder="1" applyAlignment="1" applyProtection="1">
      <alignment horizontal="center" vertical="center" wrapText="1"/>
      <protection locked="0"/>
    </xf>
    <xf numFmtId="0" fontId="30" fillId="6" borderId="4" xfId="0" applyFont="1" applyFill="1" applyBorder="1" applyAlignment="1" applyProtection="1">
      <alignment horizontal="center" vertical="center" wrapText="1"/>
      <protection locked="0"/>
    </xf>
    <xf numFmtId="49" fontId="10" fillId="0" borderId="4" xfId="0" applyNumberFormat="1" applyFont="1" applyBorder="1" applyAlignment="1" applyProtection="1">
      <alignment horizontal="center" vertical="center" wrapText="1"/>
      <protection locked="0"/>
    </xf>
    <xf numFmtId="0" fontId="30" fillId="0" borderId="5"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2" fontId="9" fillId="0" borderId="4" xfId="0" applyNumberFormat="1" applyFont="1" applyBorder="1" applyAlignment="1" applyProtection="1">
      <alignment horizontal="center" vertical="center" wrapText="1"/>
      <protection locked="0"/>
    </xf>
    <xf numFmtId="167" fontId="9" fillId="8" borderId="4" xfId="0" applyNumberFormat="1" applyFont="1" applyFill="1" applyBorder="1" applyAlignment="1">
      <alignment horizontal="center" vertical="center"/>
    </xf>
    <xf numFmtId="2" fontId="9" fillId="0" borderId="4" xfId="0" applyNumberFormat="1" applyFont="1" applyBorder="1" applyAlignment="1" applyProtection="1">
      <alignment horizontal="center" vertical="center"/>
      <protection locked="0"/>
    </xf>
    <xf numFmtId="167" fontId="9" fillId="2" borderId="4" xfId="0" applyNumberFormat="1" applyFont="1" applyFill="1" applyBorder="1" applyAlignment="1">
      <alignment horizontal="center" vertical="center"/>
    </xf>
    <xf numFmtId="0" fontId="9" fillId="2" borderId="4" xfId="0" applyFont="1" applyFill="1" applyBorder="1" applyAlignment="1">
      <alignment horizontal="center" vertical="center"/>
    </xf>
    <xf numFmtId="2" fontId="9" fillId="0" borderId="5" xfId="0" applyNumberFormat="1" applyFont="1" applyBorder="1" applyAlignment="1" applyProtection="1">
      <alignment horizontal="center" vertical="center"/>
      <protection locked="0"/>
    </xf>
    <xf numFmtId="165" fontId="9" fillId="2" borderId="4" xfId="0" applyNumberFormat="1" applyFont="1" applyFill="1" applyBorder="1" applyAlignment="1">
      <alignment horizontal="center" vertical="center"/>
    </xf>
    <xf numFmtId="166" fontId="9" fillId="2" borderId="4" xfId="0" applyNumberFormat="1" applyFont="1" applyFill="1" applyBorder="1" applyAlignment="1">
      <alignment horizontal="center" vertical="center"/>
    </xf>
    <xf numFmtId="166" fontId="12" fillId="8" borderId="4"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wrapText="1"/>
    </xf>
    <xf numFmtId="166" fontId="12" fillId="2" borderId="4" xfId="0" applyNumberFormat="1" applyFont="1" applyFill="1" applyBorder="1" applyAlignment="1">
      <alignment horizontal="center" vertical="center"/>
    </xf>
    <xf numFmtId="168" fontId="12" fillId="8" borderId="4" xfId="0" applyNumberFormat="1" applyFont="1" applyFill="1" applyBorder="1" applyAlignment="1">
      <alignment horizontal="center" vertical="center"/>
    </xf>
    <xf numFmtId="166" fontId="12" fillId="0" borderId="4" xfId="0" applyNumberFormat="1" applyFont="1" applyBorder="1" applyAlignment="1" applyProtection="1">
      <alignment horizontal="center" vertical="center" wrapText="1"/>
      <protection locked="0"/>
    </xf>
    <xf numFmtId="166" fontId="12" fillId="2" borderId="4" xfId="0" applyNumberFormat="1" applyFont="1" applyFill="1" applyBorder="1" applyAlignment="1">
      <alignment horizontal="center" vertical="center" wrapText="1"/>
    </xf>
    <xf numFmtId="2" fontId="12" fillId="2" borderId="4" xfId="0" applyNumberFormat="1" applyFont="1" applyFill="1" applyBorder="1" applyAlignment="1">
      <alignment horizontal="center" vertical="center"/>
    </xf>
    <xf numFmtId="2" fontId="12" fillId="8" borderId="4" xfId="0" applyNumberFormat="1" applyFont="1" applyFill="1" applyBorder="1" applyAlignment="1">
      <alignment horizontal="center" vertical="center"/>
    </xf>
    <xf numFmtId="166" fontId="9" fillId="8" borderId="4" xfId="0" applyNumberFormat="1" applyFont="1" applyFill="1" applyBorder="1" applyAlignment="1">
      <alignment horizontal="center" vertical="center"/>
    </xf>
    <xf numFmtId="1" fontId="9" fillId="8" borderId="4" xfId="0" applyNumberFormat="1" applyFont="1" applyFill="1" applyBorder="1" applyAlignment="1">
      <alignment horizontal="center" vertical="center"/>
    </xf>
    <xf numFmtId="2" fontId="9" fillId="8" borderId="4" xfId="0" applyNumberFormat="1" applyFont="1" applyFill="1" applyBorder="1" applyAlignment="1">
      <alignment horizontal="center" vertical="center"/>
    </xf>
    <xf numFmtId="0" fontId="9" fillId="0" borderId="6" xfId="0" applyFont="1" applyBorder="1" applyAlignment="1" applyProtection="1">
      <alignment horizontal="center" vertical="center"/>
      <protection locked="0"/>
    </xf>
    <xf numFmtId="2" fontId="9" fillId="0" borderId="18" xfId="0" applyNumberFormat="1" applyFont="1" applyBorder="1" applyAlignment="1" applyProtection="1">
      <alignment horizontal="center" vertical="center"/>
      <protection locked="0"/>
    </xf>
    <xf numFmtId="165" fontId="9" fillId="2" borderId="7" xfId="0" applyNumberFormat="1" applyFont="1" applyFill="1" applyBorder="1" applyAlignment="1">
      <alignment horizontal="center" vertical="center"/>
    </xf>
    <xf numFmtId="0" fontId="12" fillId="0" borderId="5" xfId="0" applyFont="1" applyBorder="1" applyAlignment="1" applyProtection="1">
      <alignment horizontal="center" vertical="center"/>
      <protection locked="0"/>
    </xf>
    <xf numFmtId="167" fontId="9" fillId="2" borderId="5" xfId="0" applyNumberFormat="1" applyFont="1" applyFill="1" applyBorder="1" applyAlignment="1">
      <alignment horizontal="center" vertical="center"/>
    </xf>
    <xf numFmtId="2" fontId="9" fillId="2" borderId="5" xfId="0" applyNumberFormat="1" applyFont="1" applyFill="1" applyBorder="1" applyAlignment="1">
      <alignment horizontal="center" vertical="center"/>
    </xf>
    <xf numFmtId="0" fontId="30" fillId="0" borderId="14" xfId="0" applyFont="1" applyBorder="1" applyAlignment="1" applyProtection="1">
      <alignment horizontal="center" vertical="center"/>
      <protection locked="0"/>
    </xf>
    <xf numFmtId="2" fontId="9" fillId="0" borderId="19" xfId="0" applyNumberFormat="1" applyFont="1" applyBorder="1" applyAlignment="1" applyProtection="1">
      <alignment horizontal="center" vertical="center"/>
      <protection locked="0"/>
    </xf>
    <xf numFmtId="0" fontId="30" fillId="0" borderId="17" xfId="0"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166" fontId="9" fillId="0" borderId="4" xfId="0" applyNumberFormat="1" applyFont="1" applyBorder="1" applyAlignment="1" applyProtection="1">
      <alignment horizontal="center" vertical="center" wrapText="1"/>
      <protection locked="0"/>
    </xf>
    <xf numFmtId="166" fontId="30" fillId="0" borderId="4" xfId="0" applyNumberFormat="1" applyFont="1" applyBorder="1" applyAlignment="1" applyProtection="1">
      <alignment horizontal="center" vertical="center"/>
      <protection locked="0"/>
    </xf>
    <xf numFmtId="166" fontId="9" fillId="0" borderId="0" xfId="0" applyNumberFormat="1" applyFont="1" applyAlignment="1" applyProtection="1">
      <alignment horizontal="center" vertical="center"/>
      <protection locked="0"/>
    </xf>
    <xf numFmtId="166" fontId="30" fillId="0" borderId="0" xfId="0" applyNumberFormat="1" applyFont="1" applyAlignment="1" applyProtection="1">
      <alignment horizontal="center" vertical="center"/>
      <protection locked="0"/>
    </xf>
    <xf numFmtId="2" fontId="9" fillId="0" borderId="0" xfId="0" applyNumberFormat="1" applyFont="1" applyAlignment="1" applyProtection="1">
      <alignment horizontal="center" vertical="center"/>
      <protection locked="0"/>
    </xf>
    <xf numFmtId="0" fontId="30" fillId="0" borderId="4" xfId="0" applyFont="1" applyBorder="1" applyAlignment="1" applyProtection="1">
      <alignment horizontal="center" vertical="center" wrapText="1"/>
      <protection locked="0"/>
    </xf>
    <xf numFmtId="0" fontId="30" fillId="0" borderId="15"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2" fontId="9" fillId="0" borderId="15" xfId="0" applyNumberFormat="1" applyFont="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168" fontId="9" fillId="6" borderId="4" xfId="0" applyNumberFormat="1" applyFont="1" applyFill="1" applyBorder="1" applyAlignment="1" applyProtection="1">
      <alignment horizontal="center" vertical="center"/>
      <protection locked="0"/>
    </xf>
    <xf numFmtId="0" fontId="12" fillId="6" borderId="4" xfId="0" applyFont="1" applyFill="1" applyBorder="1" applyAlignment="1" applyProtection="1">
      <alignment horizontal="center" vertical="center"/>
      <protection locked="0"/>
    </xf>
    <xf numFmtId="166" fontId="9" fillId="0" borderId="5" xfId="0" applyNumberFormat="1" applyFont="1" applyBorder="1" applyAlignment="1" applyProtection="1">
      <alignment horizontal="center" vertical="center" wrapText="1"/>
      <protection locked="0"/>
    </xf>
    <xf numFmtId="166" fontId="9" fillId="0" borderId="5" xfId="0" applyNumberFormat="1"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8" borderId="4" xfId="0" applyFont="1" applyFill="1" applyBorder="1" applyAlignment="1">
      <alignment horizontal="center" vertical="center"/>
    </xf>
    <xf numFmtId="2" fontId="8" fillId="8" borderId="4" xfId="0" applyNumberFormat="1" applyFont="1" applyFill="1" applyBorder="1" applyAlignment="1">
      <alignment horizontal="center" vertical="center"/>
    </xf>
    <xf numFmtId="170"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xf numFmtId="0" fontId="4" fillId="0" borderId="8" xfId="0" applyFont="1" applyBorder="1"/>
    <xf numFmtId="49" fontId="4" fillId="0" borderId="5" xfId="0" applyNumberFormat="1" applyFont="1" applyBorder="1" applyAlignment="1" applyProtection="1">
      <alignment horizontal="center" vertical="center"/>
      <protection locked="0"/>
    </xf>
    <xf numFmtId="165" fontId="4" fillId="0" borderId="8"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horizontal="center" vertical="center"/>
      <protection locked="0"/>
    </xf>
    <xf numFmtId="165" fontId="4" fillId="2" borderId="6" xfId="0" applyNumberFormat="1" applyFont="1" applyFill="1" applyBorder="1" applyAlignment="1">
      <alignment horizontal="center" vertical="center"/>
    </xf>
    <xf numFmtId="165" fontId="4" fillId="0" borderId="7"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4"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vertical="center"/>
      <protection locked="0"/>
    </xf>
    <xf numFmtId="2" fontId="9" fillId="0" borderId="20" xfId="0" applyNumberFormat="1" applyFont="1" applyBorder="1" applyAlignment="1" applyProtection="1">
      <alignment horizontal="center" vertical="center"/>
      <protection locked="0"/>
    </xf>
    <xf numFmtId="2" fontId="9" fillId="0" borderId="21" xfId="0" applyNumberFormat="1" applyFont="1" applyBorder="1" applyAlignment="1" applyProtection="1">
      <alignment horizontal="center" vertical="center"/>
      <protection locked="0"/>
    </xf>
    <xf numFmtId="2" fontId="8" fillId="2" borderId="5" xfId="0" applyNumberFormat="1" applyFont="1" applyFill="1" applyBorder="1" applyAlignment="1">
      <alignment horizontal="center" vertical="center"/>
    </xf>
    <xf numFmtId="2" fontId="8" fillId="2" borderId="8" xfId="0" applyNumberFormat="1" applyFont="1" applyFill="1" applyBorder="1" applyAlignment="1" applyProtection="1">
      <alignment horizontal="center" vertical="center"/>
      <protection locked="0"/>
    </xf>
    <xf numFmtId="49" fontId="10" fillId="0" borderId="5" xfId="0" applyNumberFormat="1" applyFont="1" applyBorder="1" applyAlignment="1" applyProtection="1">
      <alignment horizontal="center" vertical="top" wrapText="1"/>
      <protection locked="0"/>
    </xf>
    <xf numFmtId="49" fontId="10" fillId="0" borderId="8" xfId="0" applyNumberFormat="1" applyFont="1" applyBorder="1" applyAlignment="1" applyProtection="1">
      <alignment horizontal="center" vertical="top" wrapText="1"/>
      <protection locked="0"/>
    </xf>
    <xf numFmtId="0" fontId="12" fillId="0" borderId="0" xfId="0" applyFont="1" applyAlignment="1" applyProtection="1">
      <alignment horizontal="center" vertical="center"/>
      <protection locked="0"/>
    </xf>
    <xf numFmtId="0" fontId="30" fillId="0" borderId="10" xfId="0" applyFont="1" applyBorder="1" applyAlignment="1" applyProtection="1">
      <alignment horizontal="center" vertical="center"/>
      <protection locked="0"/>
    </xf>
    <xf numFmtId="0" fontId="30" fillId="0" borderId="8" xfId="0" applyFont="1" applyBorder="1" applyAlignment="1" applyProtection="1">
      <alignment horizontal="center" vertical="center"/>
      <protection locked="0"/>
    </xf>
    <xf numFmtId="2" fontId="9" fillId="8" borderId="14" xfId="0" applyNumberFormat="1" applyFont="1" applyFill="1" applyBorder="1" applyAlignment="1" applyProtection="1">
      <alignment horizontal="center" vertical="center" wrapText="1"/>
      <protection locked="0"/>
    </xf>
    <xf numFmtId="2" fontId="9" fillId="8" borderId="16" xfId="0" applyNumberFormat="1" applyFont="1" applyFill="1" applyBorder="1" applyAlignment="1" applyProtection="1">
      <alignment horizontal="center" vertical="center" wrapText="1"/>
      <protection locked="0"/>
    </xf>
    <xf numFmtId="2" fontId="9" fillId="8" borderId="17"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14"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4" fillId="0" borderId="4" xfId="0" applyFont="1" applyBorder="1" applyAlignment="1" applyProtection="1">
      <alignment horizontal="center" wrapText="1"/>
      <protection locked="0"/>
    </xf>
    <xf numFmtId="0" fontId="10" fillId="2" borderId="5" xfId="0" applyFont="1" applyFill="1" applyBorder="1" applyAlignment="1">
      <alignment horizontal="center" vertical="top" wrapText="1"/>
    </xf>
    <xf numFmtId="0" fontId="10" fillId="2" borderId="10" xfId="0" applyFont="1" applyFill="1" applyBorder="1" applyAlignment="1">
      <alignment horizontal="center" vertical="top" wrapText="1"/>
    </xf>
    <xf numFmtId="0" fontId="10" fillId="2" borderId="8" xfId="0" applyFont="1" applyFill="1" applyBorder="1" applyAlignment="1">
      <alignment horizontal="center" vertical="top" wrapText="1"/>
    </xf>
    <xf numFmtId="0" fontId="4" fillId="0" borderId="4" xfId="0" applyFont="1" applyBorder="1" applyAlignment="1" applyProtection="1">
      <alignment horizontal="center" vertical="center" wrapText="1"/>
      <protection locked="0"/>
    </xf>
    <xf numFmtId="0" fontId="10" fillId="4" borderId="0" xfId="0" applyFont="1" applyFill="1" applyAlignment="1" applyProtection="1">
      <alignment horizontal="center" vertical="center" wrapText="1"/>
      <protection locked="0"/>
    </xf>
    <xf numFmtId="0" fontId="26"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169" fontId="4" fillId="2" borderId="10" xfId="0" applyNumberFormat="1" applyFont="1" applyFill="1" applyBorder="1" applyAlignment="1">
      <alignment horizontal="center" vertical="top" wrapText="1"/>
    </xf>
    <xf numFmtId="169" fontId="4" fillId="2" borderId="8" xfId="0" applyNumberFormat="1"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8" xfId="0" applyFont="1" applyFill="1" applyBorder="1" applyAlignment="1">
      <alignment horizontal="center" vertical="top" wrapText="1"/>
    </xf>
    <xf numFmtId="0" fontId="8" fillId="7" borderId="4"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protection locked="0"/>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shrinkToFit="1"/>
      <protection locked="0"/>
    </xf>
    <xf numFmtId="0" fontId="8" fillId="0" borderId="8" xfId="0" applyFont="1" applyBorder="1" applyAlignment="1" applyProtection="1">
      <alignment horizontal="center" vertical="center" wrapText="1" shrinkToFit="1"/>
      <protection locked="0"/>
    </xf>
    <xf numFmtId="0" fontId="8" fillId="7" borderId="5" xfId="0" applyFont="1" applyFill="1" applyBorder="1" applyAlignment="1" applyProtection="1">
      <alignment horizontal="center" vertical="center" wrapText="1"/>
      <protection locked="0"/>
    </xf>
    <xf numFmtId="0" fontId="8" fillId="7" borderId="8" xfId="0" applyFont="1" applyFill="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6" fillId="0" borderId="8"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164" fontId="4" fillId="2" borderId="8" xfId="0" applyNumberFormat="1" applyFont="1" applyFill="1" applyBorder="1" applyAlignment="1">
      <alignment horizontal="center" vertical="center"/>
    </xf>
    <xf numFmtId="14" fontId="30" fillId="0" borderId="5" xfId="0" applyNumberFormat="1" applyFont="1" applyBorder="1" applyAlignment="1" applyProtection="1">
      <alignment horizontal="center" vertical="top"/>
      <protection locked="0"/>
    </xf>
    <xf numFmtId="0" fontId="17" fillId="0" borderId="5" xfId="0" applyFont="1" applyBorder="1" applyAlignment="1" applyProtection="1">
      <alignment horizontal="center" vertical="top"/>
      <protection locked="0"/>
    </xf>
    <xf numFmtId="0" fontId="30" fillId="0" borderId="5" xfId="0" applyFont="1" applyBorder="1" applyAlignment="1" applyProtection="1">
      <alignment horizontal="center" vertical="top" wrapText="1"/>
      <protection locked="0"/>
    </xf>
    <xf numFmtId="0" fontId="30" fillId="0" borderId="10" xfId="0" applyFont="1" applyBorder="1" applyAlignment="1" applyProtection="1">
      <alignment horizontal="center" vertical="top"/>
      <protection locked="0"/>
    </xf>
    <xf numFmtId="0" fontId="17" fillId="0" borderId="10" xfId="0" applyFont="1" applyBorder="1" applyAlignment="1" applyProtection="1">
      <alignment horizontal="center" vertical="top"/>
      <protection locked="0"/>
    </xf>
    <xf numFmtId="0" fontId="30" fillId="0" borderId="10" xfId="0" applyFont="1" applyBorder="1" applyAlignment="1" applyProtection="1">
      <alignment horizontal="center" vertical="top" wrapText="1"/>
      <protection locked="0"/>
    </xf>
    <xf numFmtId="0" fontId="30" fillId="0" borderId="8" xfId="0" applyFont="1" applyBorder="1" applyAlignment="1" applyProtection="1">
      <alignment horizontal="center" vertical="top"/>
      <protection locked="0"/>
    </xf>
    <xf numFmtId="0" fontId="17" fillId="0" borderId="8" xfId="0" applyFont="1" applyBorder="1" applyAlignment="1" applyProtection="1">
      <alignment horizontal="center" vertical="top"/>
      <protection locked="0"/>
    </xf>
    <xf numFmtId="0" fontId="30" fillId="0" borderId="8" xfId="0" applyFont="1" applyBorder="1" applyAlignment="1" applyProtection="1">
      <alignment horizontal="center" vertical="top" wrapText="1"/>
      <protection locked="0"/>
    </xf>
  </cellXfs>
  <cellStyles count="4">
    <cellStyle name="Įprastas" xfId="0" builtinId="0"/>
    <cellStyle name="Įprastas 2" xfId="1" xr:uid="{B3CEE587-CD0A-486A-A8B7-19073BBFBDDF}"/>
    <cellStyle name="Procentai 2" xfId="2" xr:uid="{B97C0199-08F7-4955-9EE8-7033B80147B3}"/>
    <cellStyle name="Procentai 2 2" xfId="3" xr:uid="{D5ECD849-1A8E-4458-AB2F-7A877B23E1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58BE-2006-42BB-8F0B-A2F613982E7B}">
  <sheetPr codeName="Lapas1"/>
  <dimension ref="B1:E10"/>
  <sheetViews>
    <sheetView workbookViewId="0"/>
  </sheetViews>
  <sheetFormatPr defaultRowHeight="12.75" x14ac:dyDescent="0.2"/>
  <cols>
    <col min="1" max="1" width="1.140625" customWidth="1"/>
    <col min="2" max="2" width="64.42578125" customWidth="1"/>
    <col min="3" max="3" width="1.5703125" customWidth="1"/>
    <col min="4" max="4" width="5.5703125" customWidth="1"/>
    <col min="5" max="5" width="16" customWidth="1"/>
  </cols>
  <sheetData>
    <row r="1" spans="2:5" x14ac:dyDescent="0.2">
      <c r="B1" s="1" t="s">
        <v>0</v>
      </c>
      <c r="C1" s="1"/>
      <c r="D1" s="5"/>
      <c r="E1" s="5"/>
    </row>
    <row r="2" spans="2:5" x14ac:dyDescent="0.2">
      <c r="B2" s="1" t="s">
        <v>1</v>
      </c>
      <c r="C2" s="1"/>
      <c r="D2" s="5"/>
      <c r="E2" s="5"/>
    </row>
    <row r="3" spans="2:5" x14ac:dyDescent="0.2">
      <c r="B3" s="2"/>
      <c r="C3" s="2"/>
      <c r="D3" s="6"/>
      <c r="E3" s="6"/>
    </row>
    <row r="4" spans="2:5" ht="38.25" x14ac:dyDescent="0.2">
      <c r="B4" s="2" t="s">
        <v>2</v>
      </c>
      <c r="C4" s="2"/>
      <c r="D4" s="6"/>
      <c r="E4" s="6"/>
    </row>
    <row r="5" spans="2:5" x14ac:dyDescent="0.2">
      <c r="B5" s="2"/>
      <c r="C5" s="2"/>
      <c r="D5" s="6"/>
      <c r="E5" s="6"/>
    </row>
    <row r="6" spans="2:5" x14ac:dyDescent="0.2">
      <c r="B6" s="1" t="s">
        <v>3</v>
      </c>
      <c r="C6" s="1"/>
      <c r="D6" s="5"/>
      <c r="E6" s="5" t="s">
        <v>4</v>
      </c>
    </row>
    <row r="7" spans="2:5" ht="13.5" thickBot="1" x14ac:dyDescent="0.25">
      <c r="B7" s="2"/>
      <c r="C7" s="2"/>
      <c r="D7" s="6"/>
      <c r="E7" s="6"/>
    </row>
    <row r="8" spans="2:5" ht="39" thickBot="1" x14ac:dyDescent="0.25">
      <c r="B8" s="3" t="s">
        <v>5</v>
      </c>
      <c r="C8" s="4"/>
      <c r="D8" s="7"/>
      <c r="E8" s="8">
        <v>1</v>
      </c>
    </row>
    <row r="9" spans="2:5" x14ac:dyDescent="0.2">
      <c r="B9" s="2"/>
      <c r="C9" s="2"/>
      <c r="D9" s="6"/>
      <c r="E9" s="6"/>
    </row>
    <row r="10" spans="2:5" x14ac:dyDescent="0.2">
      <c r="B10" s="2"/>
      <c r="C10" s="2"/>
      <c r="D10" s="6"/>
      <c r="E10" s="6"/>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8AA73-39E5-446A-B7DA-8D6634C4EC86}">
  <dimension ref="A2:AB26"/>
  <sheetViews>
    <sheetView tabSelected="1" zoomScale="80" zoomScaleNormal="80" workbookViewId="0">
      <selection activeCell="AD6" sqref="AD6"/>
    </sheetView>
  </sheetViews>
  <sheetFormatPr defaultColWidth="9.140625" defaultRowHeight="15.75" x14ac:dyDescent="0.2"/>
  <cols>
    <col min="1" max="2" width="11.28515625" style="171" customWidth="1"/>
    <col min="3" max="3" width="15.85546875" style="171" customWidth="1"/>
    <col min="4" max="4" width="9.85546875" style="171" customWidth="1"/>
    <col min="5" max="5" width="11.5703125" style="171" customWidth="1"/>
    <col min="6" max="6" width="11.42578125" style="171" customWidth="1"/>
    <col min="7" max="7" width="10.5703125" style="171" customWidth="1"/>
    <col min="8" max="12" width="9.140625" style="171"/>
    <col min="13" max="13" width="11.140625" style="171" customWidth="1"/>
    <col min="14" max="14" width="11.42578125" style="171" customWidth="1"/>
    <col min="15" max="15" width="9.140625" style="171"/>
    <col min="16" max="16" width="10.5703125" style="171" customWidth="1"/>
    <col min="17" max="17" width="9.5703125" style="171" bestFit="1" customWidth="1"/>
    <col min="18" max="18" width="9.140625" style="171"/>
    <col min="19" max="19" width="11.28515625" style="171" customWidth="1"/>
    <col min="20" max="20" width="11.7109375" style="171" customWidth="1"/>
    <col min="21" max="21" width="10" style="171" customWidth="1"/>
    <col min="22" max="22" width="11.7109375" style="171" customWidth="1"/>
    <col min="23" max="23" width="11.42578125" style="171" customWidth="1"/>
    <col min="24" max="24" width="9.5703125" style="171" customWidth="1"/>
    <col min="25" max="26" width="10.28515625" style="171" customWidth="1"/>
    <col min="27" max="27" width="9.140625" style="171"/>
    <col min="28" max="28" width="10.7109375" style="171" customWidth="1"/>
    <col min="29" max="16384" width="9.140625" style="171"/>
  </cols>
  <sheetData>
    <row r="2" spans="1:28" x14ac:dyDescent="0.2">
      <c r="D2" s="244" t="s">
        <v>108</v>
      </c>
      <c r="E2" s="244"/>
      <c r="F2" s="244"/>
      <c r="G2" s="244"/>
      <c r="H2" s="244"/>
      <c r="I2" s="244"/>
      <c r="J2" s="244"/>
      <c r="K2" s="244"/>
      <c r="L2" s="244"/>
      <c r="M2" s="244"/>
      <c r="N2" s="244"/>
      <c r="O2" s="244"/>
      <c r="P2" s="244"/>
      <c r="Q2" s="244"/>
      <c r="R2" s="244"/>
      <c r="S2" s="244"/>
      <c r="T2" s="244"/>
      <c r="U2" s="244"/>
      <c r="V2" s="244"/>
      <c r="W2" s="244"/>
      <c r="X2" s="244"/>
      <c r="Y2" s="244"/>
      <c r="Z2" s="244"/>
    </row>
    <row r="4" spans="1:28" s="10" customFormat="1" ht="150" x14ac:dyDescent="0.2">
      <c r="A4" s="9" t="s">
        <v>8</v>
      </c>
      <c r="B4" s="9" t="s">
        <v>80</v>
      </c>
      <c r="C4" s="9" t="s">
        <v>9</v>
      </c>
      <c r="D4" s="44" t="s">
        <v>109</v>
      </c>
      <c r="E4" s="44" t="s">
        <v>110</v>
      </c>
      <c r="F4" s="44" t="s">
        <v>111</v>
      </c>
      <c r="G4" s="9" t="s">
        <v>112</v>
      </c>
      <c r="H4" s="9" t="s">
        <v>113</v>
      </c>
      <c r="I4" s="9" t="s">
        <v>114</v>
      </c>
      <c r="J4" s="9" t="s">
        <v>115</v>
      </c>
      <c r="K4" s="9" t="s">
        <v>116</v>
      </c>
      <c r="L4" s="9" t="s">
        <v>117</v>
      </c>
      <c r="M4" s="9" t="s">
        <v>118</v>
      </c>
      <c r="N4" s="9" t="s">
        <v>119</v>
      </c>
      <c r="O4" s="9" t="s">
        <v>120</v>
      </c>
      <c r="P4" s="9" t="s">
        <v>121</v>
      </c>
      <c r="Q4" s="9" t="s">
        <v>122</v>
      </c>
      <c r="R4" s="9" t="s">
        <v>123</v>
      </c>
      <c r="S4" s="9" t="s">
        <v>124</v>
      </c>
      <c r="T4" s="9" t="s">
        <v>22</v>
      </c>
      <c r="U4" s="172" t="s">
        <v>125</v>
      </c>
      <c r="V4" s="172" t="s">
        <v>126</v>
      </c>
      <c r="W4" s="173" t="s">
        <v>23</v>
      </c>
      <c r="X4" s="9" t="s">
        <v>127</v>
      </c>
      <c r="Y4" s="9" t="s">
        <v>128</v>
      </c>
      <c r="Z4" s="9" t="s">
        <v>129</v>
      </c>
      <c r="AA4" s="174" t="s">
        <v>130</v>
      </c>
      <c r="AB4" s="175" t="s">
        <v>131</v>
      </c>
    </row>
    <row r="5" spans="1:28" x14ac:dyDescent="0.2">
      <c r="A5" s="285">
        <v>46063</v>
      </c>
      <c r="B5" s="286">
        <v>5</v>
      </c>
      <c r="C5" s="287" t="s">
        <v>140</v>
      </c>
      <c r="D5" s="177">
        <v>5</v>
      </c>
      <c r="E5" s="178">
        <v>0.73</v>
      </c>
      <c r="F5" s="178">
        <v>0.61</v>
      </c>
      <c r="G5" s="98">
        <v>0.82699999999999996</v>
      </c>
      <c r="H5" s="179">
        <f>Paėmimas!V9</f>
        <v>63.033333333333339</v>
      </c>
      <c r="I5" s="13">
        <v>1012</v>
      </c>
      <c r="J5" s="180">
        <v>0.35</v>
      </c>
      <c r="K5" s="181">
        <f>SUM(I5:J5)</f>
        <v>1012.35</v>
      </c>
      <c r="L5" s="182">
        <f>AA5*22.4</f>
        <v>29.52251008</v>
      </c>
      <c r="M5" s="72">
        <f>G5*129*(SQRT(E5*(273+H5)/(I5+J5)/L5))</f>
        <v>9.6650887553236231</v>
      </c>
      <c r="N5" s="72">
        <f>G5*129*(SQRT(F5*(273+H5)/(I5+J5)/L5))</f>
        <v>8.8350565576759319</v>
      </c>
      <c r="O5" s="72">
        <f>AVERAGE(M5:N11)</f>
        <v>10.098211086686707</v>
      </c>
      <c r="P5" s="180">
        <v>1.2</v>
      </c>
      <c r="Q5" s="184">
        <f>+(3.14*P5*P5/4)</f>
        <v>1.1303999999999998</v>
      </c>
      <c r="R5" s="185">
        <f>O5*Q5</f>
        <v>11.415017812390651</v>
      </c>
      <c r="S5" s="185">
        <f>+(I5+J5)/(273+H5)*0.269*R5</f>
        <v>9.2507554596523729</v>
      </c>
      <c r="T5" s="186">
        <f>H2O!I7</f>
        <v>1.4999999999999999E-2</v>
      </c>
      <c r="U5" s="187">
        <f>T5/(1.29*W5)</f>
        <v>0.12493956371121842</v>
      </c>
      <c r="V5" s="188">
        <f>S5*1/(1+(U5*1.29/0.8038))</f>
        <v>7.7056712028060366</v>
      </c>
      <c r="W5" s="189">
        <f>H2O!H7</f>
        <v>9.3068253412670637E-2</v>
      </c>
      <c r="X5" s="190">
        <v>7.9000000000000001E-2</v>
      </c>
      <c r="Y5" s="191">
        <f>V5*X5</f>
        <v>0.60874802502167691</v>
      </c>
      <c r="Z5" s="192">
        <f>O5*X5</f>
        <v>0.79775867584824989</v>
      </c>
      <c r="AA5" s="193">
        <f>Aerodinamika!G27</f>
        <v>1.3179692000000001</v>
      </c>
      <c r="AB5" s="242" t="s">
        <v>139</v>
      </c>
    </row>
    <row r="6" spans="1:28" x14ac:dyDescent="0.2">
      <c r="A6" s="288"/>
      <c r="B6" s="289"/>
      <c r="C6" s="290"/>
      <c r="D6" s="177">
        <v>16</v>
      </c>
      <c r="E6" s="178">
        <v>0.87</v>
      </c>
      <c r="F6" s="178">
        <v>0.76</v>
      </c>
      <c r="G6" s="194">
        <f>(G5)</f>
        <v>0.82699999999999996</v>
      </c>
      <c r="H6" s="179">
        <f t="shared" ref="H6:J6" si="0">(H5)</f>
        <v>63.033333333333339</v>
      </c>
      <c r="I6" s="195">
        <f t="shared" si="0"/>
        <v>1012</v>
      </c>
      <c r="J6" s="196">
        <f t="shared" si="0"/>
        <v>0.35</v>
      </c>
      <c r="K6" s="181">
        <f t="shared" ref="K6:K11" si="1">SUM(I6:J6)</f>
        <v>1012.35</v>
      </c>
      <c r="L6" s="182">
        <f>AA5*22.4</f>
        <v>29.52251008</v>
      </c>
      <c r="M6" s="72">
        <f t="shared" ref="M6:M11" si="2">G6*129*(SQRT(E6*(273+H6)/(I6+J6)/L6))</f>
        <v>10.551253146635817</v>
      </c>
      <c r="N6" s="72">
        <f t="shared" ref="N6:N11" si="3">G6*129*(SQRT(F6*(273+H6)/(I6+J6)/L6))</f>
        <v>9.8616869609626541</v>
      </c>
      <c r="O6" s="197"/>
      <c r="P6" s="239">
        <v>0</v>
      </c>
      <c r="Q6" s="199">
        <f>+(P7*P6)</f>
        <v>0</v>
      </c>
      <c r="R6" s="185">
        <f>O5*Q6</f>
        <v>0</v>
      </c>
      <c r="S6" s="185">
        <f>+(I5+J5)/(273+H5)*0.269*R6</f>
        <v>0</v>
      </c>
      <c r="T6" s="186">
        <f>H2O!I7</f>
        <v>1.4999999999999999E-2</v>
      </c>
      <c r="U6" s="187">
        <f>T6/(1.29*W6)</f>
        <v>0.12493956371121842</v>
      </c>
      <c r="V6" s="188">
        <f>S6*(1/(1+(U6*1.29/0.8038)))</f>
        <v>0</v>
      </c>
      <c r="W6" s="189">
        <f>H2O!H7</f>
        <v>9.3068253412670637E-2</v>
      </c>
      <c r="X6" s="190">
        <v>7.9000000000000001E-2</v>
      </c>
      <c r="Y6" s="191">
        <f>V6*X6</f>
        <v>0</v>
      </c>
      <c r="Z6" s="192">
        <f>O5*X6</f>
        <v>0.79775867584824989</v>
      </c>
      <c r="AB6" s="243"/>
    </row>
    <row r="7" spans="1:28" x14ac:dyDescent="0.2">
      <c r="A7" s="288"/>
      <c r="B7" s="289"/>
      <c r="C7" s="290"/>
      <c r="D7" s="200">
        <v>31</v>
      </c>
      <c r="E7" s="178">
        <v>0.94</v>
      </c>
      <c r="F7" s="178">
        <v>0.78</v>
      </c>
      <c r="G7" s="194">
        <f>(G5)</f>
        <v>0.82699999999999996</v>
      </c>
      <c r="H7" s="179">
        <f t="shared" ref="H7:J7" si="4">(H5)</f>
        <v>63.033333333333339</v>
      </c>
      <c r="I7" s="195">
        <f t="shared" si="4"/>
        <v>1012</v>
      </c>
      <c r="J7" s="196">
        <f t="shared" si="4"/>
        <v>0.35</v>
      </c>
      <c r="K7" s="201">
        <f t="shared" si="1"/>
        <v>1012.35</v>
      </c>
      <c r="L7" s="182">
        <f>AA5*22.4</f>
        <v>29.52251008</v>
      </c>
      <c r="M7" s="202">
        <f t="shared" si="2"/>
        <v>10.967517682796174</v>
      </c>
      <c r="N7" s="202">
        <f t="shared" si="3"/>
        <v>9.9906033732292308</v>
      </c>
      <c r="O7" s="203"/>
      <c r="P7" s="238">
        <v>0</v>
      </c>
      <c r="Q7" s="205"/>
      <c r="R7" s="176"/>
      <c r="S7" s="176"/>
    </row>
    <row r="8" spans="1:28" x14ac:dyDescent="0.2">
      <c r="A8" s="288"/>
      <c r="B8" s="289"/>
      <c r="C8" s="290"/>
      <c r="D8" s="177">
        <v>60</v>
      </c>
      <c r="E8" s="178">
        <v>0.92</v>
      </c>
      <c r="F8" s="178">
        <v>0.87</v>
      </c>
      <c r="G8" s="194">
        <f>(G5)</f>
        <v>0.82699999999999996</v>
      </c>
      <c r="H8" s="179">
        <f t="shared" ref="H8:J8" si="5">(H5)</f>
        <v>63.033333333333339</v>
      </c>
      <c r="I8" s="195">
        <f t="shared" si="5"/>
        <v>1012</v>
      </c>
      <c r="J8" s="196">
        <f t="shared" si="5"/>
        <v>0.35</v>
      </c>
      <c r="K8" s="181">
        <f t="shared" si="1"/>
        <v>1012.35</v>
      </c>
      <c r="L8" s="182">
        <f>AA5*22.4</f>
        <v>29.52251008</v>
      </c>
      <c r="M8" s="202">
        <f t="shared" si="2"/>
        <v>10.850214655816185</v>
      </c>
      <c r="N8" s="202">
        <f t="shared" si="3"/>
        <v>10.551253146635817</v>
      </c>
      <c r="O8" s="206"/>
      <c r="P8" s="206"/>
      <c r="Q8" s="206"/>
      <c r="R8" s="206"/>
      <c r="S8" s="206"/>
      <c r="W8" s="207" t="s">
        <v>132</v>
      </c>
      <c r="AA8" s="207" t="s">
        <v>132</v>
      </c>
    </row>
    <row r="9" spans="1:28" x14ac:dyDescent="0.2">
      <c r="A9" s="288"/>
      <c r="B9" s="289"/>
      <c r="C9" s="290"/>
      <c r="D9" s="177">
        <v>89</v>
      </c>
      <c r="E9" s="178">
        <v>0.86</v>
      </c>
      <c r="F9" s="178">
        <v>0.82</v>
      </c>
      <c r="G9" s="194">
        <f>(G5)</f>
        <v>0.82699999999999996</v>
      </c>
      <c r="H9" s="179">
        <f t="shared" ref="H9:J9" si="6">(H5)</f>
        <v>63.033333333333339</v>
      </c>
      <c r="I9" s="195">
        <f t="shared" si="6"/>
        <v>1012</v>
      </c>
      <c r="J9" s="196">
        <f t="shared" si="6"/>
        <v>0.35</v>
      </c>
      <c r="K9" s="181">
        <f t="shared" si="1"/>
        <v>1012.35</v>
      </c>
      <c r="L9" s="182">
        <f>AA5*22.4</f>
        <v>29.52251008</v>
      </c>
      <c r="M9" s="202">
        <f t="shared" si="2"/>
        <v>10.490438500930884</v>
      </c>
      <c r="N9" s="202">
        <f t="shared" si="3"/>
        <v>10.243570073538624</v>
      </c>
    </row>
    <row r="10" spans="1:28" x14ac:dyDescent="0.2">
      <c r="A10" s="288"/>
      <c r="B10" s="289"/>
      <c r="C10" s="290"/>
      <c r="D10" s="177">
        <v>104</v>
      </c>
      <c r="E10" s="178">
        <v>0.77</v>
      </c>
      <c r="F10" s="178">
        <v>0.81</v>
      </c>
      <c r="G10" s="194">
        <f>(G5)</f>
        <v>0.82699999999999996</v>
      </c>
      <c r="H10" s="179">
        <f t="shared" ref="H10:J10" si="7">(H5)</f>
        <v>63.033333333333339</v>
      </c>
      <c r="I10" s="195">
        <f t="shared" si="7"/>
        <v>1012</v>
      </c>
      <c r="J10" s="196">
        <f t="shared" si="7"/>
        <v>0.35</v>
      </c>
      <c r="K10" s="181">
        <f t="shared" si="1"/>
        <v>1012.35</v>
      </c>
      <c r="L10" s="182">
        <f>AA5*22.4</f>
        <v>29.52251008</v>
      </c>
      <c r="M10" s="202">
        <f t="shared" si="2"/>
        <v>9.9263544536048087</v>
      </c>
      <c r="N10" s="202">
        <f t="shared" si="3"/>
        <v>10.180917681079487</v>
      </c>
    </row>
    <row r="11" spans="1:28" x14ac:dyDescent="0.2">
      <c r="A11" s="291"/>
      <c r="B11" s="292"/>
      <c r="C11" s="293"/>
      <c r="D11" s="177">
        <v>115</v>
      </c>
      <c r="E11" s="178">
        <v>0.7</v>
      </c>
      <c r="F11" s="178">
        <v>0.75</v>
      </c>
      <c r="G11" s="194">
        <f>(G5)</f>
        <v>0.82699999999999996</v>
      </c>
      <c r="H11" s="179">
        <f t="shared" ref="H11:J11" si="8">(H5)</f>
        <v>63.033333333333339</v>
      </c>
      <c r="I11" s="195">
        <f t="shared" si="8"/>
        <v>1012</v>
      </c>
      <c r="J11" s="196">
        <f t="shared" si="8"/>
        <v>0.35</v>
      </c>
      <c r="K11" s="181">
        <f t="shared" si="1"/>
        <v>1012.35</v>
      </c>
      <c r="L11" s="182">
        <f>AA5*22.4</f>
        <v>29.52251008</v>
      </c>
      <c r="M11" s="202">
        <f t="shared" si="2"/>
        <v>9.4644076191035573</v>
      </c>
      <c r="N11" s="202">
        <f t="shared" si="3"/>
        <v>9.796592606281104</v>
      </c>
    </row>
    <row r="12" spans="1:28" x14ac:dyDescent="0.2">
      <c r="A12" s="206"/>
      <c r="B12" s="206"/>
      <c r="C12" s="206"/>
      <c r="D12" s="206"/>
      <c r="E12" s="208"/>
      <c r="F12" s="178"/>
      <c r="G12" s="209"/>
      <c r="H12" s="206"/>
      <c r="I12" s="206"/>
      <c r="J12" s="206"/>
      <c r="K12" s="206"/>
      <c r="L12" s="206"/>
      <c r="M12" s="206"/>
      <c r="N12" s="180"/>
      <c r="O12" s="171" t="s">
        <v>133</v>
      </c>
      <c r="P12" s="171" t="s">
        <v>134</v>
      </c>
    </row>
    <row r="13" spans="1:28" x14ac:dyDescent="0.2">
      <c r="D13" s="200" t="s">
        <v>135</v>
      </c>
      <c r="E13" s="247" t="s">
        <v>136</v>
      </c>
      <c r="F13" s="248"/>
      <c r="G13" s="248"/>
      <c r="H13" s="248"/>
      <c r="I13" s="248"/>
      <c r="J13" s="248"/>
      <c r="K13" s="248"/>
      <c r="L13" s="248"/>
      <c r="M13" s="248"/>
      <c r="N13" s="249"/>
    </row>
    <row r="14" spans="1:28" x14ac:dyDescent="0.2">
      <c r="A14" s="206"/>
      <c r="B14" s="206"/>
      <c r="C14" s="206"/>
      <c r="E14" s="210"/>
      <c r="F14" s="210"/>
      <c r="G14" s="211"/>
      <c r="N14" s="212"/>
    </row>
    <row r="15" spans="1:28" x14ac:dyDescent="0.2">
      <c r="A15" s="213"/>
      <c r="B15" s="213"/>
      <c r="C15" s="213"/>
      <c r="E15" s="210"/>
      <c r="F15" s="210"/>
      <c r="G15" s="211"/>
      <c r="N15" s="212"/>
      <c r="P15" s="171" t="s">
        <v>137</v>
      </c>
    </row>
    <row r="16" spans="1:28" x14ac:dyDescent="0.2">
      <c r="A16" s="206"/>
      <c r="B16" s="206"/>
      <c r="C16" s="206"/>
      <c r="E16" s="37"/>
      <c r="F16" s="37"/>
      <c r="N16" s="212"/>
    </row>
    <row r="17" spans="1:28" x14ac:dyDescent="0.2">
      <c r="A17" s="206"/>
      <c r="B17" s="206"/>
      <c r="C17" s="206"/>
      <c r="D17" s="250" t="s">
        <v>138</v>
      </c>
      <c r="E17" s="244"/>
      <c r="F17" s="244"/>
      <c r="G17" s="244"/>
      <c r="H17" s="244"/>
      <c r="I17" s="244"/>
      <c r="J17" s="244"/>
      <c r="K17" s="244"/>
      <c r="L17" s="244"/>
      <c r="M17" s="244"/>
      <c r="N17" s="244"/>
      <c r="O17" s="244"/>
      <c r="P17" s="244"/>
      <c r="Q17" s="244"/>
      <c r="R17" s="244"/>
      <c r="S17" s="244"/>
      <c r="T17" s="244"/>
      <c r="U17" s="244"/>
      <c r="V17" s="244"/>
      <c r="W17" s="244"/>
      <c r="X17" s="244"/>
      <c r="Y17" s="244"/>
      <c r="Z17" s="244"/>
    </row>
    <row r="18" spans="1:28" x14ac:dyDescent="0.2">
      <c r="A18" s="206"/>
      <c r="B18" s="206"/>
      <c r="C18" s="206"/>
      <c r="D18" s="214"/>
      <c r="E18" s="215"/>
      <c r="F18" s="215"/>
      <c r="G18" s="214"/>
      <c r="H18" s="214"/>
      <c r="I18" s="214"/>
      <c r="J18" s="214"/>
      <c r="K18" s="214"/>
      <c r="L18" s="214"/>
      <c r="M18" s="214"/>
      <c r="N18" s="216"/>
      <c r="O18" s="214"/>
    </row>
    <row r="19" spans="1:28" s="10" customFormat="1" ht="150" x14ac:dyDescent="0.2">
      <c r="A19" s="9" t="s">
        <v>8</v>
      </c>
      <c r="B19" s="9" t="s">
        <v>80</v>
      </c>
      <c r="C19" s="9" t="s">
        <v>9</v>
      </c>
      <c r="D19" s="62" t="s">
        <v>109</v>
      </c>
      <c r="E19" s="62" t="s">
        <v>110</v>
      </c>
      <c r="F19" s="62" t="s">
        <v>111</v>
      </c>
      <c r="G19" s="217" t="s">
        <v>112</v>
      </c>
      <c r="H19" s="217" t="s">
        <v>113</v>
      </c>
      <c r="I19" s="217" t="s">
        <v>114</v>
      </c>
      <c r="J19" s="217" t="s">
        <v>115</v>
      </c>
      <c r="K19" s="217" t="s">
        <v>116</v>
      </c>
      <c r="L19" s="217" t="s">
        <v>117</v>
      </c>
      <c r="M19" s="217" t="s">
        <v>118</v>
      </c>
      <c r="N19" s="217" t="s">
        <v>119</v>
      </c>
      <c r="O19" s="217" t="s">
        <v>120</v>
      </c>
      <c r="P19" s="9" t="s">
        <v>121</v>
      </c>
      <c r="Q19" s="9" t="s">
        <v>122</v>
      </c>
      <c r="R19" s="9" t="s">
        <v>123</v>
      </c>
      <c r="S19" s="9" t="s">
        <v>124</v>
      </c>
      <c r="T19" s="9" t="s">
        <v>22</v>
      </c>
      <c r="U19" s="172" t="s">
        <v>125</v>
      </c>
      <c r="V19" s="172" t="s">
        <v>126</v>
      </c>
      <c r="W19" s="173" t="s">
        <v>23</v>
      </c>
      <c r="X19" s="9" t="s">
        <v>127</v>
      </c>
      <c r="Y19" s="9" t="s">
        <v>128</v>
      </c>
      <c r="Z19" s="9" t="s">
        <v>129</v>
      </c>
      <c r="AA19" s="174" t="s">
        <v>130</v>
      </c>
      <c r="AB19" s="175" t="s">
        <v>131</v>
      </c>
    </row>
    <row r="20" spans="1:28" ht="16.5" thickBot="1" x14ac:dyDescent="0.25">
      <c r="A20" s="251"/>
      <c r="B20" s="251"/>
      <c r="C20" s="251"/>
      <c r="D20" s="177">
        <v>3</v>
      </c>
      <c r="E20" s="208"/>
      <c r="F20" s="208"/>
      <c r="G20" s="98"/>
      <c r="H20" s="13">
        <v>17.899999999999999</v>
      </c>
      <c r="I20" s="13">
        <v>1007</v>
      </c>
      <c r="J20" s="13">
        <v>-9.6000000000000002E-2</v>
      </c>
      <c r="K20" s="181">
        <f>SUM(I20:J20)</f>
        <v>1006.904</v>
      </c>
      <c r="L20" s="182">
        <f>AA20*22.4</f>
        <v>30.24</v>
      </c>
      <c r="M20" s="180">
        <v>14.003518772244314</v>
      </c>
      <c r="N20" s="180">
        <v>14.062233993167203</v>
      </c>
      <c r="O20" s="72">
        <f>AVERAGE(M20:N26)</f>
        <v>12.857283983302674</v>
      </c>
      <c r="P20" s="183">
        <v>0.3</v>
      </c>
      <c r="Q20" s="184">
        <f>+(3.14*P20*P20/4)</f>
        <v>7.0649999999999991E-2</v>
      </c>
      <c r="R20" s="185">
        <f>O20*Q20</f>
        <v>0.90836711342033383</v>
      </c>
      <c r="S20" s="185">
        <f>+(I20+J20)/(273+H20)*0.269*R20</f>
        <v>0.84578120011104629</v>
      </c>
      <c r="T20" s="46">
        <v>0</v>
      </c>
      <c r="U20" s="187">
        <f>T20/(1.29*W20)</f>
        <v>0</v>
      </c>
      <c r="V20" s="188">
        <f>S20*1/(1+(U20*1.29/0.8038))</f>
        <v>0.84578120011104629</v>
      </c>
      <c r="W20" s="218">
        <v>1</v>
      </c>
      <c r="X20" s="177">
        <v>8.3000000000000004E-2</v>
      </c>
      <c r="Y20" s="188">
        <f>V20*X20</f>
        <v>7.0199839609216844E-2</v>
      </c>
      <c r="Z20" s="188">
        <f>O20*X20</f>
        <v>1.0671545706141219</v>
      </c>
      <c r="AA20" s="219">
        <v>1.35</v>
      </c>
      <c r="AB20" s="242"/>
    </row>
    <row r="21" spans="1:28" x14ac:dyDescent="0.2">
      <c r="A21" s="245"/>
      <c r="B21" s="245"/>
      <c r="C21" s="245"/>
      <c r="D21" s="177">
        <v>15</v>
      </c>
      <c r="E21" s="208"/>
      <c r="F21" s="208"/>
      <c r="G21" s="98"/>
      <c r="H21" s="13">
        <v>17.899999999999999</v>
      </c>
      <c r="I21" s="13">
        <v>1007</v>
      </c>
      <c r="J21" s="13">
        <v>-9.6000000000000002E-2</v>
      </c>
      <c r="K21" s="181">
        <f t="shared" ref="K21:K26" si="9">SUM(I21:J21)</f>
        <v>1006.904</v>
      </c>
      <c r="L21" s="182">
        <f>AA20*22.4</f>
        <v>30.24</v>
      </c>
      <c r="M21" s="180">
        <v>13.216505159941187</v>
      </c>
      <c r="N21" s="180">
        <v>13.71</v>
      </c>
      <c r="O21" s="197"/>
      <c r="P21" s="198">
        <v>0.35</v>
      </c>
      <c r="Q21" s="199">
        <f>+(P22*P21)</f>
        <v>0.105</v>
      </c>
      <c r="R21" s="185">
        <f>O20*Q21</f>
        <v>1.3500148182467806</v>
      </c>
      <c r="S21" s="185">
        <f>+(I20+J20)/(273+H20)*0.269*R21</f>
        <v>1.2569996604622768</v>
      </c>
      <c r="T21" s="46">
        <v>0</v>
      </c>
      <c r="U21" s="187">
        <f>T21/(1.29*W21)</f>
        <v>0</v>
      </c>
      <c r="V21" s="188">
        <f>S21*(1/(1+(U21*1.29/0.8038)))</f>
        <v>1.2569996604622768</v>
      </c>
      <c r="W21" s="218">
        <v>1</v>
      </c>
      <c r="X21" s="177">
        <v>8.3000000000000004E-2</v>
      </c>
      <c r="Y21" s="188">
        <f>V21*X21</f>
        <v>0.10433097181836898</v>
      </c>
      <c r="Z21" s="188">
        <f>O20*X21</f>
        <v>1.0671545706141219</v>
      </c>
      <c r="AB21" s="243"/>
    </row>
    <row r="22" spans="1:28" x14ac:dyDescent="0.2">
      <c r="A22" s="245"/>
      <c r="B22" s="245"/>
      <c r="C22" s="245"/>
      <c r="D22" s="200">
        <v>27</v>
      </c>
      <c r="E22" s="220"/>
      <c r="F22" s="220"/>
      <c r="G22" s="221"/>
      <c r="H22" s="222">
        <v>17.899999999999999</v>
      </c>
      <c r="I22" s="13">
        <v>1007</v>
      </c>
      <c r="J22" s="222">
        <v>-9.6000000000000002E-2</v>
      </c>
      <c r="K22" s="201">
        <f t="shared" si="9"/>
        <v>1006.904</v>
      </c>
      <c r="L22" s="182">
        <f>AA20*22.4</f>
        <v>30.24</v>
      </c>
      <c r="M22" s="183">
        <v>13.944556326058235</v>
      </c>
      <c r="N22" s="183">
        <v>13.825877092706785</v>
      </c>
      <c r="O22" s="203"/>
      <c r="P22" s="204">
        <v>0.3</v>
      </c>
      <c r="Q22" s="205"/>
      <c r="R22" s="176"/>
      <c r="S22" s="176"/>
    </row>
    <row r="23" spans="1:28" x14ac:dyDescent="0.2">
      <c r="A23" s="245"/>
      <c r="B23" s="245"/>
      <c r="C23" s="245"/>
      <c r="D23" s="177">
        <v>4</v>
      </c>
      <c r="E23" s="208"/>
      <c r="F23" s="208"/>
      <c r="G23" s="98"/>
      <c r="H23" s="222">
        <v>17.899999999999999</v>
      </c>
      <c r="I23" s="13">
        <v>1007</v>
      </c>
      <c r="J23" s="13">
        <v>-9.6000000000000002E-2</v>
      </c>
      <c r="K23" s="181">
        <f t="shared" si="9"/>
        <v>1006.904</v>
      </c>
      <c r="L23" s="182">
        <f>AA20*22.4</f>
        <v>30.24</v>
      </c>
      <c r="M23" s="183">
        <v>12.57764444969207</v>
      </c>
      <c r="N23" s="183">
        <v>12.772658318644339</v>
      </c>
      <c r="O23" s="206"/>
      <c r="P23" s="206"/>
      <c r="Q23" s="206"/>
      <c r="R23" s="206"/>
      <c r="S23" s="206"/>
      <c r="W23" s="207" t="s">
        <v>132</v>
      </c>
      <c r="AA23" s="207" t="s">
        <v>132</v>
      </c>
    </row>
    <row r="24" spans="1:28" x14ac:dyDescent="0.2">
      <c r="A24" s="245"/>
      <c r="B24" s="245"/>
      <c r="C24" s="245"/>
      <c r="D24" s="177">
        <v>5</v>
      </c>
      <c r="E24" s="208"/>
      <c r="F24" s="208"/>
      <c r="G24" s="98"/>
      <c r="H24" s="222">
        <v>17.899999999999999</v>
      </c>
      <c r="I24" s="13">
        <v>1007</v>
      </c>
      <c r="J24" s="13">
        <v>-9.6000000000000002E-2</v>
      </c>
      <c r="K24" s="181">
        <f t="shared" si="9"/>
        <v>1006.904</v>
      </c>
      <c r="L24" s="182">
        <f>AA20*22.4</f>
        <v>30.24</v>
      </c>
      <c r="M24" s="183">
        <v>11.481765975626663</v>
      </c>
      <c r="N24" s="183">
        <v>11.973560791885415</v>
      </c>
    </row>
    <row r="25" spans="1:28" x14ac:dyDescent="0.2">
      <c r="A25" s="245"/>
      <c r="B25" s="245"/>
      <c r="C25" s="245"/>
      <c r="D25" s="177">
        <v>6</v>
      </c>
      <c r="E25" s="208"/>
      <c r="F25" s="208"/>
      <c r="G25" s="98"/>
      <c r="H25" s="222">
        <v>17.899999999999999</v>
      </c>
      <c r="I25" s="13">
        <v>1007</v>
      </c>
      <c r="J25" s="13">
        <v>-9.6000000000000002E-2</v>
      </c>
      <c r="K25" s="181">
        <f t="shared" si="9"/>
        <v>1006.904</v>
      </c>
      <c r="L25" s="182">
        <f>AA20*22.4</f>
        <v>30.24</v>
      </c>
      <c r="M25" s="183">
        <v>12.042177747856238</v>
      </c>
      <c r="N25" s="183">
        <v>12.445937737064785</v>
      </c>
    </row>
    <row r="26" spans="1:28" x14ac:dyDescent="0.2">
      <c r="A26" s="246"/>
      <c r="B26" s="246"/>
      <c r="C26" s="246"/>
      <c r="D26" s="177">
        <v>7</v>
      </c>
      <c r="E26" s="208"/>
      <c r="F26" s="208"/>
      <c r="G26" s="98"/>
      <c r="H26" s="13">
        <v>17.899999999999999</v>
      </c>
      <c r="I26" s="13">
        <v>1007</v>
      </c>
      <c r="J26" s="13">
        <v>-9.6000000000000002E-2</v>
      </c>
      <c r="K26" s="181">
        <f t="shared" si="9"/>
        <v>1006.904</v>
      </c>
      <c r="L26" s="182">
        <f>AA20*22.4</f>
        <v>30.24</v>
      </c>
      <c r="M26" s="180">
        <v>11.835133471532936</v>
      </c>
      <c r="N26" s="180">
        <v>12.110405929817222</v>
      </c>
    </row>
  </sheetData>
  <sheetProtection algorithmName="SHA-512" hashValue="YnNuFyjIZWP4o8siiNLOxJuXYMQvqdvZ9OrGGKpnMs1jyahS3pGpSVhE713S/7NZQvFDz0ZfCGMwTjhjC08CdQ==" saltValue="gCAgvRWICbIOkCsyhMCWFQ==" spinCount="100000" sheet="1" formatCells="0" formatColumns="0" formatRows="0"/>
  <mergeCells count="11">
    <mergeCell ref="AB20:AB21"/>
    <mergeCell ref="D2:Z2"/>
    <mergeCell ref="A5:A11"/>
    <mergeCell ref="B5:B11"/>
    <mergeCell ref="C5:C11"/>
    <mergeCell ref="AB5:AB6"/>
    <mergeCell ref="E13:N13"/>
    <mergeCell ref="D17:Z17"/>
    <mergeCell ref="A20:A26"/>
    <mergeCell ref="B20:B26"/>
    <mergeCell ref="C20:C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CE6F-4AAF-42E1-A4E9-B039A4011BD6}">
  <dimension ref="A1:L26"/>
  <sheetViews>
    <sheetView zoomScale="90" zoomScaleNormal="90" workbookViewId="0">
      <selection activeCell="E25" sqref="E25"/>
    </sheetView>
  </sheetViews>
  <sheetFormatPr defaultColWidth="9.140625" defaultRowHeight="12.75" x14ac:dyDescent="0.2"/>
  <cols>
    <col min="1" max="1" width="12.42578125" style="38" customWidth="1"/>
    <col min="2" max="2" width="8.42578125" style="38" customWidth="1"/>
    <col min="3" max="4" width="9.140625" style="38"/>
    <col min="5" max="5" width="10.7109375" style="38" customWidth="1"/>
    <col min="6" max="6" width="9.140625" style="38"/>
    <col min="7" max="7" width="11.28515625" style="38" customWidth="1"/>
    <col min="8" max="8" width="12.28515625" style="38" customWidth="1"/>
    <col min="9" max="9" width="10.85546875" style="38" customWidth="1"/>
    <col min="10" max="10" width="10.5703125" style="38" customWidth="1"/>
    <col min="11" max="16384" width="9.140625" style="38"/>
  </cols>
  <sheetData>
    <row r="1" spans="1:12" ht="15.75" x14ac:dyDescent="0.2">
      <c r="A1" s="37"/>
      <c r="B1" s="10"/>
      <c r="C1" s="10"/>
      <c r="D1" s="10"/>
      <c r="E1" s="10"/>
      <c r="F1" s="10"/>
      <c r="G1" s="10"/>
      <c r="H1" s="10"/>
      <c r="I1" s="10"/>
    </row>
    <row r="2" spans="1:12" ht="15.75" x14ac:dyDescent="0.2">
      <c r="A2" s="39"/>
      <c r="B2" s="10"/>
      <c r="C2" s="10"/>
      <c r="D2" s="10"/>
      <c r="E2" s="10"/>
      <c r="F2" s="10"/>
      <c r="G2" s="10"/>
      <c r="H2" s="10"/>
      <c r="I2" s="10"/>
    </row>
    <row r="3" spans="1:12" ht="23.25" customHeight="1" x14ac:dyDescent="0.2">
      <c r="A3" s="252" t="s">
        <v>107</v>
      </c>
      <c r="B3" s="252"/>
      <c r="C3" s="252"/>
      <c r="D3" s="252"/>
      <c r="E3" s="252"/>
      <c r="F3" s="252"/>
      <c r="G3" s="252"/>
      <c r="H3" s="252"/>
      <c r="I3" s="252"/>
      <c r="J3" s="252"/>
    </row>
    <row r="4" spans="1:12" ht="15" x14ac:dyDescent="0.2">
      <c r="A4" s="10"/>
      <c r="B4" s="10"/>
      <c r="C4" s="10"/>
      <c r="D4" s="10"/>
      <c r="E4" s="10"/>
      <c r="F4" s="10"/>
      <c r="G4" s="10"/>
      <c r="H4" s="10"/>
      <c r="I4" s="10"/>
    </row>
    <row r="5" spans="1:12" ht="90" x14ac:dyDescent="0.2">
      <c r="A5" s="9"/>
      <c r="B5" s="9" t="s">
        <v>33</v>
      </c>
      <c r="C5" s="9" t="s">
        <v>19</v>
      </c>
      <c r="D5" s="9" t="s">
        <v>20</v>
      </c>
      <c r="E5" s="9" t="s">
        <v>18</v>
      </c>
      <c r="F5" s="9" t="s">
        <v>34</v>
      </c>
      <c r="G5" s="9" t="s">
        <v>35</v>
      </c>
      <c r="H5" s="9" t="s">
        <v>23</v>
      </c>
      <c r="I5" s="9" t="s">
        <v>22</v>
      </c>
      <c r="J5" s="44" t="s">
        <v>67</v>
      </c>
      <c r="K5" s="44" t="s">
        <v>102</v>
      </c>
      <c r="L5" s="44" t="s">
        <v>6</v>
      </c>
    </row>
    <row r="6" spans="1:12" ht="17.25" customHeight="1" x14ac:dyDescent="0.2">
      <c r="A6" s="40"/>
      <c r="B6" s="9"/>
      <c r="C6" s="9"/>
      <c r="D6" s="9"/>
      <c r="E6" s="9"/>
      <c r="F6" s="9"/>
      <c r="G6" s="9"/>
      <c r="H6" s="9"/>
      <c r="I6" s="9"/>
      <c r="J6" s="53"/>
      <c r="K6" s="45"/>
      <c r="L6" s="45"/>
    </row>
    <row r="7" spans="1:12" ht="33" customHeight="1" x14ac:dyDescent="0.2">
      <c r="A7" s="40" t="s">
        <v>21</v>
      </c>
      <c r="B7" s="157">
        <v>10</v>
      </c>
      <c r="C7" s="158">
        <v>10</v>
      </c>
      <c r="D7" s="223">
        <f>Greitis!I5</f>
        <v>1012</v>
      </c>
      <c r="E7" s="159">
        <v>27.2</v>
      </c>
      <c r="F7" s="160">
        <v>12.7</v>
      </c>
      <c r="G7" s="72">
        <f>+(D7-E7)*B7*C7*0.27/(273+F7)</f>
        <v>93.068253412670643</v>
      </c>
      <c r="H7" s="73">
        <f>G7/1000</f>
        <v>9.3068253412670637E-2</v>
      </c>
      <c r="I7" s="161">
        <v>1.4999999999999999E-2</v>
      </c>
      <c r="J7" s="193">
        <f>Aerodinamika!G27</f>
        <v>1.3179692000000001</v>
      </c>
      <c r="K7" s="154">
        <f>(100*((I7/(H7*J7))/0.8038))/(((I7/(H7*J7))/0.8038)+(1/J7))</f>
        <v>16.702249492868962</v>
      </c>
      <c r="L7" s="45"/>
    </row>
    <row r="8" spans="1:12" ht="15.75" x14ac:dyDescent="0.2">
      <c r="A8" s="13"/>
      <c r="B8" s="97"/>
      <c r="C8" s="98"/>
      <c r="D8" s="13"/>
      <c r="E8" s="13"/>
      <c r="F8" s="41"/>
      <c r="G8" s="99"/>
      <c r="H8" s="100"/>
      <c r="I8" s="46"/>
      <c r="J8" s="53"/>
      <c r="K8" s="45"/>
      <c r="L8" s="45"/>
    </row>
    <row r="9" spans="1:12" ht="15.75" x14ac:dyDescent="0.2">
      <c r="A9" s="13"/>
      <c r="B9" s="97"/>
      <c r="C9" s="98"/>
      <c r="D9" s="13"/>
      <c r="E9" s="13"/>
      <c r="F9" s="41"/>
      <c r="G9" s="99"/>
      <c r="H9" s="100"/>
      <c r="I9" s="46"/>
      <c r="J9" s="53"/>
      <c r="K9" s="45"/>
      <c r="L9" s="45"/>
    </row>
    <row r="10" spans="1:12" ht="42.75" customHeight="1" x14ac:dyDescent="0.2">
      <c r="A10" s="102"/>
      <c r="B10" s="97"/>
      <c r="C10" s="13"/>
      <c r="D10" s="13"/>
      <c r="E10" s="13"/>
      <c r="F10" s="41"/>
      <c r="G10" s="101"/>
      <c r="H10" s="103"/>
      <c r="I10" s="104"/>
      <c r="J10" s="53"/>
      <c r="K10" s="45"/>
      <c r="L10" s="45"/>
    </row>
    <row r="11" spans="1:12" ht="12.75" customHeight="1" x14ac:dyDescent="0.2">
      <c r="H11" s="253" t="s">
        <v>26</v>
      </c>
      <c r="I11" s="256" t="s">
        <v>27</v>
      </c>
    </row>
    <row r="12" spans="1:12" ht="12.75" customHeight="1" x14ac:dyDescent="0.2">
      <c r="H12" s="254"/>
      <c r="I12" s="257"/>
    </row>
    <row r="13" spans="1:12" ht="12.75" customHeight="1" x14ac:dyDescent="0.2">
      <c r="H13" s="254"/>
      <c r="I13" s="257"/>
    </row>
    <row r="14" spans="1:12" x14ac:dyDescent="0.2">
      <c r="H14" s="254"/>
      <c r="I14" s="257"/>
    </row>
    <row r="15" spans="1:12" x14ac:dyDescent="0.2">
      <c r="H15" s="254"/>
      <c r="I15" s="257"/>
    </row>
    <row r="16" spans="1:12" x14ac:dyDescent="0.2">
      <c r="H16" s="254"/>
      <c r="I16" s="257"/>
    </row>
    <row r="17" spans="8:9" x14ac:dyDescent="0.2">
      <c r="H17" s="254"/>
      <c r="I17" s="257"/>
    </row>
    <row r="18" spans="8:9" x14ac:dyDescent="0.2">
      <c r="H18" s="255"/>
      <c r="I18" s="257"/>
    </row>
    <row r="19" spans="8:9" ht="12.75" customHeight="1" x14ac:dyDescent="0.2">
      <c r="I19" s="257"/>
    </row>
    <row r="20" spans="8:9" ht="12.75" customHeight="1" x14ac:dyDescent="0.2">
      <c r="I20" s="258"/>
    </row>
    <row r="21" spans="8:9" ht="12.75" customHeight="1" x14ac:dyDescent="0.2">
      <c r="I21" s="57"/>
    </row>
    <row r="22" spans="8:9" ht="12.75" customHeight="1" x14ac:dyDescent="0.2"/>
    <row r="23" spans="8:9" ht="15" x14ac:dyDescent="0.2">
      <c r="I23" s="56"/>
    </row>
    <row r="24" spans="8:9" ht="15" x14ac:dyDescent="0.2">
      <c r="I24" s="56"/>
    </row>
    <row r="25" spans="8:9" ht="15" x14ac:dyDescent="0.2">
      <c r="I25" s="56"/>
    </row>
    <row r="26" spans="8:9" ht="15" x14ac:dyDescent="0.2">
      <c r="I26" s="56"/>
    </row>
  </sheetData>
  <sheetProtection algorithmName="SHA-512" hashValue="hQ3yOpikEE6TmopgIPTO1YMAt0/2Ueb5eIRhUxMacMZt5ukufEkJMHB7hji/kIxix/VjbSRw+2CFQweRYYMAaw==" saltValue="M0qiBaHESse9/ZOAKtc2QA==" spinCount="100000" sheet="1" formatCells="0" formatColumns="0" formatRows="0"/>
  <mergeCells count="3">
    <mergeCell ref="A3:J3"/>
    <mergeCell ref="H11:H18"/>
    <mergeCell ref="I11: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EF9-C609-4FEA-8792-050D2DD22E64}">
  <sheetPr>
    <pageSetUpPr fitToPage="1"/>
  </sheetPr>
  <dimension ref="A1:V77"/>
  <sheetViews>
    <sheetView zoomScale="80" zoomScaleNormal="80" workbookViewId="0">
      <pane ySplit="5" topLeftCell="A6" activePane="bottomLeft" state="frozen"/>
      <selection pane="bottomLeft" activeCell="D31" sqref="D31"/>
    </sheetView>
  </sheetViews>
  <sheetFormatPr defaultColWidth="9.140625" defaultRowHeight="15" x14ac:dyDescent="0.25"/>
  <cols>
    <col min="1" max="2" width="13.28515625" style="14" customWidth="1"/>
    <col min="3" max="3" width="26.140625" style="14" customWidth="1"/>
    <col min="4" max="4" width="11.140625" style="14" customWidth="1"/>
    <col min="5" max="5" width="12.140625" style="14" customWidth="1"/>
    <col min="6" max="6" width="13.7109375" style="14" customWidth="1"/>
    <col min="7" max="7" width="10.85546875" style="14" customWidth="1"/>
    <col min="8" max="8" width="9.85546875" style="14" customWidth="1"/>
    <col min="9" max="9" width="8.85546875" style="14" customWidth="1"/>
    <col min="10" max="10" width="10.5703125" style="14" customWidth="1"/>
    <col min="11" max="11" width="10.42578125" style="14" customWidth="1"/>
    <col min="12" max="12" width="11.85546875" style="14" customWidth="1"/>
    <col min="13" max="13" width="9.85546875" style="14" customWidth="1"/>
    <col min="14" max="14" width="11.85546875" style="14" customWidth="1"/>
    <col min="15" max="15" width="12.85546875" style="14" customWidth="1"/>
    <col min="16" max="16" width="6.5703125" style="14" customWidth="1"/>
    <col min="17" max="17" width="7.7109375" style="14" customWidth="1"/>
    <col min="18" max="18" width="17.5703125" style="14" customWidth="1"/>
    <col min="19" max="19" width="14.85546875" style="14" customWidth="1"/>
    <col min="20" max="20" width="10.42578125" style="14" customWidth="1"/>
    <col min="21" max="21" width="11.140625" style="14" customWidth="1"/>
    <col min="22" max="22" width="13.42578125" style="14" customWidth="1"/>
    <col min="23" max="16384" width="9.140625" style="14"/>
  </cols>
  <sheetData>
    <row r="1" spans="1:22" ht="30" customHeight="1" x14ac:dyDescent="0.25">
      <c r="C1" s="264" t="s">
        <v>14</v>
      </c>
      <c r="D1" s="264"/>
      <c r="E1" s="15"/>
      <c r="S1" s="16"/>
    </row>
    <row r="2" spans="1:22" ht="19.5" customHeight="1" x14ac:dyDescent="0.25">
      <c r="A2" s="265" t="s">
        <v>97</v>
      </c>
      <c r="B2" s="265"/>
      <c r="C2" s="265"/>
      <c r="D2" s="265"/>
      <c r="E2" s="265"/>
      <c r="F2" s="265"/>
      <c r="G2" s="265"/>
      <c r="H2" s="265"/>
      <c r="I2" s="265"/>
      <c r="J2" s="265"/>
      <c r="K2" s="265"/>
      <c r="L2" s="265"/>
      <c r="M2" s="265"/>
      <c r="N2" s="265"/>
      <c r="O2" s="265"/>
      <c r="P2" s="265"/>
      <c r="Q2" s="265"/>
      <c r="R2" s="265"/>
      <c r="S2" s="265"/>
    </row>
    <row r="3" spans="1:22" ht="19.5" customHeight="1" x14ac:dyDescent="0.25">
      <c r="A3" s="17"/>
      <c r="B3" s="17"/>
      <c r="C3" s="18"/>
      <c r="D3" s="18"/>
      <c r="E3" s="18"/>
      <c r="F3" s="18"/>
      <c r="G3" s="18"/>
      <c r="H3" s="18"/>
      <c r="I3" s="18"/>
      <c r="J3" s="18"/>
      <c r="K3" s="18"/>
      <c r="L3" s="18"/>
      <c r="M3" s="18"/>
      <c r="N3" s="18"/>
      <c r="O3" s="18"/>
      <c r="P3" s="18"/>
      <c r="Q3" s="18"/>
      <c r="R3" s="18"/>
      <c r="S3" s="18"/>
    </row>
    <row r="4" spans="1:22" ht="19.5" customHeight="1" x14ac:dyDescent="0.25">
      <c r="T4" s="26"/>
    </row>
    <row r="5" spans="1:22" ht="100.5" customHeight="1" x14ac:dyDescent="0.25">
      <c r="A5" s="11" t="s">
        <v>8</v>
      </c>
      <c r="B5" s="11" t="s">
        <v>45</v>
      </c>
      <c r="C5" s="11" t="s">
        <v>9</v>
      </c>
      <c r="D5" s="48" t="s">
        <v>46</v>
      </c>
      <c r="E5" s="48" t="s">
        <v>47</v>
      </c>
      <c r="F5" s="48" t="s">
        <v>48</v>
      </c>
      <c r="G5" s="48" t="s">
        <v>49</v>
      </c>
      <c r="H5" s="48" t="s">
        <v>50</v>
      </c>
      <c r="I5" s="48" t="s">
        <v>51</v>
      </c>
      <c r="J5" s="48" t="s">
        <v>52</v>
      </c>
      <c r="K5" s="48" t="s">
        <v>53</v>
      </c>
      <c r="L5" s="48" t="s">
        <v>54</v>
      </c>
      <c r="M5" s="48" t="s">
        <v>55</v>
      </c>
      <c r="N5" s="48" t="s">
        <v>56</v>
      </c>
      <c r="O5" s="48" t="s">
        <v>57</v>
      </c>
      <c r="P5" s="48" t="s">
        <v>58</v>
      </c>
      <c r="Q5" s="48" t="s">
        <v>59</v>
      </c>
      <c r="R5" s="48" t="s">
        <v>11</v>
      </c>
      <c r="S5" s="48" t="s">
        <v>6</v>
      </c>
      <c r="T5" s="162" t="s">
        <v>60</v>
      </c>
      <c r="U5" s="162" t="s">
        <v>61</v>
      </c>
      <c r="V5" s="12" t="s">
        <v>62</v>
      </c>
    </row>
    <row r="6" spans="1:22" ht="15.75" x14ac:dyDescent="0.25">
      <c r="A6" s="83">
        <f>Greitis!A5</f>
        <v>46063</v>
      </c>
      <c r="B6" s="229" t="s">
        <v>141</v>
      </c>
      <c r="C6" s="260" t="str">
        <f>Greitis!C5</f>
        <v>UAB ,,Ekopartneris", L. Ivinskio g. 65, Kaunas. Katilinė. Taršos šaltinis  Nr. 001.</v>
      </c>
      <c r="D6" s="166">
        <v>1.2</v>
      </c>
      <c r="E6" s="167">
        <v>1.1304000000000001</v>
      </c>
      <c r="F6" s="78">
        <f>V9</f>
        <v>63.033333333333339</v>
      </c>
      <c r="G6" s="224">
        <f>Greitis!M5</f>
        <v>9.6650887553236231</v>
      </c>
      <c r="H6" s="223">
        <f>Greitis!I5</f>
        <v>1012</v>
      </c>
      <c r="I6" s="196">
        <f>Greitis!J5</f>
        <v>0.35</v>
      </c>
      <c r="J6" s="164">
        <v>58.6</v>
      </c>
      <c r="K6" s="164">
        <v>5</v>
      </c>
      <c r="L6" s="58">
        <f>M6*N6/1000</f>
        <v>3.3000000000000002E-2</v>
      </c>
      <c r="M6" s="169">
        <v>3</v>
      </c>
      <c r="N6" s="168">
        <v>11</v>
      </c>
      <c r="O6" s="164">
        <v>13.4</v>
      </c>
      <c r="P6" s="82">
        <f>T9</f>
        <v>7.94</v>
      </c>
      <c r="Q6" s="82">
        <f>U9</f>
        <v>7.3999999999999995</v>
      </c>
      <c r="R6" s="42" t="s">
        <v>103</v>
      </c>
      <c r="S6" s="43" t="s">
        <v>104</v>
      </c>
      <c r="T6" s="163">
        <v>7.92</v>
      </c>
      <c r="U6" s="163">
        <v>7.41</v>
      </c>
      <c r="V6" s="164">
        <v>63.1</v>
      </c>
    </row>
    <row r="7" spans="1:22" x14ac:dyDescent="0.25">
      <c r="A7" s="225"/>
      <c r="B7" s="226"/>
      <c r="C7" s="261"/>
      <c r="D7" s="19"/>
      <c r="E7" s="20"/>
      <c r="F7" s="78">
        <f t="shared" ref="F7:H7" si="0">(F6)</f>
        <v>63.033333333333339</v>
      </c>
      <c r="G7" s="224">
        <f>Greitis!M6</f>
        <v>10.551253146635817</v>
      </c>
      <c r="H7" s="79">
        <f t="shared" si="0"/>
        <v>1012</v>
      </c>
      <c r="I7" s="82">
        <f t="shared" ref="I7" si="1">(I6)</f>
        <v>0.35</v>
      </c>
      <c r="J7" s="164">
        <v>72.400000000000006</v>
      </c>
      <c r="K7" s="78">
        <f t="shared" ref="K7:M7" si="2">(K6)</f>
        <v>5</v>
      </c>
      <c r="L7" s="58">
        <f>M7*N7/1000</f>
        <v>3.5999999999999997E-2</v>
      </c>
      <c r="M7" s="79">
        <f t="shared" si="2"/>
        <v>3</v>
      </c>
      <c r="N7" s="168">
        <v>12</v>
      </c>
      <c r="O7" s="164">
        <v>12.9</v>
      </c>
      <c r="P7" s="82">
        <f t="shared" ref="P7" si="3">(P6)</f>
        <v>7.94</v>
      </c>
      <c r="Q7" s="82">
        <f t="shared" ref="Q7" si="4">(Q6)</f>
        <v>7.3999999999999995</v>
      </c>
      <c r="R7" s="23"/>
      <c r="S7" s="51"/>
      <c r="T7" s="163">
        <v>7.94</v>
      </c>
      <c r="U7" s="163">
        <v>7.4</v>
      </c>
      <c r="V7" s="164">
        <v>62.7</v>
      </c>
    </row>
    <row r="8" spans="1:22" x14ac:dyDescent="0.25">
      <c r="A8" s="225"/>
      <c r="B8" s="226"/>
      <c r="C8" s="261"/>
      <c r="D8" s="19"/>
      <c r="E8" s="20"/>
      <c r="F8" s="78">
        <f>(F6)</f>
        <v>63.033333333333339</v>
      </c>
      <c r="G8" s="224">
        <f>Greitis!M7</f>
        <v>10.967517682796174</v>
      </c>
      <c r="H8" s="79">
        <f>(H6)</f>
        <v>1012</v>
      </c>
      <c r="I8" s="82">
        <f t="shared" ref="I8:K8" si="5">(I6)</f>
        <v>0.35</v>
      </c>
      <c r="J8" s="164">
        <v>72.7</v>
      </c>
      <c r="K8" s="78">
        <f t="shared" si="5"/>
        <v>5</v>
      </c>
      <c r="L8" s="58">
        <f>M8*N8/1000</f>
        <v>3.5999999999999997E-2</v>
      </c>
      <c r="M8" s="79">
        <f t="shared" ref="M8" si="6">(M6)</f>
        <v>3</v>
      </c>
      <c r="N8" s="168">
        <v>12</v>
      </c>
      <c r="O8" s="164">
        <v>12.8</v>
      </c>
      <c r="P8" s="82">
        <f t="shared" ref="P8:Q8" si="7">(P6)</f>
        <v>7.94</v>
      </c>
      <c r="Q8" s="82">
        <f t="shared" si="7"/>
        <v>7.3999999999999995</v>
      </c>
      <c r="R8" s="23"/>
      <c r="S8" s="51"/>
      <c r="T8" s="163">
        <v>7.96</v>
      </c>
      <c r="U8" s="163">
        <v>7.39</v>
      </c>
      <c r="V8" s="164">
        <v>63.3</v>
      </c>
    </row>
    <row r="9" spans="1:22" x14ac:dyDescent="0.25">
      <c r="A9" s="227"/>
      <c r="B9" s="227"/>
      <c r="C9" s="261"/>
      <c r="D9" s="49"/>
      <c r="E9" s="49"/>
      <c r="F9" s="78">
        <f>(F6)</f>
        <v>63.033333333333339</v>
      </c>
      <c r="G9" s="224">
        <f>Greitis!M8</f>
        <v>10.850214655816185</v>
      </c>
      <c r="H9" s="79">
        <f>(H6)</f>
        <v>1012</v>
      </c>
      <c r="I9" s="82">
        <f t="shared" ref="I9:K9" si="8">(I6)</f>
        <v>0.35</v>
      </c>
      <c r="J9" s="164">
        <v>73.900000000000006</v>
      </c>
      <c r="K9" s="78">
        <f t="shared" si="8"/>
        <v>5</v>
      </c>
      <c r="L9" s="58">
        <f t="shared" ref="L9:L12" si="9">M9*N9/1000</f>
        <v>3.5999999999999997E-2</v>
      </c>
      <c r="M9" s="79">
        <f t="shared" ref="M9" si="10">(M6)</f>
        <v>3</v>
      </c>
      <c r="N9" s="168">
        <v>12</v>
      </c>
      <c r="O9" s="164">
        <v>12.9</v>
      </c>
      <c r="P9" s="82">
        <f t="shared" ref="P9:Q9" si="11">(P6)</f>
        <v>7.94</v>
      </c>
      <c r="Q9" s="82">
        <f t="shared" si="11"/>
        <v>7.3999999999999995</v>
      </c>
      <c r="R9" s="49"/>
      <c r="S9" s="49"/>
      <c r="T9" s="91">
        <f>AVERAGE(T6:T8)</f>
        <v>7.94</v>
      </c>
      <c r="U9" s="91">
        <f>AVERAGE(U6:U8)</f>
        <v>7.3999999999999995</v>
      </c>
      <c r="V9" s="165">
        <f>AVERAGE(V6:V8)</f>
        <v>63.033333333333339</v>
      </c>
    </row>
    <row r="10" spans="1:22" ht="15" customHeight="1" x14ac:dyDescent="0.25">
      <c r="A10" s="227"/>
      <c r="B10" s="227"/>
      <c r="C10" s="261"/>
      <c r="D10" s="49"/>
      <c r="E10" s="49"/>
      <c r="F10" s="78">
        <f>(F6)</f>
        <v>63.033333333333339</v>
      </c>
      <c r="G10" s="224">
        <f>Greitis!M9</f>
        <v>10.490438500930884</v>
      </c>
      <c r="H10" s="79">
        <f>(H6)</f>
        <v>1012</v>
      </c>
      <c r="I10" s="82">
        <f t="shared" ref="I10:K10" si="12">(I6)</f>
        <v>0.35</v>
      </c>
      <c r="J10" s="164">
        <v>75.099999999999994</v>
      </c>
      <c r="K10" s="78">
        <f t="shared" si="12"/>
        <v>5</v>
      </c>
      <c r="L10" s="58">
        <f t="shared" si="9"/>
        <v>3.5999999999999997E-2</v>
      </c>
      <c r="M10" s="79">
        <f t="shared" ref="M10" si="13">(M6)</f>
        <v>3</v>
      </c>
      <c r="N10" s="168">
        <v>12</v>
      </c>
      <c r="O10" s="164">
        <v>13.1</v>
      </c>
      <c r="P10" s="82">
        <f t="shared" ref="P10:Q10" si="14">(P6)</f>
        <v>7.94</v>
      </c>
      <c r="Q10" s="82">
        <f t="shared" si="14"/>
        <v>7.3999999999999995</v>
      </c>
      <c r="R10" s="49"/>
      <c r="S10" s="49"/>
      <c r="T10" s="263" t="s">
        <v>28</v>
      </c>
      <c r="U10" s="263" t="s">
        <v>29</v>
      </c>
      <c r="V10" s="259" t="s">
        <v>36</v>
      </c>
    </row>
    <row r="11" spans="1:22" x14ac:dyDescent="0.25">
      <c r="A11" s="227"/>
      <c r="B11" s="227"/>
      <c r="C11" s="261"/>
      <c r="D11" s="49"/>
      <c r="E11" s="49"/>
      <c r="F11" s="78">
        <f>(F6)</f>
        <v>63.033333333333339</v>
      </c>
      <c r="G11" s="224">
        <f>Greitis!M10</f>
        <v>9.9263544536048087</v>
      </c>
      <c r="H11" s="79">
        <f>(H6)</f>
        <v>1012</v>
      </c>
      <c r="I11" s="82">
        <f t="shared" ref="I11:K11" si="15">(I6)</f>
        <v>0.35</v>
      </c>
      <c r="J11" s="164">
        <v>67.5</v>
      </c>
      <c r="K11" s="78">
        <f t="shared" si="15"/>
        <v>5</v>
      </c>
      <c r="L11" s="58">
        <f t="shared" si="9"/>
        <v>3.3000000000000002E-2</v>
      </c>
      <c r="M11" s="79">
        <f t="shared" ref="M11" si="16">(M6)</f>
        <v>3</v>
      </c>
      <c r="N11" s="168">
        <v>11</v>
      </c>
      <c r="O11" s="164">
        <v>13.2</v>
      </c>
      <c r="P11" s="82">
        <f t="shared" ref="P11:Q11" si="17">(P6)</f>
        <v>7.94</v>
      </c>
      <c r="Q11" s="82">
        <f t="shared" si="17"/>
        <v>7.3999999999999995</v>
      </c>
      <c r="R11" s="49"/>
      <c r="S11" s="49"/>
      <c r="T11" s="263"/>
      <c r="U11" s="263"/>
      <c r="V11" s="259"/>
    </row>
    <row r="12" spans="1:22" ht="15" customHeight="1" x14ac:dyDescent="0.25">
      <c r="A12" s="228"/>
      <c r="B12" s="228"/>
      <c r="C12" s="262"/>
      <c r="D12" s="34"/>
      <c r="E12" s="34"/>
      <c r="F12" s="78">
        <f>(F6)</f>
        <v>63.033333333333339</v>
      </c>
      <c r="G12" s="224">
        <f>Greitis!M11</f>
        <v>9.4644076191035573</v>
      </c>
      <c r="H12" s="79">
        <f>(H6)</f>
        <v>1012</v>
      </c>
      <c r="I12" s="82">
        <f t="shared" ref="I12:K12" si="18">(I6)</f>
        <v>0.35</v>
      </c>
      <c r="J12" s="164">
        <v>62.4</v>
      </c>
      <c r="K12" s="78">
        <f t="shared" si="18"/>
        <v>5</v>
      </c>
      <c r="L12" s="58">
        <f t="shared" si="9"/>
        <v>0.03</v>
      </c>
      <c r="M12" s="79">
        <f t="shared" ref="M12" si="19">(M6)</f>
        <v>3</v>
      </c>
      <c r="N12" s="168">
        <v>10</v>
      </c>
      <c r="O12" s="164">
        <v>13.4</v>
      </c>
      <c r="P12" s="82">
        <f t="shared" ref="P12:Q12" si="20">(P6)</f>
        <v>7.94</v>
      </c>
      <c r="Q12" s="82">
        <f t="shared" si="20"/>
        <v>7.3999999999999995</v>
      </c>
      <c r="R12" s="34"/>
      <c r="S12" s="34"/>
      <c r="T12" s="263"/>
      <c r="U12" s="263"/>
      <c r="V12" s="259"/>
    </row>
    <row r="13" spans="1:22" x14ac:dyDescent="0.25">
      <c r="L13" s="81">
        <f>SUM(L6:L12)</f>
        <v>0.24000000000000002</v>
      </c>
      <c r="M13" s="152">
        <f>SUM(M6:M12)</f>
        <v>21</v>
      </c>
      <c r="N13" s="152">
        <f>AVERAGE(N6:N12)</f>
        <v>11.428571428571429</v>
      </c>
    </row>
    <row r="14" spans="1:22" ht="30.75" customHeight="1" x14ac:dyDescent="0.25">
      <c r="L14" s="75" t="s">
        <v>25</v>
      </c>
      <c r="M14" s="47" t="s">
        <v>95</v>
      </c>
      <c r="N14" s="47" t="s">
        <v>145</v>
      </c>
    </row>
    <row r="15" spans="1:22" x14ac:dyDescent="0.25">
      <c r="A15" s="14" t="s">
        <v>12</v>
      </c>
    </row>
    <row r="17" spans="1:19" x14ac:dyDescent="0.25">
      <c r="A17" s="83">
        <f t="shared" ref="A17:F17" si="21">(A6)</f>
        <v>46063</v>
      </c>
      <c r="B17" s="84" t="str">
        <f t="shared" si="21"/>
        <v>3</v>
      </c>
      <c r="C17" s="260" t="str">
        <f t="shared" si="21"/>
        <v>UAB ,,Ekopartneris", L. Ivinskio g. 65, Kaunas. Katilinė. Taršos šaltinis  Nr. 001.</v>
      </c>
      <c r="D17" s="85">
        <f t="shared" si="21"/>
        <v>1.2</v>
      </c>
      <c r="E17" s="86">
        <f t="shared" si="21"/>
        <v>1.1304000000000001</v>
      </c>
      <c r="F17" s="78">
        <f t="shared" si="21"/>
        <v>63.033333333333339</v>
      </c>
      <c r="G17" s="224">
        <f>Greitis!N5</f>
        <v>8.8350565576759319</v>
      </c>
      <c r="H17" s="79">
        <f>(H6)</f>
        <v>1012</v>
      </c>
      <c r="I17" s="82">
        <f>(I6)</f>
        <v>0.35</v>
      </c>
      <c r="J17" s="164">
        <v>62.6</v>
      </c>
      <c r="K17" s="78">
        <f>(K6)</f>
        <v>5</v>
      </c>
      <c r="L17" s="58">
        <f>M17*N17/1000</f>
        <v>0.03</v>
      </c>
      <c r="M17" s="79">
        <f>(M6)</f>
        <v>3</v>
      </c>
      <c r="N17" s="168">
        <v>10</v>
      </c>
      <c r="O17" s="164">
        <v>13.7</v>
      </c>
      <c r="P17" s="82">
        <f>(P6)</f>
        <v>7.94</v>
      </c>
      <c r="Q17" s="82">
        <f>(Q6)</f>
        <v>7.3999999999999995</v>
      </c>
      <c r="R17" s="83" t="str">
        <f>(R6)</f>
        <v>S.Č., 2026-05-02</v>
      </c>
      <c r="S17" s="54" t="s">
        <v>105</v>
      </c>
    </row>
    <row r="18" spans="1:19" x14ac:dyDescent="0.25">
      <c r="A18" s="35"/>
      <c r="B18" s="32"/>
      <c r="C18" s="261"/>
      <c r="D18" s="19"/>
      <c r="E18" s="20"/>
      <c r="F18" s="78">
        <f>(F6)</f>
        <v>63.033333333333339</v>
      </c>
      <c r="G18" s="224">
        <f>Greitis!N6</f>
        <v>9.8616869609626541</v>
      </c>
      <c r="H18" s="79">
        <f>(H6)</f>
        <v>1012</v>
      </c>
      <c r="I18" s="82">
        <f>(I6)</f>
        <v>0.35</v>
      </c>
      <c r="J18" s="164">
        <v>67.599999999999994</v>
      </c>
      <c r="K18" s="78">
        <f>(K17)</f>
        <v>5</v>
      </c>
      <c r="L18" s="58">
        <f>M18*N18/1000</f>
        <v>3.3000000000000002E-2</v>
      </c>
      <c r="M18" s="79">
        <f>(M6)</f>
        <v>3</v>
      </c>
      <c r="N18" s="168">
        <v>11</v>
      </c>
      <c r="O18" s="164">
        <v>13.8</v>
      </c>
      <c r="P18" s="82">
        <f>(P6)</f>
        <v>7.94</v>
      </c>
      <c r="Q18" s="82">
        <f>(Q6)</f>
        <v>7.3999999999999995</v>
      </c>
      <c r="R18" s="23"/>
      <c r="S18" s="51"/>
    </row>
    <row r="19" spans="1:19" x14ac:dyDescent="0.25">
      <c r="A19" s="35"/>
      <c r="B19" s="32"/>
      <c r="C19" s="261"/>
      <c r="D19" s="19"/>
      <c r="E19" s="20"/>
      <c r="F19" s="78">
        <f>(F6)</f>
        <v>63.033333333333339</v>
      </c>
      <c r="G19" s="224">
        <f>Greitis!N7</f>
        <v>9.9906033732292308</v>
      </c>
      <c r="H19" s="79">
        <f>(H6)</f>
        <v>1012</v>
      </c>
      <c r="I19" s="82">
        <f>(I6)</f>
        <v>0.35</v>
      </c>
      <c r="J19" s="164">
        <v>67.900000000000006</v>
      </c>
      <c r="K19" s="78">
        <f>(K17)</f>
        <v>5</v>
      </c>
      <c r="L19" s="58">
        <f>M19*N19/1000</f>
        <v>3.3000000000000002E-2</v>
      </c>
      <c r="M19" s="79">
        <f>(M6)</f>
        <v>3</v>
      </c>
      <c r="N19" s="168">
        <v>11</v>
      </c>
      <c r="O19" s="164">
        <v>13.8</v>
      </c>
      <c r="P19" s="82">
        <f>(P6)</f>
        <v>7.94</v>
      </c>
      <c r="Q19" s="82">
        <f>(Q6)</f>
        <v>7.3999999999999995</v>
      </c>
      <c r="R19" s="23"/>
      <c r="S19" s="51"/>
    </row>
    <row r="20" spans="1:19" x14ac:dyDescent="0.25">
      <c r="A20" s="49"/>
      <c r="B20" s="49"/>
      <c r="C20" s="261"/>
      <c r="D20" s="49"/>
      <c r="E20" s="49"/>
      <c r="F20" s="78">
        <f>(F6)</f>
        <v>63.033333333333339</v>
      </c>
      <c r="G20" s="224">
        <f>Greitis!N8</f>
        <v>10.551253146635817</v>
      </c>
      <c r="H20" s="79">
        <f>(H6)</f>
        <v>1012</v>
      </c>
      <c r="I20" s="82">
        <f>(I6)</f>
        <v>0.35</v>
      </c>
      <c r="J20" s="164">
        <v>76.2</v>
      </c>
      <c r="K20" s="78">
        <f>(K17)</f>
        <v>5</v>
      </c>
      <c r="L20" s="58">
        <f t="shared" ref="L20:L23" si="22">M20*N20/1000</f>
        <v>3.5999999999999997E-2</v>
      </c>
      <c r="M20" s="79">
        <f>(M6)</f>
        <v>3</v>
      </c>
      <c r="N20" s="168">
        <v>12</v>
      </c>
      <c r="O20" s="164">
        <v>13.7</v>
      </c>
      <c r="P20" s="82">
        <f>(P6)</f>
        <v>7.94</v>
      </c>
      <c r="Q20" s="82">
        <f>(Q6)</f>
        <v>7.3999999999999995</v>
      </c>
      <c r="R20" s="49"/>
      <c r="S20" s="49"/>
    </row>
    <row r="21" spans="1:19" x14ac:dyDescent="0.25">
      <c r="A21" s="49"/>
      <c r="B21" s="49"/>
      <c r="C21" s="261"/>
      <c r="D21" s="49"/>
      <c r="E21" s="49"/>
      <c r="F21" s="78">
        <f>(F6)</f>
        <v>63.033333333333339</v>
      </c>
      <c r="G21" s="224">
        <f>Greitis!N9</f>
        <v>10.243570073538624</v>
      </c>
      <c r="H21" s="79">
        <f>(H6)</f>
        <v>1012</v>
      </c>
      <c r="I21" s="82">
        <f>(I6)</f>
        <v>0.35</v>
      </c>
      <c r="J21" s="164">
        <v>69.8</v>
      </c>
      <c r="K21" s="78">
        <f>(K17)</f>
        <v>5</v>
      </c>
      <c r="L21" s="58">
        <f t="shared" si="22"/>
        <v>3.3000000000000002E-2</v>
      </c>
      <c r="M21" s="79">
        <f>(M6)</f>
        <v>3</v>
      </c>
      <c r="N21" s="168">
        <v>11</v>
      </c>
      <c r="O21" s="164">
        <v>13.7</v>
      </c>
      <c r="P21" s="82">
        <f>(P6)</f>
        <v>7.94</v>
      </c>
      <c r="Q21" s="82">
        <f>(Q6)</f>
        <v>7.3999999999999995</v>
      </c>
      <c r="R21" s="49"/>
      <c r="S21" s="49"/>
    </row>
    <row r="22" spans="1:19" x14ac:dyDescent="0.25">
      <c r="A22" s="49"/>
      <c r="B22" s="49"/>
      <c r="C22" s="261"/>
      <c r="D22" s="49"/>
      <c r="E22" s="49"/>
      <c r="F22" s="78">
        <f>(F6)</f>
        <v>63.033333333333339</v>
      </c>
      <c r="G22" s="224">
        <f>Greitis!N10</f>
        <v>10.180917681079487</v>
      </c>
      <c r="H22" s="79">
        <f>(H6)</f>
        <v>1012</v>
      </c>
      <c r="I22" s="82">
        <f>(I6)</f>
        <v>0.35</v>
      </c>
      <c r="J22" s="164">
        <v>70.400000000000006</v>
      </c>
      <c r="K22" s="78">
        <f>(K17)</f>
        <v>5</v>
      </c>
      <c r="L22" s="58">
        <f t="shared" si="22"/>
        <v>3.3000000000000002E-2</v>
      </c>
      <c r="M22" s="79">
        <f>(M6)</f>
        <v>3</v>
      </c>
      <c r="N22" s="168">
        <v>11</v>
      </c>
      <c r="O22" s="164">
        <v>13.6</v>
      </c>
      <c r="P22" s="82">
        <f>(P6)</f>
        <v>7.94</v>
      </c>
      <c r="Q22" s="82">
        <f>(Q6)</f>
        <v>7.3999999999999995</v>
      </c>
      <c r="R22" s="49"/>
      <c r="S22" s="49"/>
    </row>
    <row r="23" spans="1:19" x14ac:dyDescent="0.25">
      <c r="A23" s="34"/>
      <c r="B23" s="34"/>
      <c r="C23" s="262"/>
      <c r="D23" s="34"/>
      <c r="E23" s="34"/>
      <c r="F23" s="78">
        <f>(F6)</f>
        <v>63.033333333333339</v>
      </c>
      <c r="G23" s="224">
        <f>Greitis!N11</f>
        <v>9.796592606281104</v>
      </c>
      <c r="H23" s="79">
        <f>(H6)</f>
        <v>1012</v>
      </c>
      <c r="I23" s="82">
        <f>(I6)</f>
        <v>0.35</v>
      </c>
      <c r="J23" s="164">
        <v>70.7</v>
      </c>
      <c r="K23" s="78">
        <f>(K17)</f>
        <v>5</v>
      </c>
      <c r="L23" s="58">
        <f t="shared" si="22"/>
        <v>3.3000000000000002E-2</v>
      </c>
      <c r="M23" s="79">
        <f>(M6)</f>
        <v>3</v>
      </c>
      <c r="N23" s="168">
        <v>11</v>
      </c>
      <c r="O23" s="164">
        <v>13.7</v>
      </c>
      <c r="P23" s="82">
        <f>(P6)</f>
        <v>7.94</v>
      </c>
      <c r="Q23" s="82">
        <f>(Q6)</f>
        <v>7.3999999999999995</v>
      </c>
      <c r="R23" s="34"/>
      <c r="S23" s="34"/>
    </row>
    <row r="24" spans="1:19" x14ac:dyDescent="0.25">
      <c r="L24" s="81">
        <f>SUM(L17:L23)</f>
        <v>0.23100000000000001</v>
      </c>
      <c r="M24" s="152">
        <f>SUM(M17:M23)</f>
        <v>21</v>
      </c>
      <c r="N24" s="152">
        <f>AVERAGE(N17:N23)</f>
        <v>11</v>
      </c>
    </row>
    <row r="25" spans="1:19" ht="30" x14ac:dyDescent="0.25">
      <c r="L25" s="75" t="s">
        <v>25</v>
      </c>
      <c r="M25" s="47" t="s">
        <v>95</v>
      </c>
      <c r="N25" s="47" t="s">
        <v>145</v>
      </c>
    </row>
    <row r="26" spans="1:19" x14ac:dyDescent="0.25">
      <c r="M26" s="113"/>
      <c r="N26" s="113"/>
      <c r="O26" s="113"/>
      <c r="P26" s="113"/>
      <c r="Q26" s="113"/>
    </row>
    <row r="27" spans="1:19" ht="25.5" customHeight="1" x14ac:dyDescent="0.25">
      <c r="L27" s="74"/>
      <c r="M27" s="153">
        <f>(M13+M24)</f>
        <v>42</v>
      </c>
      <c r="N27" s="153">
        <f>(N13+N24)/2</f>
        <v>11.214285714285715</v>
      </c>
      <c r="O27" s="113"/>
      <c r="P27" s="113"/>
      <c r="Q27" s="113"/>
    </row>
    <row r="28" spans="1:19" ht="48.75" customHeight="1" x14ac:dyDescent="0.25">
      <c r="L28" s="74"/>
      <c r="M28" s="47" t="s">
        <v>96</v>
      </c>
      <c r="N28" s="47" t="s">
        <v>146</v>
      </c>
    </row>
    <row r="37" ht="15" customHeight="1" x14ac:dyDescent="0.25"/>
    <row r="74" spans="1:2" x14ac:dyDescent="0.25">
      <c r="A74" s="25"/>
      <c r="B74" s="25"/>
    </row>
    <row r="75" spans="1:2" x14ac:dyDescent="0.25">
      <c r="A75" s="25"/>
      <c r="B75" s="25"/>
    </row>
    <row r="76" spans="1:2" x14ac:dyDescent="0.25">
      <c r="A76" s="25"/>
      <c r="B76" s="25"/>
    </row>
    <row r="77" spans="1:2" x14ac:dyDescent="0.25">
      <c r="A77" s="25"/>
      <c r="B77" s="25"/>
    </row>
  </sheetData>
  <sheetProtection algorithmName="SHA-512" hashValue="Q+IQAgNlrhWswBRIGZj6RP8DcWBXiayXvtxK6jQryEa0AmkvPpH0x/yk0prOmOcnphq7qrpoi6rBxeMJYjaVgw==" saltValue="gZ+XlzApotdtHlihLKosFA==" spinCount="100000" sheet="1" formatCells="0" formatColumns="0" formatRows="0"/>
  <mergeCells count="7">
    <mergeCell ref="V10:V12"/>
    <mergeCell ref="C17:C23"/>
    <mergeCell ref="T10:T12"/>
    <mergeCell ref="U10:U12"/>
    <mergeCell ref="C1:D1"/>
    <mergeCell ref="A2:S2"/>
    <mergeCell ref="C6:C12"/>
  </mergeCells>
  <phoneticPr fontId="7" type="noConversion"/>
  <pageMargins left="0.19685039370078741" right="0" top="0.74803149606299213" bottom="0.35433070866141736" header="0.31496062992125984" footer="0.31496062992125984"/>
  <pageSetup paperSize="9" scale="66" fitToHeight="0" orientation="landscape" r:id="rId1"/>
  <headerFooter alignWithMargins="0">
    <oddFooter>&amp;CPuslapių &amp;P &amp;R&amp;"Times New Roman,Paryškintasis"E5-5_02         
2022-02-01, EV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31F6-8C82-4AF8-AAFE-FF13BB3E8970}">
  <sheetPr codeName="Lapas3">
    <pageSetUpPr fitToPage="1"/>
  </sheetPr>
  <dimension ref="A1:Q30"/>
  <sheetViews>
    <sheetView zoomScale="80" zoomScaleNormal="80" workbookViewId="0">
      <pane ySplit="5" topLeftCell="A9" activePane="bottomLeft" state="frozen"/>
      <selection pane="bottomLeft" activeCell="I27" sqref="I27:I28"/>
    </sheetView>
  </sheetViews>
  <sheetFormatPr defaultColWidth="9.140625" defaultRowHeight="15" outlineLevelCol="1" x14ac:dyDescent="0.25"/>
  <cols>
    <col min="1" max="1" width="11.28515625" style="14" customWidth="1"/>
    <col min="2" max="2" width="13.28515625" style="14" customWidth="1"/>
    <col min="3" max="3" width="20.85546875" style="14" customWidth="1"/>
    <col min="4" max="4" width="12.7109375" style="14" customWidth="1"/>
    <col min="5" max="6" width="16.140625" style="14" customWidth="1"/>
    <col min="7" max="7" width="13.5703125" style="14" customWidth="1"/>
    <col min="8" max="8" width="10.42578125" style="14" customWidth="1"/>
    <col min="9" max="9" width="12.140625" style="14" customWidth="1" outlineLevel="1"/>
    <col min="10" max="10" width="10" style="14" customWidth="1" outlineLevel="1"/>
    <col min="11" max="11" width="11.7109375" style="14" customWidth="1"/>
    <col min="12" max="12" width="11.5703125" style="14" customWidth="1"/>
    <col min="13" max="13" width="17" style="14" customWidth="1"/>
    <col min="14" max="14" width="15.28515625" style="14" customWidth="1"/>
    <col min="15" max="16384" width="9.140625" style="14"/>
  </cols>
  <sheetData>
    <row r="1" spans="1:17" ht="30.75" customHeight="1" x14ac:dyDescent="0.25">
      <c r="C1" s="264" t="s">
        <v>15</v>
      </c>
      <c r="D1" s="264"/>
      <c r="Q1" s="16"/>
    </row>
    <row r="2" spans="1:17" ht="19.5" customHeight="1" x14ac:dyDescent="0.25">
      <c r="C2" s="266" t="s">
        <v>98</v>
      </c>
      <c r="D2" s="266"/>
      <c r="E2" s="266"/>
      <c r="F2" s="266"/>
      <c r="G2" s="266"/>
      <c r="H2" s="266"/>
      <c r="I2" s="266"/>
      <c r="J2" s="266"/>
      <c r="K2" s="266"/>
      <c r="L2" s="266"/>
      <c r="M2" s="266"/>
      <c r="Q2" s="16"/>
    </row>
    <row r="3" spans="1:17" ht="12" customHeight="1" x14ac:dyDescent="0.25">
      <c r="C3" s="24"/>
      <c r="H3" s="25"/>
      <c r="Q3" s="16"/>
    </row>
    <row r="4" spans="1:17" ht="8.25" customHeight="1" x14ac:dyDescent="0.25"/>
    <row r="5" spans="1:17" ht="126.75" customHeight="1" x14ac:dyDescent="0.25">
      <c r="A5" s="117" t="s">
        <v>8</v>
      </c>
      <c r="B5" s="117" t="s">
        <v>63</v>
      </c>
      <c r="C5" s="117" t="s">
        <v>9</v>
      </c>
      <c r="D5" s="12" t="s">
        <v>64</v>
      </c>
      <c r="E5" s="12" t="s">
        <v>65</v>
      </c>
      <c r="F5" s="12" t="s">
        <v>66</v>
      </c>
      <c r="G5" s="12" t="s">
        <v>67</v>
      </c>
      <c r="H5" s="12" t="s">
        <v>68</v>
      </c>
      <c r="I5" s="12" t="s">
        <v>69</v>
      </c>
      <c r="J5" s="12" t="s">
        <v>70</v>
      </c>
      <c r="K5" s="36" t="s">
        <v>147</v>
      </c>
      <c r="L5" s="36" t="s">
        <v>148</v>
      </c>
      <c r="M5" s="12" t="s">
        <v>10</v>
      </c>
      <c r="N5" s="52" t="s">
        <v>6</v>
      </c>
    </row>
    <row r="6" spans="1:17" ht="15" customHeight="1" x14ac:dyDescent="0.25">
      <c r="A6" s="87">
        <f>Paėmimas!A6</f>
        <v>46063</v>
      </c>
      <c r="B6" s="88" t="str">
        <f>Paėmimas!B6</f>
        <v>3</v>
      </c>
      <c r="C6" s="260" t="str">
        <f>Paėmimas!C6</f>
        <v>UAB ,,Ekopartneris", L. Ivinskio g. 65, Kaunas. Katilinė. Taršos šaltinis  Nr. 001.</v>
      </c>
      <c r="D6" s="58">
        <f>Paėmimas!L6</f>
        <v>3.3000000000000002E-2</v>
      </c>
      <c r="E6" s="89">
        <f>D6*(273/(273+Paėmimas!O6)*(Paėmimas!H6-Paėmimas!J6)/1013)</f>
        <v>2.960528699531785E-2</v>
      </c>
      <c r="F6" s="90">
        <f>SUM(E6:E12)</f>
        <v>0.2131370035157322</v>
      </c>
      <c r="G6" s="82">
        <f>((Paėmimas!Q6/100)*1.965)+((Paėmimas!P6/100)*1.429)+((1-(Paėmimas!Q6/100)-(Paėmimas!P6/100))*1.251)</f>
        <v>1.3179691999999998</v>
      </c>
      <c r="H6" s="58">
        <f>H2O!K7</f>
        <v>16.702249492868962</v>
      </c>
      <c r="I6" s="58">
        <f>(E6/(1-(H6/1000))*((273+Paėmimas!F6)/273)*(1013/(Paėmimas!H6+Paėmimas!I6)))</f>
        <v>3.7083669428626703E-2</v>
      </c>
      <c r="J6" s="58">
        <f>(I6/(Paėmimas!M6*60)/((3.142*((Paėmimas!K6/1000)*(Paėmimas!K6/1000))/4)))</f>
        <v>10.491171774135852</v>
      </c>
      <c r="K6" s="91">
        <f>J6/Paėmimas!G6</f>
        <v>1.0854708156050004</v>
      </c>
      <c r="L6" s="240">
        <f>AVERAGE(K6:K12)</f>
        <v>1.0501402876709622</v>
      </c>
      <c r="M6" s="80" t="str">
        <f>Paėmimas!R6</f>
        <v>S.Č., 2026-05-02</v>
      </c>
      <c r="N6" s="92" t="str">
        <f>Paėmimas!S6</f>
        <v>1 linija, 1 filtras</v>
      </c>
    </row>
    <row r="7" spans="1:17" ht="15" customHeight="1" x14ac:dyDescent="0.25">
      <c r="A7" s="59"/>
      <c r="B7" s="23"/>
      <c r="C7" s="261"/>
      <c r="D7" s="58">
        <f>Paėmimas!L7</f>
        <v>3.5999999999999997E-2</v>
      </c>
      <c r="E7" s="89">
        <f>D7*(273/(273+Paėmimas!O7)*(Paėmimas!H7-Paėmimas!J7)/1013)</f>
        <v>3.1884862993052543E-2</v>
      </c>
      <c r="F7" s="60"/>
      <c r="G7" s="82">
        <f>((Paėmimas!Q7/100)*1.965)+((Paėmimas!P7/100)*1.429)+((1-(Paėmimas!Q7/100)-(Paėmimas!P7/100))*1.251)</f>
        <v>1.3179691999999998</v>
      </c>
      <c r="H7" s="58">
        <f>H2O!K7</f>
        <v>16.702249492868962</v>
      </c>
      <c r="I7" s="58">
        <f>(E7/(1-(H7/1000))*((273+Paėmimas!F7)/273)*(1013/(Paėmimas!H7+Paėmimas!I7)))</f>
        <v>3.9939073017546296E-2</v>
      </c>
      <c r="J7" s="58">
        <f>(I7/(Paėmimas!M7*60)/((3.142*((Paėmimas!K7/1000)*(Paėmimas!K7/1000))/4)))</f>
        <v>11.29898097957318</v>
      </c>
      <c r="K7" s="91">
        <f>J7/Paėmimas!G7</f>
        <v>1.0708662584951598</v>
      </c>
      <c r="L7" s="19"/>
      <c r="M7" s="60"/>
      <c r="N7" s="32"/>
    </row>
    <row r="8" spans="1:17" ht="15" customHeight="1" x14ac:dyDescent="0.25">
      <c r="A8" s="59"/>
      <c r="B8" s="23"/>
      <c r="C8" s="261"/>
      <c r="D8" s="58">
        <f>Paėmimas!L8</f>
        <v>3.5999999999999997E-2</v>
      </c>
      <c r="E8" s="89">
        <f>D8*(273/(273+Paėmimas!O8)*(Paėmimas!H8-Paėmimas!J8)/1013)</f>
        <v>3.188583543397E-2</v>
      </c>
      <c r="F8" s="60"/>
      <c r="G8" s="82">
        <f>((Paėmimas!Q8/100)*1.965)+((Paėmimas!P8/100)*1.429)+((1-(Paėmimas!Q8/100)-(Paėmimas!P8/100))*1.251)</f>
        <v>1.3179691999999998</v>
      </c>
      <c r="H8" s="58">
        <f>H2O!K7</f>
        <v>16.702249492868962</v>
      </c>
      <c r="I8" s="58">
        <f>(E8/(1-(H8/1000))*((273+Paėmimas!F8)/273)*(1013/(Paėmimas!H8+Paėmimas!I8)))</f>
        <v>3.994029109989515E-2</v>
      </c>
      <c r="J8" s="58">
        <f>(I8/(Paėmimas!M8*60)/((3.142*((Paėmimas!K8/1000)*(Paėmimas!K8/1000))/4)))</f>
        <v>11.299325581694648</v>
      </c>
      <c r="K8" s="91">
        <f>J8/Paėmimas!G8</f>
        <v>1.0302536917190435</v>
      </c>
      <c r="L8" s="19"/>
      <c r="M8" s="60"/>
      <c r="N8" s="32"/>
    </row>
    <row r="9" spans="1:17" ht="15" customHeight="1" x14ac:dyDescent="0.25">
      <c r="A9" s="59"/>
      <c r="B9" s="23"/>
      <c r="C9" s="261"/>
      <c r="D9" s="58">
        <f>Paėmimas!L9</f>
        <v>3.5999999999999997E-2</v>
      </c>
      <c r="E9" s="89">
        <f>D9*(273/(273+Paėmimas!O9)*(Paėmimas!H9-Paėmimas!J9)/1013)</f>
        <v>3.1833961232207948E-2</v>
      </c>
      <c r="F9" s="60"/>
      <c r="G9" s="82">
        <f>((Paėmimas!Q9/100)*1.965)+((Paėmimas!P9/100)*1.429)+((1-(Paėmimas!Q9/100)-(Paėmimas!P9/100))*1.251)</f>
        <v>1.3179691999999998</v>
      </c>
      <c r="H9" s="58">
        <f>H2O!K7</f>
        <v>16.702249492868962</v>
      </c>
      <c r="I9" s="58">
        <f>(E9/(1-(H9/1000))*((273+Paėmimas!F9)/273)*(1013/(Paėmimas!H9+Paėmimas!I9)))</f>
        <v>3.9875313322435275E-2</v>
      </c>
      <c r="J9" s="58">
        <f>(I9/(Paėmimas!M9*60)/((3.142*((Paėmimas!K9/1000)*(Paėmimas!K9/1000))/4)))</f>
        <v>11.280943015046404</v>
      </c>
      <c r="K9" s="91">
        <f>J9/Paėmimas!G9</f>
        <v>1.0396976809117164</v>
      </c>
      <c r="L9" s="19"/>
      <c r="M9" s="60"/>
      <c r="N9" s="32"/>
    </row>
    <row r="10" spans="1:17" ht="15" customHeight="1" x14ac:dyDescent="0.25">
      <c r="A10" s="59"/>
      <c r="B10" s="23"/>
      <c r="C10" s="261"/>
      <c r="D10" s="58">
        <f>Paėmimas!L10</f>
        <v>3.5999999999999997E-2</v>
      </c>
      <c r="E10" s="89">
        <f>D10*(273/(273+Paėmimas!O10)*(Paėmimas!H10-Paėmimas!J10)/1013)</f>
        <v>3.177101455976189E-2</v>
      </c>
      <c r="F10" s="60"/>
      <c r="G10" s="82">
        <f>((Paėmimas!Q10/100)*1.965)+((Paėmimas!P10/100)*1.429)+((1-(Paėmimas!Q10/100)-(Paėmimas!P10/100))*1.251)</f>
        <v>1.3179691999999998</v>
      </c>
      <c r="H10" s="58">
        <f>H2O!K7</f>
        <v>16.702249492868962</v>
      </c>
      <c r="I10" s="58">
        <f>(E10/(1-(H10/1000))*((273+Paėmimas!F10)/273)*(1013/(Paėmimas!H10+Paėmimas!I10)))</f>
        <v>3.9796466135681399E-2</v>
      </c>
      <c r="J10" s="58">
        <f>(I10/(Paėmimas!M10*60)/((3.142*((Paėmimas!K10/1000)*(Paėmimas!K10/1000))/4)))</f>
        <v>11.258636717075154</v>
      </c>
      <c r="K10" s="91">
        <f>J10/Paėmimas!G10</f>
        <v>1.0732284180567002</v>
      </c>
      <c r="L10" s="19"/>
      <c r="M10" s="60"/>
      <c r="N10" s="32"/>
    </row>
    <row r="11" spans="1:17" ht="15" customHeight="1" x14ac:dyDescent="0.25">
      <c r="A11" s="59"/>
      <c r="B11" s="23"/>
      <c r="C11" s="261"/>
      <c r="D11" s="58">
        <f>Paėmimas!L11</f>
        <v>3.3000000000000002E-2</v>
      </c>
      <c r="E11" s="89">
        <f>D11*(273/(273+Paėmimas!O11)*(Paėmimas!H11-Paėmimas!J11)/1013)</f>
        <v>2.9349416702366099E-2</v>
      </c>
      <c r="F11" s="60"/>
      <c r="G11" s="82">
        <f>((Paėmimas!Q11/100)*1.965)+((Paėmimas!P11/100)*1.429)+((1-(Paėmimas!Q11/100)-(Paėmimas!P11/100))*1.251)</f>
        <v>1.3179691999999998</v>
      </c>
      <c r="H11" s="58">
        <f>H2O!K7</f>
        <v>16.702249492868962</v>
      </c>
      <c r="I11" s="58">
        <f>(E11/(1-(H11/1000))*((273+Paėmimas!F11)/273)*(1013/(Paėmimas!H11+Paėmimas!I11)))</f>
        <v>3.6763165548291774E-2</v>
      </c>
      <c r="J11" s="58">
        <f>(I11/(Paėmimas!M11*60)/((3.142*((Paėmimas!K11/1000)*(Paėmimas!K11/1000))/4)))</f>
        <v>10.400499483214308</v>
      </c>
      <c r="K11" s="91">
        <f>J11/Paėmimas!G11</f>
        <v>1.0477662803424586</v>
      </c>
      <c r="L11" s="19"/>
      <c r="M11" s="60"/>
      <c r="N11" s="32"/>
    </row>
    <row r="12" spans="1:17" ht="15" customHeight="1" x14ac:dyDescent="0.25">
      <c r="A12" s="61"/>
      <c r="B12" s="62"/>
      <c r="C12" s="261"/>
      <c r="D12" s="58">
        <f>Paėmimas!L12</f>
        <v>0.03</v>
      </c>
      <c r="E12" s="89">
        <f>D12*(273/(273+Paėmimas!O12)*(Paėmimas!H12-Paėmimas!J12)/1013)</f>
        <v>2.6806625599055851E-2</v>
      </c>
      <c r="F12" s="60"/>
      <c r="G12" s="82">
        <f>((Paėmimas!Q12/100)*1.965)+((Paėmimas!P12/100)*1.429)+((1-(Paėmimas!Q12/100)-(Paėmimas!P12/100))*1.251)</f>
        <v>1.3179691999999998</v>
      </c>
      <c r="H12" s="58">
        <f>H2O!K7</f>
        <v>16.702249492868962</v>
      </c>
      <c r="I12" s="58">
        <f>(E12/(1-(H12/1000))*((273+Paėmimas!F12)/273)*(1013/(Paėmimas!H12+Paėmimas!I12)))</f>
        <v>3.3578057945176036E-2</v>
      </c>
      <c r="J12" s="58">
        <f>(I12/(Paėmimas!M12*60)/((3.142*((Paėmimas!K12/1000)*(Paėmimas!K12/1000))/4)))</f>
        <v>9.4994152189478864</v>
      </c>
      <c r="K12" s="91">
        <f>J12/Paėmimas!G12</f>
        <v>1.0036988685666568</v>
      </c>
      <c r="L12" s="64"/>
      <c r="M12" s="63"/>
      <c r="N12" s="22"/>
    </row>
    <row r="13" spans="1:17" ht="17.25" customHeight="1" x14ac:dyDescent="0.25">
      <c r="C13" s="94"/>
      <c r="D13" s="94"/>
      <c r="E13" s="94"/>
      <c r="F13" s="94"/>
      <c r="G13" s="91">
        <f>AVERAGE(G6:G12)</f>
        <v>1.3179692000000001</v>
      </c>
      <c r="H13" s="94"/>
      <c r="I13" s="154">
        <f>SUM(I6:I12)</f>
        <v>0.26697603649765267</v>
      </c>
      <c r="J13" s="94"/>
    </row>
    <row r="14" spans="1:17" ht="34.5" customHeight="1" x14ac:dyDescent="0.25">
      <c r="C14" s="95"/>
      <c r="D14" s="95"/>
      <c r="E14" s="95"/>
      <c r="F14" s="95"/>
      <c r="G14" s="47" t="s">
        <v>24</v>
      </c>
      <c r="H14" s="95"/>
      <c r="I14" s="47" t="s">
        <v>143</v>
      </c>
      <c r="J14" s="95"/>
    </row>
    <row r="15" spans="1:17" ht="15" customHeight="1" x14ac:dyDescent="0.25">
      <c r="C15" s="95"/>
      <c r="D15" s="95"/>
      <c r="E15" s="95"/>
      <c r="F15" s="95"/>
      <c r="G15" s="55"/>
      <c r="H15" s="95"/>
      <c r="I15" s="95"/>
      <c r="J15" s="95"/>
    </row>
    <row r="17" spans="1:14" x14ac:dyDescent="0.25">
      <c r="A17" s="87">
        <f>Paėmimas!A17</f>
        <v>46063</v>
      </c>
      <c r="B17" s="88" t="str">
        <f>Paėmimas!B17</f>
        <v>3</v>
      </c>
      <c r="C17" s="260" t="str">
        <f>Paėmimas!C17</f>
        <v>UAB ,,Ekopartneris", L. Ivinskio g. 65, Kaunas. Katilinė. Taršos šaltinis  Nr. 001.</v>
      </c>
      <c r="D17" s="58">
        <f>Paėmimas!L17</f>
        <v>0.03</v>
      </c>
      <c r="E17" s="89">
        <f>D17*(273/(273+Paėmimas!O17)*(Paėmimas!H17-Paėmimas!J17)/1013)</f>
        <v>2.6772935445762463E-2</v>
      </c>
      <c r="F17" s="90">
        <f>SUM(E17:E23)</f>
        <v>0.20464508459809672</v>
      </c>
      <c r="G17" s="82">
        <f>((Paėmimas!Q17/100)*1.965)+((Paėmimas!P17/100)*1.429)+((1-(Paėmimas!Q17/100)-(Paėmimas!P17/100))*1.251)</f>
        <v>1.3179691999999998</v>
      </c>
      <c r="H17" s="58">
        <f>H2O!K7</f>
        <v>16.702249492868962</v>
      </c>
      <c r="I17" s="58">
        <f>(E17/(1-(H17/1000))*((273+Paėmimas!F17)/273)*(1013/(Paėmimas!H17+Paėmimas!I17)))</f>
        <v>3.3535857560226916E-2</v>
      </c>
      <c r="J17" s="58">
        <f>(I17/(Paėmimas!M17*60)/((3.142*((Paėmimas!K17/1000)*(Paėmimas!K17/1000))/4)))</f>
        <v>9.4874765005239166</v>
      </c>
      <c r="K17" s="91">
        <f>J17/Paėmimas!G17</f>
        <v>1.0738444557302986</v>
      </c>
      <c r="L17" s="240">
        <f>AVERAGE(K17:K23)</f>
        <v>1.0446323824802357</v>
      </c>
      <c r="M17" s="80" t="str">
        <f>Paėmimas!R17</f>
        <v>S.Č., 2026-05-02</v>
      </c>
      <c r="N17" s="92" t="str">
        <f>Paėmimas!S17</f>
        <v>2 linija, 1 filtras</v>
      </c>
    </row>
    <row r="18" spans="1:14" x14ac:dyDescent="0.25">
      <c r="A18" s="59"/>
      <c r="B18" s="23"/>
      <c r="C18" s="261"/>
      <c r="D18" s="58">
        <f>Paėmimas!L18</f>
        <v>3.3000000000000002E-2</v>
      </c>
      <c r="E18" s="89">
        <f>D18*(273/(273+Paėmimas!O18)*(Paėmimas!H18-Paėmimas!J18)/1013)</f>
        <v>2.9284915347346424E-2</v>
      </c>
      <c r="F18" s="60"/>
      <c r="G18" s="82">
        <f>((Paėmimas!Q18/100)*1.965)+((Paėmimas!P18/100)*1.429)+((1-(Paėmimas!Q18/100)-(Paėmimas!P18/100))*1.251)</f>
        <v>1.3179691999999998</v>
      </c>
      <c r="H18" s="58">
        <f>H2O!K7</f>
        <v>16.702249492868962</v>
      </c>
      <c r="I18" s="58">
        <f>(E18/(1-(H18/1000))*((273+Paėmimas!F18)/273)*(1013/(Paėmimas!H18+Paėmimas!I18)))</f>
        <v>3.6682370961580744E-2</v>
      </c>
      <c r="J18" s="58">
        <f>(I18/(Paėmimas!M18*60)/((3.142*((Paėmimas!K18/1000)*(Paėmimas!K18/1000))/4)))</f>
        <v>10.377642255203549</v>
      </c>
      <c r="K18" s="91">
        <f>J18/Paėmimas!G18</f>
        <v>1.0523191717890961</v>
      </c>
      <c r="L18" s="19"/>
      <c r="M18" s="60"/>
      <c r="N18" s="32"/>
    </row>
    <row r="19" spans="1:14" x14ac:dyDescent="0.25">
      <c r="A19" s="59"/>
      <c r="B19" s="23"/>
      <c r="C19" s="261"/>
      <c r="D19" s="58">
        <f>Paėmimas!L19</f>
        <v>3.3000000000000002E-2</v>
      </c>
      <c r="E19" s="89">
        <f>D19*(273/(273+Paėmimas!O19)*(Paėmimas!H19-Paėmimas!J19)/1013)</f>
        <v>2.9275612642344087E-2</v>
      </c>
      <c r="F19" s="60"/>
      <c r="G19" s="82">
        <f>((Paėmimas!Q19/100)*1.965)+((Paėmimas!P19/100)*1.429)+((1-(Paėmimas!Q19/100)-(Paėmimas!P19/100))*1.251)</f>
        <v>1.3179691999999998</v>
      </c>
      <c r="H19" s="58">
        <f>H2O!K7</f>
        <v>16.702249492868962</v>
      </c>
      <c r="I19" s="58">
        <f>(E19/(1-(H19/1000))*((273+Paėmimas!F19)/273)*(1013/(Paėmimas!H19+Paėmimas!I19)))</f>
        <v>3.6670718365976677E-2</v>
      </c>
      <c r="J19" s="58">
        <f>(I19/(Paėmimas!M19*60)/((3.142*((Paėmimas!K19/1000)*(Paėmimas!K19/1000))/4)))</f>
        <v>10.374345672530357</v>
      </c>
      <c r="K19" s="91">
        <f>J19/Paėmimas!G19</f>
        <v>1.0384103226767465</v>
      </c>
      <c r="L19" s="19"/>
      <c r="M19" s="60"/>
      <c r="N19" s="32"/>
    </row>
    <row r="20" spans="1:14" x14ac:dyDescent="0.25">
      <c r="A20" s="59"/>
      <c r="B20" s="23"/>
      <c r="C20" s="261"/>
      <c r="D20" s="58">
        <f>Paėmimas!L20</f>
        <v>3.5999999999999997E-2</v>
      </c>
      <c r="E20" s="89">
        <f>D20*(273/(273+Paėmimas!O20)*(Paėmimas!H20-Paėmimas!J20)/1013)</f>
        <v>3.1667301019773976E-2</v>
      </c>
      <c r="F20" s="60"/>
      <c r="G20" s="82">
        <f>((Paėmimas!Q20/100)*1.965)+((Paėmimas!P20/100)*1.429)+((1-(Paėmimas!Q20/100)-(Paėmimas!P20/100))*1.251)</f>
        <v>1.3179691999999998</v>
      </c>
      <c r="H20" s="58">
        <f>H2O!K7</f>
        <v>16.702249492868962</v>
      </c>
      <c r="I20" s="58">
        <f>(E20/(1-(H20/1000))*((273+Paėmimas!F20)/273)*(1013/(Paėmimas!H20+Paėmimas!I20)))</f>
        <v>3.9666554250929444E-2</v>
      </c>
      <c r="J20" s="58">
        <f>(I20/(Paėmimas!M20*60)/((3.142*((Paėmimas!K20/1000)*(Paėmimas!K20/1000))/4)))</f>
        <v>11.221883938306654</v>
      </c>
      <c r="K20" s="91">
        <f>J20/Paėmimas!G20</f>
        <v>1.0635593499985982</v>
      </c>
      <c r="L20" s="19"/>
      <c r="M20" s="60"/>
      <c r="N20" s="32"/>
    </row>
    <row r="21" spans="1:14" x14ac:dyDescent="0.25">
      <c r="A21" s="59"/>
      <c r="B21" s="23"/>
      <c r="C21" s="261"/>
      <c r="D21" s="58">
        <f>Paėmimas!L21</f>
        <v>3.3000000000000002E-2</v>
      </c>
      <c r="E21" s="89">
        <f>D21*(273/(273+Paėmimas!O21)*(Paėmimas!H21-Paėmimas!J21)/1013)</f>
        <v>2.9226886196226182E-2</v>
      </c>
      <c r="F21" s="60"/>
      <c r="G21" s="82">
        <f>((Paėmimas!Q21/100)*1.965)+((Paėmimas!P21/100)*1.429)+((1-(Paėmimas!Q21/100)-(Paėmimas!P21/100))*1.251)</f>
        <v>1.3179691999999998</v>
      </c>
      <c r="H21" s="58">
        <f>H2O!K7</f>
        <v>16.702249492868962</v>
      </c>
      <c r="I21" s="58">
        <f>(E21/(1-(H21/1000))*((273+Paėmimas!F21)/273)*(1013/(Paėmimas!H21+Paėmimas!I21)))</f>
        <v>3.6609683476480283E-2</v>
      </c>
      <c r="J21" s="58">
        <f>(I21/(Paėmimas!M21*60)/((3.142*((Paėmimas!K21/1000)*(Paėmimas!K21/1000))/4)))</f>
        <v>10.357078570331787</v>
      </c>
      <c r="K21" s="91">
        <f>J21/Paėmimas!G21</f>
        <v>1.0110809508773098</v>
      </c>
      <c r="L21" s="19"/>
      <c r="M21" s="60"/>
      <c r="N21" s="32"/>
    </row>
    <row r="22" spans="1:14" x14ac:dyDescent="0.25">
      <c r="A22" s="59"/>
      <c r="B22" s="23"/>
      <c r="C22" s="261"/>
      <c r="D22" s="58">
        <f>Paėmimas!L22</f>
        <v>3.3000000000000002E-2</v>
      </c>
      <c r="E22" s="89">
        <f>D22*(273/(273+Paėmimas!O22)*(Paėmimas!H22-Paėmimas!J22)/1013)</f>
        <v>2.921846559968146E-2</v>
      </c>
      <c r="F22" s="60"/>
      <c r="G22" s="82">
        <f>((Paėmimas!Q22/100)*1.965)+((Paėmimas!P22/100)*1.429)+((1-(Paėmimas!Q22/100)-(Paėmimas!P22/100))*1.251)</f>
        <v>1.3179691999999998</v>
      </c>
      <c r="H22" s="58">
        <f>H2O!K7</f>
        <v>16.702249492868962</v>
      </c>
      <c r="I22" s="58">
        <f>(E22/(1-(H22/1000))*((273+Paėmimas!F22)/273)*(1013/(Paėmimas!H22+Paėmimas!I22)))</f>
        <v>3.6599135812520611E-2</v>
      </c>
      <c r="J22" s="58">
        <f>(I22/(Paėmimas!M22*60)/((3.142*((Paėmimas!K22/1000)*(Paėmimas!K22/1000))/4)))</f>
        <v>10.35409457883036</v>
      </c>
      <c r="K22" s="91">
        <f>J22/Paėmimas!G22</f>
        <v>1.0170099497094167</v>
      </c>
      <c r="L22" s="19"/>
      <c r="M22" s="60"/>
      <c r="N22" s="32"/>
    </row>
    <row r="23" spans="1:14" x14ac:dyDescent="0.25">
      <c r="A23" s="61"/>
      <c r="B23" s="62"/>
      <c r="C23" s="261"/>
      <c r="D23" s="58">
        <f>Paėmimas!L23</f>
        <v>3.3000000000000002E-2</v>
      </c>
      <c r="E23" s="89">
        <f>D23*(273/(273+Paėmimas!O23)*(Paėmimas!H23-Paėmimas!J23)/1013)</f>
        <v>2.9198968346962111E-2</v>
      </c>
      <c r="F23" s="63"/>
      <c r="G23" s="82">
        <f>((Paėmimas!Q23/100)*1.965)+((Paėmimas!P23/100)*1.429)+((1-(Paėmimas!Q23/100)-(Paėmimas!P23/100))*1.251)</f>
        <v>1.3179691999999998</v>
      </c>
      <c r="H23" s="58">
        <f>H2O!K7</f>
        <v>16.702249492868962</v>
      </c>
      <c r="I23" s="58">
        <f>(E23/(1-(H23/1000))*((273+Paėmimas!F23)/273)*(1013/(Paėmimas!H23+Paėmimas!I23)))</f>
        <v>3.6574713496509113E-2</v>
      </c>
      <c r="J23" s="58">
        <f>(I23/(Paėmimas!M23*60)/((3.142*((Paėmimas!K23/1000)*(Paėmimas!K23/1000))/4)))</f>
        <v>10.347185372801221</v>
      </c>
      <c r="K23" s="91">
        <f>J23/Paėmimas!G23</f>
        <v>1.0562024765801838</v>
      </c>
      <c r="L23" s="64"/>
      <c r="M23" s="63"/>
      <c r="N23" s="22"/>
    </row>
    <row r="24" spans="1:14" x14ac:dyDescent="0.25">
      <c r="C24" s="94"/>
      <c r="D24" s="94"/>
      <c r="E24" s="94"/>
      <c r="F24" s="93">
        <f>SUM(F6+F17)</f>
        <v>0.41778208811382889</v>
      </c>
      <c r="G24" s="91">
        <f>AVERAGE(G17:G23)</f>
        <v>1.3179692000000001</v>
      </c>
      <c r="H24" s="94"/>
      <c r="I24" s="154">
        <f>SUM(I17:I23)</f>
        <v>0.25633903392422375</v>
      </c>
      <c r="J24" s="94"/>
      <c r="L24" s="241">
        <f>(L6+L17)/2</f>
        <v>1.047386335075599</v>
      </c>
    </row>
    <row r="25" spans="1:14" ht="60" x14ac:dyDescent="0.25">
      <c r="C25" s="95"/>
      <c r="D25" s="95"/>
      <c r="E25" s="95"/>
      <c r="F25" s="47" t="s">
        <v>32</v>
      </c>
      <c r="G25" s="47" t="s">
        <v>24</v>
      </c>
      <c r="H25" s="95"/>
      <c r="I25" s="47" t="s">
        <v>143</v>
      </c>
      <c r="J25" s="95"/>
      <c r="L25" s="47" t="s">
        <v>31</v>
      </c>
    </row>
    <row r="26" spans="1:14" x14ac:dyDescent="0.25">
      <c r="C26" s="96"/>
      <c r="D26" s="96"/>
      <c r="E26" s="96"/>
      <c r="F26" s="96"/>
      <c r="G26" s="96"/>
      <c r="H26" s="96"/>
      <c r="I26" s="96"/>
      <c r="J26" s="96"/>
    </row>
    <row r="27" spans="1:14" x14ac:dyDescent="0.25">
      <c r="C27" s="96"/>
      <c r="D27" s="96"/>
      <c r="E27" s="96"/>
      <c r="F27" s="96"/>
      <c r="G27" s="91">
        <f>(G13+G24)/2</f>
        <v>1.3179692000000001</v>
      </c>
      <c r="H27" s="96"/>
      <c r="I27" s="154">
        <f>SUM(I13+I24)</f>
        <v>0.52331507042187642</v>
      </c>
      <c r="J27" s="96"/>
    </row>
    <row r="28" spans="1:14" ht="55.5" customHeight="1" x14ac:dyDescent="0.25">
      <c r="C28" s="96"/>
      <c r="D28" s="96"/>
      <c r="E28" s="96"/>
      <c r="F28" s="96"/>
      <c r="G28" s="47" t="s">
        <v>30</v>
      </c>
      <c r="H28" s="96"/>
      <c r="I28" s="47" t="s">
        <v>144</v>
      </c>
      <c r="J28" s="96"/>
    </row>
    <row r="29" spans="1:14" x14ac:dyDescent="0.25">
      <c r="C29" s="96"/>
      <c r="D29" s="96"/>
      <c r="E29" s="96"/>
      <c r="F29" s="96"/>
      <c r="G29" s="96"/>
      <c r="H29" s="96"/>
      <c r="I29" s="96"/>
      <c r="J29" s="96"/>
    </row>
    <row r="30" spans="1:14" x14ac:dyDescent="0.25">
      <c r="C30" s="96"/>
      <c r="D30" s="96"/>
      <c r="E30" s="96"/>
      <c r="F30" s="96"/>
      <c r="G30" s="96"/>
      <c r="H30" s="96"/>
      <c r="I30" s="96"/>
      <c r="J30" s="96"/>
    </row>
  </sheetData>
  <sheetProtection algorithmName="SHA-512" hashValue="Q7zQYUs0oFV/Gufx4DvoPWUpCjgOT2OzgA8jP4+OReQfg8sPFVBJlJin6okpsn/bA60CDJSSySZP7yIIZexC0Q==" saltValue="I0m09WVlXZjQAlrY7KWzKQ==" spinCount="100000" sheet="1" formatCells="0" formatColumns="0" formatRows="0"/>
  <mergeCells count="4">
    <mergeCell ref="C2:M2"/>
    <mergeCell ref="C1:D1"/>
    <mergeCell ref="C6:C12"/>
    <mergeCell ref="C17:C23"/>
  </mergeCells>
  <phoneticPr fontId="0" type="noConversion"/>
  <pageMargins left="0.39370078740157483" right="0" top="0.74803149606299213" bottom="0.19685039370078741" header="0.31496062992125984" footer="0.31496062992125984"/>
  <pageSetup paperSize="9" scale="68" fitToHeight="0" orientation="landscape" r:id="rId1"/>
  <headerFooter alignWithMargins="0">
    <oddFooter>&amp;CPuslapių &amp;P &amp;R&amp;"Times New Roman,Paryškintasis"E5-5_02         
2022-02-01, EV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EDA9-7C25-4C01-9DCA-8D685240AFBD}">
  <sheetPr codeName="Lapas4">
    <pageSetUpPr fitToPage="1"/>
  </sheetPr>
  <dimension ref="A1:R8"/>
  <sheetViews>
    <sheetView zoomScale="110" zoomScaleNormal="110" workbookViewId="0">
      <selection activeCell="I17" sqref="I17"/>
    </sheetView>
  </sheetViews>
  <sheetFormatPr defaultColWidth="9.140625" defaultRowHeight="15" x14ac:dyDescent="0.25"/>
  <cols>
    <col min="1" max="1" width="11.7109375" style="14" customWidth="1"/>
    <col min="2" max="2" width="13.42578125" style="14" customWidth="1"/>
    <col min="3" max="3" width="24.5703125" style="14" customWidth="1"/>
    <col min="4" max="4" width="8.140625" style="14" customWidth="1"/>
    <col min="5" max="5" width="11.5703125" style="14" customWidth="1"/>
    <col min="6" max="6" width="12.28515625" style="14" customWidth="1"/>
    <col min="7" max="7" width="11" style="14" customWidth="1"/>
    <col min="8" max="9" width="10.28515625" style="14" customWidth="1"/>
    <col min="10" max="10" width="11.140625" style="14" customWidth="1"/>
    <col min="11" max="11" width="14.28515625" style="14" customWidth="1"/>
    <col min="12" max="12" width="11.28515625" style="14" customWidth="1"/>
    <col min="13" max="13" width="10.5703125" style="14" customWidth="1"/>
    <col min="14" max="14" width="17.7109375" style="14" customWidth="1"/>
    <col min="15" max="15" width="8.28515625" style="14" customWidth="1"/>
    <col min="16" max="16" width="17.140625" style="14" customWidth="1"/>
    <col min="17" max="17" width="9.140625" style="14"/>
    <col min="18" max="18" width="9.5703125" style="14" bestFit="1" customWidth="1"/>
    <col min="19" max="16384" width="9.140625" style="14"/>
  </cols>
  <sheetData>
    <row r="1" spans="1:18" ht="27.75" customHeight="1" x14ac:dyDescent="0.25">
      <c r="C1" s="264" t="s">
        <v>16</v>
      </c>
      <c r="D1" s="264"/>
      <c r="R1" s="16"/>
    </row>
    <row r="2" spans="1:18" x14ac:dyDescent="0.25">
      <c r="A2" s="266" t="s">
        <v>99</v>
      </c>
      <c r="B2" s="266"/>
      <c r="C2" s="266"/>
      <c r="D2" s="266"/>
      <c r="E2" s="266"/>
      <c r="F2" s="266"/>
      <c r="G2" s="266"/>
      <c r="H2" s="266"/>
      <c r="I2" s="266"/>
      <c r="J2" s="266"/>
      <c r="K2" s="266"/>
      <c r="L2" s="266"/>
      <c r="M2" s="266"/>
      <c r="N2" s="266"/>
      <c r="O2" s="156"/>
    </row>
    <row r="3" spans="1:18" x14ac:dyDescent="0.25">
      <c r="F3" s="27"/>
      <c r="L3" s="16"/>
      <c r="M3" s="16"/>
    </row>
    <row r="4" spans="1:18" ht="12.75" customHeight="1" x14ac:dyDescent="0.25">
      <c r="L4" s="16"/>
      <c r="M4" s="16"/>
    </row>
    <row r="5" spans="1:18" ht="88.5" customHeight="1" x14ac:dyDescent="0.25">
      <c r="A5" s="117" t="s">
        <v>8</v>
      </c>
      <c r="B5" s="117" t="s">
        <v>45</v>
      </c>
      <c r="C5" s="12" t="s">
        <v>9</v>
      </c>
      <c r="D5" s="12" t="s">
        <v>7</v>
      </c>
      <c r="E5" s="144" t="s">
        <v>71</v>
      </c>
      <c r="F5" s="144" t="s">
        <v>72</v>
      </c>
      <c r="G5" s="144" t="s">
        <v>73</v>
      </c>
      <c r="H5" s="144" t="s">
        <v>74</v>
      </c>
      <c r="I5" s="144" t="s">
        <v>75</v>
      </c>
      <c r="J5" s="144" t="s">
        <v>76</v>
      </c>
      <c r="K5" s="105" t="s">
        <v>77</v>
      </c>
      <c r="L5" s="105" t="s">
        <v>78</v>
      </c>
      <c r="M5" s="145" t="s">
        <v>79</v>
      </c>
      <c r="N5" s="12" t="s">
        <v>10</v>
      </c>
      <c r="O5" s="12" t="s">
        <v>101</v>
      </c>
      <c r="P5" s="52" t="s">
        <v>6</v>
      </c>
    </row>
    <row r="6" spans="1:18" ht="17.25" customHeight="1" x14ac:dyDescent="0.25">
      <c r="A6" s="66">
        <f>Paėmimas!A6</f>
        <v>46063</v>
      </c>
      <c r="B6" s="67" t="str">
        <f>Svėrimas!A6</f>
        <v>3</v>
      </c>
      <c r="C6" s="267" t="str">
        <f>Paėmimas!C6</f>
        <v>UAB ,,Ekopartneris", L. Ivinskio g. 65, Kaunas. Katilinė. Taršos šaltinis  Nr. 001.</v>
      </c>
      <c r="D6" s="115">
        <f>Svėrimas!C6</f>
        <v>1</v>
      </c>
      <c r="E6" s="127">
        <f>Svėrimas!G6</f>
        <v>4.3573000000000004</v>
      </c>
      <c r="F6" s="128">
        <f>Svėrimas!L6</f>
        <v>4.3601999999999999</v>
      </c>
      <c r="G6" s="128">
        <f>Svėrimas!M9</f>
        <v>1.0000000000021103E-4</v>
      </c>
      <c r="H6" s="284">
        <f>Svėrimas!M11/O6</f>
        <v>9.9999999996214228E-5</v>
      </c>
      <c r="I6" s="128">
        <f>Svėrimas!M16</f>
        <v>0</v>
      </c>
      <c r="J6" s="155">
        <f>Aerodinamika!F24</f>
        <v>0.41778208811382889</v>
      </c>
      <c r="K6" s="118">
        <f>((F6-E6-G6+H6+I6)/J6)*1000</f>
        <v>6.9414177450454213</v>
      </c>
      <c r="L6" s="119">
        <f>G6/((Paėmimas!L13+Paėmimas!L24)/O6)*1000</f>
        <v>0.2123142250535266</v>
      </c>
      <c r="M6" s="122">
        <f>((F6-E6)+H6)/G6</f>
        <v>29.999999999893419</v>
      </c>
      <c r="N6" s="70" t="str">
        <f>Svėrimas!N6</f>
        <v>S.Č., 2026-02-11</v>
      </c>
      <c r="O6" s="50">
        <v>1</v>
      </c>
      <c r="P6" s="65" t="str">
        <f>Svėrimas!O6</f>
        <v>1 ir 2 linijos, 1 filtras</v>
      </c>
    </row>
    <row r="7" spans="1:18" ht="19.5" customHeight="1" x14ac:dyDescent="0.25">
      <c r="A7" s="66"/>
      <c r="B7" s="67"/>
      <c r="C7" s="267"/>
      <c r="D7" s="68"/>
      <c r="E7" s="127"/>
      <c r="F7" s="129"/>
      <c r="G7" s="128"/>
      <c r="H7" s="128"/>
      <c r="I7" s="128"/>
      <c r="J7" s="58"/>
      <c r="K7" s="116"/>
      <c r="L7" s="120"/>
      <c r="M7" s="123"/>
      <c r="N7" s="70"/>
      <c r="O7" s="32"/>
      <c r="P7" s="65"/>
    </row>
    <row r="8" spans="1:18" ht="22.5" customHeight="1" x14ac:dyDescent="0.25">
      <c r="A8" s="76"/>
      <c r="B8" s="65"/>
      <c r="C8" s="268"/>
      <c r="D8" s="68"/>
      <c r="E8" s="127"/>
      <c r="F8" s="129"/>
      <c r="G8" s="129"/>
      <c r="H8" s="129"/>
      <c r="I8" s="129"/>
      <c r="J8" s="58"/>
      <c r="K8" s="69"/>
      <c r="L8" s="121"/>
      <c r="M8" s="124"/>
      <c r="N8" s="77"/>
      <c r="O8" s="22"/>
      <c r="P8" s="71"/>
    </row>
  </sheetData>
  <sheetProtection algorithmName="SHA-512" hashValue="+SV4ao8XkS6VJw8KUL9I1AAqTjRgDg3pFVyZbwufgoYBhdoYjoeY/cZhxGX4p1+PesObVQmJWQ9ig487wavBmg==" saltValue="wUic+8tj6lMeGU47P8VeoQ==" spinCount="100000" sheet="1" formatCells="0" formatColumns="0" formatRows="0"/>
  <mergeCells count="3">
    <mergeCell ref="C6:C8"/>
    <mergeCell ref="C1:D1"/>
    <mergeCell ref="A2:N2"/>
  </mergeCells>
  <phoneticPr fontId="0" type="noConversion"/>
  <pageMargins left="0.59055118110236227" right="0.39370078740157483" top="0.74803149606299213" bottom="0.35433070866141736" header="0.31496062992125984" footer="0.31496062992125984"/>
  <pageSetup paperSize="9" fitToHeight="0" orientation="landscape" r:id="rId1"/>
  <headerFooter alignWithMargins="0">
    <oddFooter>&amp;CPuslapių &amp;P &amp;R&amp;"Times New Roman,Paryškintasis"E5-5_02         
2022-02-01, EV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CBA1-822C-4C0F-89AB-CB2C7AD5643F}">
  <dimension ref="A1:P18"/>
  <sheetViews>
    <sheetView zoomScale="110" zoomScaleNormal="110" workbookViewId="0">
      <pane ySplit="5" topLeftCell="A6" activePane="bottomLeft" state="frozen"/>
      <selection pane="bottomLeft" activeCell="J21" sqref="J21"/>
    </sheetView>
  </sheetViews>
  <sheetFormatPr defaultColWidth="9.140625" defaultRowHeight="15" x14ac:dyDescent="0.2"/>
  <cols>
    <col min="1" max="1" width="13.7109375" style="112" customWidth="1"/>
    <col min="2" max="2" width="25.140625" style="112" customWidth="1"/>
    <col min="3" max="3" width="7.42578125" style="112" customWidth="1"/>
    <col min="4" max="4" width="12.85546875" style="112" customWidth="1"/>
    <col min="5" max="5" width="11.140625" style="112" customWidth="1"/>
    <col min="6" max="6" width="10.85546875" style="112" customWidth="1"/>
    <col min="7" max="7" width="10.42578125" style="112" customWidth="1"/>
    <col min="8" max="8" width="18" style="112" customWidth="1"/>
    <col min="9" max="9" width="11.28515625" style="112" customWidth="1"/>
    <col min="10" max="10" width="10.85546875" style="112" customWidth="1"/>
    <col min="11" max="11" width="11" style="112" customWidth="1"/>
    <col min="12" max="12" width="11.140625" style="112" customWidth="1"/>
    <col min="13" max="13" width="20.42578125" style="112" customWidth="1"/>
    <col min="14" max="14" width="16.85546875" style="112" customWidth="1"/>
    <col min="15" max="15" width="31.140625" style="112" customWidth="1"/>
    <col min="16" max="16384" width="9.140625" style="112"/>
  </cols>
  <sheetData>
    <row r="1" spans="1:16" ht="26.25" customHeight="1" x14ac:dyDescent="0.2">
      <c r="C1" s="264" t="s">
        <v>17</v>
      </c>
      <c r="D1" s="264"/>
      <c r="E1" s="264"/>
      <c r="F1" s="264"/>
    </row>
    <row r="2" spans="1:16" ht="19.5" customHeight="1" x14ac:dyDescent="0.2">
      <c r="A2" s="266" t="s">
        <v>100</v>
      </c>
      <c r="B2" s="266"/>
      <c r="C2" s="266"/>
      <c r="D2" s="266"/>
      <c r="E2" s="266"/>
      <c r="F2" s="266"/>
      <c r="G2" s="266"/>
      <c r="H2" s="266"/>
      <c r="I2" s="266"/>
      <c r="J2" s="266"/>
      <c r="K2" s="266"/>
      <c r="L2" s="266"/>
      <c r="M2" s="266"/>
      <c r="N2" s="266"/>
      <c r="O2" s="266"/>
    </row>
    <row r="4" spans="1:16" ht="60" customHeight="1" x14ac:dyDescent="0.2">
      <c r="A4" s="275" t="s">
        <v>80</v>
      </c>
      <c r="B4" s="275" t="s">
        <v>9</v>
      </c>
      <c r="C4" s="272" t="s">
        <v>81</v>
      </c>
      <c r="D4" s="272" t="s">
        <v>82</v>
      </c>
      <c r="E4" s="272" t="s">
        <v>83</v>
      </c>
      <c r="F4" s="272"/>
      <c r="G4" s="272"/>
      <c r="H4" s="272" t="s">
        <v>13</v>
      </c>
      <c r="I4" s="279" t="s">
        <v>84</v>
      </c>
      <c r="J4" s="274" t="s">
        <v>85</v>
      </c>
      <c r="K4" s="274"/>
      <c r="L4" s="274"/>
      <c r="M4" s="281" t="s">
        <v>86</v>
      </c>
      <c r="N4" s="274" t="s">
        <v>13</v>
      </c>
      <c r="O4" s="277" t="s">
        <v>6</v>
      </c>
    </row>
    <row r="5" spans="1:16" ht="14.25" customHeight="1" x14ac:dyDescent="0.2">
      <c r="A5" s="276"/>
      <c r="B5" s="276"/>
      <c r="C5" s="273"/>
      <c r="D5" s="272"/>
      <c r="E5" s="146">
        <v>1</v>
      </c>
      <c r="F5" s="146">
        <v>2</v>
      </c>
      <c r="G5" s="146">
        <v>3</v>
      </c>
      <c r="H5" s="272"/>
      <c r="I5" s="280"/>
      <c r="J5" s="12">
        <v>1</v>
      </c>
      <c r="K5" s="12">
        <v>2</v>
      </c>
      <c r="L5" s="12">
        <v>3</v>
      </c>
      <c r="M5" s="282"/>
      <c r="N5" s="274"/>
      <c r="O5" s="278"/>
    </row>
    <row r="6" spans="1:16" ht="15" customHeight="1" x14ac:dyDescent="0.2">
      <c r="A6" s="170" t="str">
        <f>Paėmimas!B6</f>
        <v>3</v>
      </c>
      <c r="B6" s="269" t="str">
        <f>Paėmimas!C6</f>
        <v>UAB ,,Ekopartneris", L. Ivinskio g. 65, Kaunas. Katilinė. Taršos šaltinis  Nr. 001.</v>
      </c>
      <c r="C6" s="108">
        <v>1</v>
      </c>
      <c r="D6" s="125">
        <f>Paėmimas!A6</f>
        <v>46063</v>
      </c>
      <c r="E6" s="230">
        <v>4.3573000000000004</v>
      </c>
      <c r="F6" s="230">
        <v>4.3573000000000004</v>
      </c>
      <c r="G6" s="230">
        <v>4.3573000000000004</v>
      </c>
      <c r="H6" s="126" t="str">
        <f>Paėmimas!R6</f>
        <v>S.Č., 2026-05-02</v>
      </c>
      <c r="I6" s="28">
        <v>46064</v>
      </c>
      <c r="J6" s="230">
        <v>4.3601999999999999</v>
      </c>
      <c r="K6" s="230">
        <v>4.3601999999999999</v>
      </c>
      <c r="L6" s="230">
        <v>4.3601999999999999</v>
      </c>
      <c r="M6" s="127">
        <f>L6-G6</f>
        <v>2.8999999999994586E-3</v>
      </c>
      <c r="N6" s="30" t="s">
        <v>142</v>
      </c>
      <c r="O6" s="143" t="s">
        <v>106</v>
      </c>
    </row>
    <row r="7" spans="1:16" ht="15" customHeight="1" x14ac:dyDescent="0.2">
      <c r="A7" s="32"/>
      <c r="B7" s="270"/>
      <c r="C7" s="31"/>
      <c r="D7" s="28"/>
      <c r="E7" s="231"/>
      <c r="F7" s="231"/>
      <c r="G7" s="231"/>
      <c r="H7" s="29"/>
      <c r="I7" s="28"/>
      <c r="J7" s="231"/>
      <c r="K7" s="231"/>
      <c r="L7" s="231"/>
      <c r="M7" s="232">
        <f>L7-G7</f>
        <v>0</v>
      </c>
      <c r="N7" s="30"/>
      <c r="O7" s="141"/>
    </row>
    <row r="8" spans="1:16" ht="15" customHeight="1" x14ac:dyDescent="0.2">
      <c r="A8" s="32"/>
      <c r="B8" s="270"/>
      <c r="C8" s="31"/>
      <c r="D8" s="106"/>
      <c r="E8" s="231"/>
      <c r="F8" s="231"/>
      <c r="G8" s="231"/>
      <c r="H8" s="107"/>
      <c r="I8" s="106"/>
      <c r="J8" s="231"/>
      <c r="K8" s="231"/>
      <c r="L8" s="231"/>
      <c r="M8" s="232">
        <f>L8-G8</f>
        <v>0</v>
      </c>
      <c r="N8" s="107"/>
      <c r="O8" s="142"/>
    </row>
    <row r="9" spans="1:16" ht="16.5" x14ac:dyDescent="0.3">
      <c r="A9" s="32"/>
      <c r="B9" s="270"/>
      <c r="C9" s="31">
        <v>2</v>
      </c>
      <c r="D9" s="106"/>
      <c r="E9" s="231">
        <v>3.7018</v>
      </c>
      <c r="F9" s="231">
        <v>3.7018</v>
      </c>
      <c r="G9" s="231">
        <v>3.7018</v>
      </c>
      <c r="H9" s="107"/>
      <c r="I9" s="106"/>
      <c r="J9" s="231">
        <v>3.7019000000000002</v>
      </c>
      <c r="K9" s="231">
        <v>3.7019000000000002</v>
      </c>
      <c r="L9" s="231">
        <v>3.7019000000000002</v>
      </c>
      <c r="M9" s="232">
        <f>L9-G9</f>
        <v>1.0000000000021103E-4</v>
      </c>
      <c r="N9" s="107"/>
      <c r="O9" s="33" t="s">
        <v>87</v>
      </c>
      <c r="P9" s="114"/>
    </row>
    <row r="10" spans="1:16" x14ac:dyDescent="0.25">
      <c r="A10" s="32"/>
      <c r="B10" s="270"/>
      <c r="C10" s="31"/>
      <c r="D10" s="106"/>
      <c r="E10" s="231"/>
      <c r="F10" s="231"/>
      <c r="G10" s="234"/>
      <c r="H10" s="107"/>
      <c r="I10" s="106"/>
      <c r="J10" s="233"/>
      <c r="K10" s="231"/>
      <c r="L10" s="234"/>
      <c r="M10" s="232"/>
      <c r="N10" s="107"/>
      <c r="O10" s="147"/>
    </row>
    <row r="11" spans="1:16" ht="16.5" x14ac:dyDescent="0.3">
      <c r="A11" s="32"/>
      <c r="B11" s="270"/>
      <c r="C11" s="31">
        <v>41</v>
      </c>
      <c r="D11" s="106"/>
      <c r="E11" s="231">
        <v>56.4998</v>
      </c>
      <c r="F11" s="231">
        <v>56.4998</v>
      </c>
      <c r="G11" s="231">
        <v>56.4998</v>
      </c>
      <c r="H11" s="107"/>
      <c r="I11" s="106"/>
      <c r="J11" s="231">
        <v>56.499899999999997</v>
      </c>
      <c r="K11" s="231">
        <v>56.499899999999997</v>
      </c>
      <c r="L11" s="231">
        <v>56.499899999999997</v>
      </c>
      <c r="M11" s="232">
        <f>L11-G11</f>
        <v>9.9999999996214228E-5</v>
      </c>
      <c r="N11" s="107"/>
      <c r="O11" s="111" t="s">
        <v>88</v>
      </c>
    </row>
    <row r="12" spans="1:16" ht="30.75" customHeight="1" x14ac:dyDescent="0.3">
      <c r="A12" s="32"/>
      <c r="B12" s="270"/>
      <c r="C12" s="138" t="s">
        <v>41</v>
      </c>
      <c r="D12" s="106"/>
      <c r="E12" s="235">
        <v>49.838799999999999</v>
      </c>
      <c r="F12" s="235">
        <v>49.838799999999999</v>
      </c>
      <c r="G12" s="235">
        <v>49.838799999999999</v>
      </c>
      <c r="H12" s="107"/>
      <c r="I12" s="106"/>
      <c r="J12" s="236">
        <v>49.838799999999999</v>
      </c>
      <c r="K12" s="236">
        <v>49.838799999999999</v>
      </c>
      <c r="L12" s="236">
        <v>49.838799999999999</v>
      </c>
      <c r="M12" s="232">
        <f t="shared" ref="M12:M15" si="0">L12-G12</f>
        <v>0</v>
      </c>
      <c r="N12" s="107"/>
      <c r="O12" s="148" t="s">
        <v>89</v>
      </c>
    </row>
    <row r="13" spans="1:16" ht="16.5" x14ac:dyDescent="0.3">
      <c r="A13" s="32"/>
      <c r="B13" s="270"/>
      <c r="C13" s="139" t="s">
        <v>42</v>
      </c>
      <c r="D13" s="106"/>
      <c r="E13" s="231">
        <v>54.789299999999997</v>
      </c>
      <c r="F13" s="231">
        <v>54.789299999999997</v>
      </c>
      <c r="G13" s="231">
        <v>54.789299999999997</v>
      </c>
      <c r="H13" s="107"/>
      <c r="I13" s="106"/>
      <c r="J13" s="231">
        <v>54.789400000000001</v>
      </c>
      <c r="K13" s="231">
        <v>54.789400000000001</v>
      </c>
      <c r="L13" s="231">
        <v>54.789400000000001</v>
      </c>
      <c r="M13" s="232">
        <f t="shared" si="0"/>
        <v>1.0000000000331966E-4</v>
      </c>
      <c r="N13" s="107"/>
      <c r="O13" s="149" t="s">
        <v>90</v>
      </c>
    </row>
    <row r="14" spans="1:16" ht="16.5" x14ac:dyDescent="0.3">
      <c r="A14" s="32"/>
      <c r="B14" s="270"/>
      <c r="C14" s="139" t="s">
        <v>43</v>
      </c>
      <c r="D14" s="106"/>
      <c r="E14" s="231">
        <v>57.3979</v>
      </c>
      <c r="F14" s="231">
        <v>57.3979</v>
      </c>
      <c r="G14" s="231">
        <v>57.3979</v>
      </c>
      <c r="H14" s="107"/>
      <c r="I14" s="106"/>
      <c r="J14" s="231">
        <v>57.397799999999997</v>
      </c>
      <c r="K14" s="231">
        <v>57.397799999999997</v>
      </c>
      <c r="L14" s="231">
        <v>57.397799999999997</v>
      </c>
      <c r="M14" s="232">
        <f t="shared" si="0"/>
        <v>-1.0000000000331966E-4</v>
      </c>
      <c r="N14" s="107"/>
      <c r="O14" s="150" t="s">
        <v>91</v>
      </c>
    </row>
    <row r="15" spans="1:16" ht="16.5" x14ac:dyDescent="0.3">
      <c r="A15" s="32"/>
      <c r="B15" s="270"/>
      <c r="C15" s="140" t="s">
        <v>44</v>
      </c>
      <c r="D15" s="106"/>
      <c r="E15" s="230">
        <v>53.927900000000001</v>
      </c>
      <c r="F15" s="230">
        <v>53.927900000000001</v>
      </c>
      <c r="G15" s="230">
        <v>53.927900000000001</v>
      </c>
      <c r="H15" s="107"/>
      <c r="I15" s="106"/>
      <c r="J15" s="230">
        <v>53.927900000000001</v>
      </c>
      <c r="K15" s="230">
        <v>53.927900000000001</v>
      </c>
      <c r="L15" s="230">
        <v>53.927900000000001</v>
      </c>
      <c r="M15" s="232">
        <f t="shared" si="0"/>
        <v>0</v>
      </c>
      <c r="N15" s="107"/>
      <c r="O15" s="150" t="s">
        <v>92</v>
      </c>
    </row>
    <row r="16" spans="1:16" ht="32.25" customHeight="1" x14ac:dyDescent="0.3">
      <c r="A16" s="22"/>
      <c r="B16" s="271"/>
      <c r="C16" s="31"/>
      <c r="D16" s="109"/>
      <c r="E16" s="21"/>
      <c r="F16" s="21"/>
      <c r="G16" s="31"/>
      <c r="H16" s="110"/>
      <c r="I16" s="109"/>
      <c r="J16" s="233"/>
      <c r="K16" s="237"/>
      <c r="L16" s="234"/>
      <c r="M16" s="232">
        <f>AVERAGE(M13:M15)+M12</f>
        <v>0</v>
      </c>
      <c r="N16" s="110"/>
      <c r="O16" s="151" t="s">
        <v>93</v>
      </c>
    </row>
    <row r="17" spans="11:11" x14ac:dyDescent="0.2">
      <c r="K17" s="113"/>
    </row>
    <row r="18" spans="11:11" x14ac:dyDescent="0.2">
      <c r="K18" s="113"/>
    </row>
  </sheetData>
  <sheetProtection algorithmName="SHA-512" hashValue="q+0SpH/oOxuOtt+Don6pTInzhiDU2MQCNYmErdiwkUGv2gHI7+91cFMWw7Pnbrhp+VBOP7QqHeEyv6lQC7q+5A==" saltValue="G9cg5wCWPfI84CS9oi3apQ==" spinCount="100000" sheet="1" formatCells="0" formatColumns="0" formatRows="0"/>
  <autoFilter ref="C4:O6" xr:uid="{0AF1360B-BFDA-4695-966E-202C6D97088E}">
    <sortState xmlns:xlrd2="http://schemas.microsoft.com/office/spreadsheetml/2017/richdata2" ref="C7:T14">
      <sortCondition ref="H4:H6"/>
    </sortState>
  </autoFilter>
  <mergeCells count="14">
    <mergeCell ref="J4:L4"/>
    <mergeCell ref="C1:F1"/>
    <mergeCell ref="A2:O2"/>
    <mergeCell ref="N4:N5"/>
    <mergeCell ref="A4:A5"/>
    <mergeCell ref="B4:B5"/>
    <mergeCell ref="O4:O5"/>
    <mergeCell ref="I4:I5"/>
    <mergeCell ref="M4:M5"/>
    <mergeCell ref="B6:B16"/>
    <mergeCell ref="C4:C5"/>
    <mergeCell ref="D4:D5"/>
    <mergeCell ref="E4:G4"/>
    <mergeCell ref="H4:H5"/>
  </mergeCells>
  <phoneticPr fontId="6" type="noConversion"/>
  <pageMargins left="0.70866141732283472" right="0.70866141732283472" top="0.74803149606299213" bottom="0.74803149606299213" header="0.31496062992125984" footer="0.31496062992125984"/>
  <pageSetup paperSize="9" scale="89" orientation="landscape" r:id="rId1"/>
  <headerFooter>
    <oddHeader>&amp;L     
   FSVP5/3-76-5
AAA Aplinkos tyrimų departamentas</oddHeader>
    <oddFooter>&amp;CPuslapių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0327-CFDD-498C-87C1-8E379F217A35}">
  <dimension ref="A3:D10"/>
  <sheetViews>
    <sheetView workbookViewId="0">
      <selection activeCell="I26" sqref="I26"/>
    </sheetView>
  </sheetViews>
  <sheetFormatPr defaultColWidth="9.140625" defaultRowHeight="15.75" x14ac:dyDescent="0.2"/>
  <cols>
    <col min="1" max="1" width="14.7109375" style="130" customWidth="1"/>
    <col min="2" max="2" width="15.28515625" style="130" customWidth="1"/>
    <col min="3" max="3" width="13.42578125" style="130" customWidth="1"/>
    <col min="4" max="4" width="21.28515625" style="130" customWidth="1"/>
    <col min="5" max="16384" width="9.140625" style="130"/>
  </cols>
  <sheetData>
    <row r="3" spans="1:4" ht="32.25" customHeight="1" x14ac:dyDescent="0.2">
      <c r="A3" s="283" t="s">
        <v>37</v>
      </c>
      <c r="B3" s="283"/>
      <c r="C3" s="283"/>
      <c r="D3" s="283"/>
    </row>
    <row r="5" spans="1:4" ht="67.5" customHeight="1" x14ac:dyDescent="0.2">
      <c r="A5" s="131" t="s">
        <v>94</v>
      </c>
      <c r="B5" s="132" t="s">
        <v>38</v>
      </c>
      <c r="C5" s="132" t="s">
        <v>39</v>
      </c>
      <c r="D5" s="132" t="s">
        <v>40</v>
      </c>
    </row>
    <row r="6" spans="1:4" ht="20.25" customHeight="1" x14ac:dyDescent="0.2">
      <c r="A6" s="133">
        <f>(B6*C6*D6)/1000000</f>
        <v>1.944</v>
      </c>
      <c r="B6" s="134">
        <v>30</v>
      </c>
      <c r="C6" s="135">
        <v>5400</v>
      </c>
      <c r="D6" s="136">
        <v>12</v>
      </c>
    </row>
    <row r="10" spans="1:4" x14ac:dyDescent="0.2">
      <c r="C10" s="137"/>
    </row>
  </sheetData>
  <sheetProtection algorithmName="SHA-512" hashValue="4Z2E9szuFTaWWNWRU2u3opMvo03L8tMnQa/8G5MF/+ApnJN4lYB9X8CrY3qVeXgxYUwLgw4E3G31zN/33BdPHA==" saltValue="TYKCYs0aKODv8WsM9uknlw==" spinCount="100000" sheet="1" objects="1" scenarios="1" formatCells="0" formatColumns="0" formatRows="0"/>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3e7e53-5eb2-45cf-b2ab-34c867e554b8">
      <Terms xmlns="http://schemas.microsoft.com/office/infopath/2007/PartnerControls"/>
    </lcf76f155ced4ddcb4097134ff3c332f>
    <TaxCatchAll xmlns="aa0d983d-359a-438c-9953-3af1a8ac083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as" ma:contentTypeID="0x010100BAB57CF81AE55C4698AAD22D302297F0" ma:contentTypeVersion="18" ma:contentTypeDescription="Kurkite naują dokumentą." ma:contentTypeScope="" ma:versionID="49ab401eb4052690d2a2629974c22fd6">
  <xsd:schema xmlns:xsd="http://www.w3.org/2001/XMLSchema" xmlns:xs="http://www.w3.org/2001/XMLSchema" xmlns:p="http://schemas.microsoft.com/office/2006/metadata/properties" xmlns:ns2="453e7e53-5eb2-45cf-b2ab-34c867e554b8" xmlns:ns3="aa0d983d-359a-438c-9953-3af1a8ac0831" targetNamespace="http://schemas.microsoft.com/office/2006/metadata/properties" ma:root="true" ma:fieldsID="ab9969d50e0b13c63bc5bd0499c928dc" ns2:_="" ns3:_="">
    <xsd:import namespace="453e7e53-5eb2-45cf-b2ab-34c867e554b8"/>
    <xsd:import namespace="aa0d983d-359a-438c-9953-3af1a8ac08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e7e53-5eb2-45cf-b2ab-34c867e55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Vaizdų žymės" ma:readOnly="false" ma:fieldId="{5cf76f15-5ced-4ddc-b409-7134ff3c332f}" ma:taxonomyMulti="true" ma:sspId="993cf2ba-b7a7-49f7-97d1-76e12a88c41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d983d-359a-438c-9953-3af1a8ac083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2c4fa3c-500e-4213-91e5-1b9e2014ea63}" ma:internalName="TaxCatchAll" ma:showField="CatchAllData" ma:web="aa0d983d-359a-438c-9953-3af1a8ac083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Bendrinta su išsamia informacija"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5DD0A7-BC00-4D8E-8AD3-26E2A9FDEA54}">
  <ds:schemaRefs>
    <ds:schemaRef ds:uri="http://schemas.microsoft.com/sharepoint/v3/contenttype/forms"/>
  </ds:schemaRefs>
</ds:datastoreItem>
</file>

<file path=customXml/itemProps2.xml><?xml version="1.0" encoding="utf-8"?>
<ds:datastoreItem xmlns:ds="http://schemas.openxmlformats.org/officeDocument/2006/customXml" ds:itemID="{709F4DDD-DF1A-450D-8BF1-976CA47CFD58}">
  <ds:schemaRefs>
    <ds:schemaRef ds:uri="http://schemas.microsoft.com/office/2006/metadata/properties"/>
    <ds:schemaRef ds:uri="http://schemas.microsoft.com/office/infopath/2007/PartnerControls"/>
    <ds:schemaRef ds:uri="453e7e53-5eb2-45cf-b2ab-34c867e554b8"/>
    <ds:schemaRef ds:uri="aa0d983d-359a-438c-9953-3af1a8ac0831"/>
  </ds:schemaRefs>
</ds:datastoreItem>
</file>

<file path=customXml/itemProps3.xml><?xml version="1.0" encoding="utf-8"?>
<ds:datastoreItem xmlns:ds="http://schemas.openxmlformats.org/officeDocument/2006/customXml" ds:itemID="{A0A5B190-5FE3-4B47-B164-68F6A6922F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Darbalapiai</vt:lpstr>
      </vt:variant>
      <vt:variant>
        <vt:i4>8</vt:i4>
      </vt:variant>
      <vt:variant>
        <vt:lpstr>Įvardytieji diapazonai</vt:lpstr>
      </vt:variant>
      <vt:variant>
        <vt:i4>8</vt:i4>
      </vt:variant>
    </vt:vector>
  </HeadingPairs>
  <TitlesOfParts>
    <vt:vector size="16" baseType="lpstr">
      <vt:lpstr>Compatibility Report</vt:lpstr>
      <vt:lpstr>Greitis</vt:lpstr>
      <vt:lpstr>H2O</vt:lpstr>
      <vt:lpstr>Paėmimas</vt:lpstr>
      <vt:lpstr>Aerodinamika</vt:lpstr>
      <vt:lpstr>Koncentracija </vt:lpstr>
      <vt:lpstr>Svėrimas</vt:lpstr>
      <vt:lpstr>Koncentracijos ribinės vertės</vt:lpstr>
      <vt:lpstr>Aerodinamika!Print_Area</vt:lpstr>
      <vt:lpstr>'Koncentracija '!Print_Area</vt:lpstr>
      <vt:lpstr>Paėmimas!Print_Area</vt:lpstr>
      <vt:lpstr>Svėrimas!Print_Area</vt:lpstr>
      <vt:lpstr>Aerodinamika!Print_Titles</vt:lpstr>
      <vt:lpstr>'Koncentracija '!Print_Titles</vt:lpstr>
      <vt:lpstr>Paėmimas!Print_Titles</vt:lpstr>
      <vt:lpstr>Svėrimas!Print_Titles</vt:lpstr>
    </vt:vector>
  </TitlesOfParts>
  <Company>VAKS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Sigitas Čekanauskas</cp:lastModifiedBy>
  <cp:lastPrinted>2025-03-10T12:38:23Z</cp:lastPrinted>
  <dcterms:created xsi:type="dcterms:W3CDTF">2010-09-30T07:40:58Z</dcterms:created>
  <dcterms:modified xsi:type="dcterms:W3CDTF">2026-02-13T13:16:24Z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as">
    <vt:lpwstr/>
  </property>
  <property fmtid="{D5CDD505-2E9C-101B-9397-08002B2CF9AE}" pid="3" name="Statusas_2">
    <vt:lpwstr/>
  </property>
  <property fmtid="{D5CDD505-2E9C-101B-9397-08002B2CF9AE}" pid="4" name="lcf76f155ced4ddcb4097134ff3c332f">
    <vt:lpwstr/>
  </property>
  <property fmtid="{D5CDD505-2E9C-101B-9397-08002B2CF9AE}" pid="5" name="TaxCatchAll">
    <vt:lpwstr/>
  </property>
  <property fmtid="{D5CDD505-2E9C-101B-9397-08002B2CF9AE}" pid="6" name="MediaServiceImageTags">
    <vt:lpwstr/>
  </property>
  <property fmtid="{D5CDD505-2E9C-101B-9397-08002B2CF9AE}" pid="7" name="ContentTypeId">
    <vt:lpwstr>0x010100BAB57CF81AE55C4698AAD22D302297F0</vt:lpwstr>
  </property>
</Properties>
</file>